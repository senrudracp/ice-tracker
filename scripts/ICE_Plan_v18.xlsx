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nru\Downloads\"/>
    </mc:Choice>
  </mc:AlternateContent>
  <bookViews>
    <workbookView xWindow="0" yWindow="0" windowWidth="16380" windowHeight="8190" tabRatio="500" firstSheet="1" activeTab="4"/>
  </bookViews>
  <sheets>
    <sheet name="Detailed Requirements" sheetId="1" r:id="rId1"/>
    <sheet name="Timeline Summary" sheetId="2" r:id="rId2"/>
    <sheet name="FR Schedule" sheetId="3" r:id="rId3"/>
    <sheet name="Sprint Plan" sheetId="4" r:id="rId4"/>
    <sheet name="Detailed Sprint Plan" sheetId="5" r:id="rId5"/>
    <sheet name="Effort Summary" sheetId="6" r:id="rId6"/>
    <sheet name="Project Instructions" sheetId="7" r:id="rId7"/>
    <sheet name="Team Training Agenda" sheetId="8" r:id="rId8"/>
    <sheet name="Setup Guide" sheetId="9" r:id="rId9"/>
    <sheet name="Quick Reference Card" sheetId="10" r:id="rId10"/>
    <sheet name="Cost Summary" sheetId="11" r:id="rId11"/>
  </sheet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6" i="11" l="1"/>
  <c r="E5" i="11"/>
  <c r="D5" i="11"/>
  <c r="D4" i="11"/>
  <c r="D7" i="11" s="1"/>
  <c r="E3" i="11"/>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E26" i="6"/>
  <c r="C26" i="6"/>
  <c r="E25" i="6"/>
  <c r="C25" i="6"/>
  <c r="E24" i="6"/>
  <c r="C24" i="6"/>
  <c r="H19" i="6"/>
  <c r="C19" i="6"/>
  <c r="H18" i="6"/>
  <c r="C18" i="6"/>
  <c r="H17" i="6"/>
  <c r="C17" i="6"/>
  <c r="H16" i="6"/>
  <c r="C16" i="6"/>
  <c r="H15" i="6"/>
  <c r="C15" i="6"/>
  <c r="H14" i="6"/>
  <c r="C14" i="6"/>
  <c r="H13" i="6"/>
  <c r="C13" i="6"/>
  <c r="H12" i="6"/>
  <c r="C12" i="6"/>
  <c r="H11" i="6"/>
  <c r="C11" i="6"/>
  <c r="H10" i="6"/>
  <c r="C10" i="6"/>
  <c r="D5" i="6"/>
  <c r="C5" i="6"/>
  <c r="B5" i="6"/>
  <c r="O608" i="5"/>
  <c r="O607" i="5"/>
  <c r="O606" i="5"/>
  <c r="O605" i="5"/>
  <c r="O604" i="5"/>
  <c r="O603" i="5"/>
  <c r="O602" i="5"/>
  <c r="O601" i="5"/>
  <c r="O600" i="5"/>
  <c r="O599" i="5"/>
  <c r="O598" i="5"/>
  <c r="O597" i="5"/>
  <c r="O596" i="5"/>
  <c r="O595" i="5"/>
  <c r="O594" i="5"/>
  <c r="O593" i="5"/>
  <c r="O592" i="5"/>
  <c r="O591" i="5"/>
  <c r="O590" i="5"/>
  <c r="O589" i="5"/>
  <c r="O588" i="5"/>
  <c r="O587" i="5"/>
  <c r="O586" i="5"/>
  <c r="O585" i="5"/>
  <c r="O584" i="5"/>
  <c r="O583" i="5"/>
  <c r="O582" i="5"/>
  <c r="O581" i="5"/>
  <c r="O580" i="5"/>
  <c r="O579" i="5"/>
  <c r="O578" i="5"/>
  <c r="O577" i="5"/>
  <c r="O576" i="5"/>
  <c r="O575" i="5"/>
  <c r="O574" i="5"/>
  <c r="O573" i="5"/>
  <c r="O572" i="5"/>
  <c r="O571" i="5"/>
  <c r="O570" i="5"/>
  <c r="O569" i="5"/>
  <c r="O568" i="5"/>
  <c r="O567" i="5"/>
  <c r="O566" i="5"/>
  <c r="O565" i="5"/>
  <c r="O564" i="5"/>
  <c r="O563" i="5"/>
  <c r="O562" i="5"/>
  <c r="O560" i="5"/>
  <c r="O559" i="5"/>
  <c r="O558" i="5"/>
  <c r="O557" i="5"/>
  <c r="O556" i="5"/>
  <c r="O555" i="5"/>
  <c r="O554" i="5"/>
  <c r="O553" i="5"/>
  <c r="O552" i="5"/>
  <c r="O551" i="5"/>
  <c r="O550" i="5"/>
  <c r="O549" i="5"/>
  <c r="O548" i="5"/>
  <c r="O547" i="5"/>
  <c r="O546" i="5"/>
  <c r="O545" i="5"/>
  <c r="O544" i="5"/>
  <c r="O543" i="5"/>
  <c r="O542" i="5"/>
  <c r="O541" i="5"/>
  <c r="O540" i="5"/>
  <c r="O539" i="5"/>
  <c r="O538" i="5"/>
  <c r="O537" i="5"/>
  <c r="O536" i="5"/>
  <c r="O535" i="5"/>
  <c r="O534" i="5"/>
  <c r="O533" i="5"/>
  <c r="O532" i="5"/>
  <c r="O531" i="5"/>
  <c r="O530" i="5"/>
  <c r="O529" i="5"/>
  <c r="O528" i="5"/>
  <c r="O527" i="5"/>
  <c r="O526" i="5"/>
  <c r="O525" i="5"/>
  <c r="O524" i="5"/>
  <c r="O523" i="5"/>
  <c r="O522" i="5"/>
  <c r="O521" i="5"/>
  <c r="O520" i="5"/>
  <c r="O519" i="5"/>
  <c r="O518" i="5"/>
  <c r="O517" i="5"/>
  <c r="O516" i="5"/>
  <c r="O515" i="5"/>
  <c r="O514" i="5"/>
  <c r="O513" i="5"/>
  <c r="O512" i="5"/>
  <c r="O511" i="5"/>
  <c r="O510" i="5"/>
  <c r="O509" i="5"/>
  <c r="O508" i="5"/>
  <c r="O507" i="5"/>
  <c r="O506" i="5"/>
  <c r="O505" i="5"/>
  <c r="O504" i="5"/>
  <c r="O503" i="5"/>
  <c r="O502" i="5"/>
  <c r="O501" i="5"/>
  <c r="O500" i="5"/>
  <c r="O499" i="5"/>
  <c r="O498" i="5"/>
  <c r="O497" i="5"/>
  <c r="O496" i="5"/>
  <c r="O495" i="5"/>
  <c r="O494" i="5"/>
  <c r="O493" i="5"/>
  <c r="O492" i="5"/>
  <c r="O491" i="5"/>
  <c r="O490" i="5"/>
  <c r="O489" i="5"/>
  <c r="O488" i="5"/>
  <c r="O487" i="5"/>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154" i="5"/>
  <c r="O153" i="5"/>
  <c r="O152" i="5"/>
  <c r="O151" i="5"/>
  <c r="O150" i="5"/>
  <c r="O149" i="5"/>
  <c r="O148" i="5"/>
  <c r="O147" i="5"/>
  <c r="O146" i="5"/>
  <c r="O145" i="5"/>
  <c r="O144" i="5"/>
  <c r="O143" i="5"/>
  <c r="O142" i="5"/>
  <c r="O141"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4" i="5"/>
  <c r="O53" i="5"/>
  <c r="O52" i="5"/>
  <c r="O51" i="5"/>
  <c r="O50" i="5"/>
  <c r="O49" i="5"/>
  <c r="O48" i="5"/>
  <c r="O47" i="5"/>
  <c r="H47" i="5"/>
  <c r="I47" i="5" s="1"/>
  <c r="O46" i="5"/>
  <c r="H46" i="5"/>
  <c r="I46" i="5" s="1"/>
  <c r="H53" i="5" s="1"/>
  <c r="I53" i="5" s="1"/>
  <c r="O45" i="5"/>
  <c r="I45" i="5"/>
  <c r="H45" i="5"/>
  <c r="O44" i="5"/>
  <c r="H44" i="5"/>
  <c r="I44" i="5" s="1"/>
  <c r="O43" i="5"/>
  <c r="I43" i="5"/>
  <c r="H43" i="5"/>
  <c r="O42" i="5"/>
  <c r="I42" i="5"/>
  <c r="H42" i="5"/>
  <c r="O41" i="5"/>
  <c r="I41" i="5"/>
  <c r="H41" i="5"/>
  <c r="O40" i="5"/>
  <c r="H40" i="5"/>
  <c r="I40" i="5" s="1"/>
  <c r="O39" i="5"/>
  <c r="H39" i="5"/>
  <c r="I39" i="5" s="1"/>
  <c r="O38" i="5"/>
  <c r="I38" i="5"/>
  <c r="H38" i="5"/>
  <c r="O37" i="5"/>
  <c r="H37" i="5"/>
  <c r="I37" i="5" s="1"/>
  <c r="O36" i="5"/>
  <c r="H36" i="5"/>
  <c r="I36" i="5" s="1"/>
  <c r="O35" i="5"/>
  <c r="H35" i="5"/>
  <c r="I35" i="5" s="1"/>
  <c r="O34" i="5"/>
  <c r="I34" i="5"/>
  <c r="H48" i="5" s="1"/>
  <c r="I48" i="5" s="1"/>
  <c r="H34" i="5"/>
  <c r="O33" i="5"/>
  <c r="I33" i="5"/>
  <c r="H33" i="5"/>
  <c r="O32" i="5"/>
  <c r="I32" i="5"/>
  <c r="H32" i="5"/>
  <c r="O31" i="5"/>
  <c r="H31" i="5"/>
  <c r="I31" i="5" s="1"/>
  <c r="O30" i="5"/>
  <c r="I30" i="5"/>
  <c r="H30" i="5"/>
  <c r="O29" i="5"/>
  <c r="I29" i="5"/>
  <c r="H29" i="5"/>
  <c r="O28" i="5"/>
  <c r="I28" i="5"/>
  <c r="H28" i="5"/>
  <c r="O27" i="5"/>
  <c r="I27" i="5"/>
  <c r="H27" i="5"/>
  <c r="O26" i="5"/>
  <c r="I26" i="5"/>
  <c r="H26" i="5"/>
  <c r="O25" i="5"/>
  <c r="H25" i="5"/>
  <c r="I25" i="5" s="1"/>
  <c r="O24" i="5"/>
  <c r="H24" i="5"/>
  <c r="I24" i="5" s="1"/>
  <c r="O23" i="5"/>
  <c r="H23" i="5"/>
  <c r="I23" i="5" s="1"/>
  <c r="O22" i="5"/>
  <c r="H22" i="5"/>
  <c r="I22" i="5" s="1"/>
  <c r="O21" i="5"/>
  <c r="H21" i="5"/>
  <c r="I21" i="5" s="1"/>
  <c r="O20" i="5"/>
  <c r="I20" i="5"/>
  <c r="H20" i="5"/>
  <c r="O19" i="5"/>
  <c r="H19" i="5"/>
  <c r="I19" i="5" s="1"/>
  <c r="O18" i="5"/>
  <c r="I18" i="5"/>
  <c r="H18" i="5"/>
  <c r="O17" i="5"/>
  <c r="I17" i="5"/>
  <c r="H17" i="5"/>
  <c r="O16" i="5"/>
  <c r="I16" i="5"/>
  <c r="H16" i="5"/>
  <c r="O15" i="5"/>
  <c r="H15" i="5"/>
  <c r="I15" i="5" s="1"/>
  <c r="O14" i="5"/>
  <c r="I14" i="5"/>
  <c r="H14" i="5"/>
  <c r="O13" i="5"/>
  <c r="I13" i="5"/>
  <c r="H13" i="5"/>
  <c r="O12" i="5"/>
  <c r="H12" i="5"/>
  <c r="I12" i="5" s="1"/>
  <c r="O11" i="5"/>
  <c r="H11" i="5"/>
  <c r="I11" i="5" s="1"/>
  <c r="O10" i="5"/>
  <c r="I10" i="5"/>
  <c r="H10" i="5"/>
  <c r="O9" i="5"/>
  <c r="I9" i="5"/>
  <c r="H9" i="5"/>
  <c r="O8" i="5"/>
  <c r="H8" i="5"/>
  <c r="I8" i="5" s="1"/>
  <c r="O7" i="5"/>
  <c r="H7" i="5"/>
  <c r="I7" i="5" s="1"/>
  <c r="O6" i="5"/>
  <c r="I6" i="5"/>
  <c r="H6" i="5"/>
  <c r="O5" i="5"/>
  <c r="H5" i="5"/>
  <c r="I5" i="5" s="1"/>
  <c r="C6" i="4"/>
  <c r="C5" i="4"/>
  <c r="H67" i="3"/>
  <c r="I84" i="6" s="1"/>
  <c r="H65" i="3"/>
  <c r="I83" i="6" s="1"/>
  <c r="H64" i="3"/>
  <c r="I82" i="6" s="1"/>
  <c r="H63" i="3"/>
  <c r="I81" i="6" s="1"/>
  <c r="H62" i="3"/>
  <c r="I80" i="6" s="1"/>
  <c r="H61" i="3"/>
  <c r="I79" i="6" s="1"/>
  <c r="H60" i="3"/>
  <c r="I78" i="6" s="1"/>
  <c r="H59" i="3"/>
  <c r="I77" i="6" s="1"/>
  <c r="H58" i="3"/>
  <c r="I76" i="6" s="1"/>
  <c r="H57" i="3"/>
  <c r="I75" i="6" s="1"/>
  <c r="H55" i="3"/>
  <c r="I74" i="6" s="1"/>
  <c r="H54" i="3"/>
  <c r="I73" i="6" s="1"/>
  <c r="H52" i="3"/>
  <c r="I72" i="6" s="1"/>
  <c r="H51" i="3"/>
  <c r="I71" i="6" s="1"/>
  <c r="H50" i="3"/>
  <c r="I70" i="6" s="1"/>
  <c r="H49" i="3"/>
  <c r="I69" i="6" s="1"/>
  <c r="H48" i="3"/>
  <c r="I68" i="6" s="1"/>
  <c r="H47" i="3"/>
  <c r="I67" i="6" s="1"/>
  <c r="H46" i="3"/>
  <c r="I66" i="6" s="1"/>
  <c r="H45" i="3"/>
  <c r="I65" i="6" s="1"/>
  <c r="H44" i="3"/>
  <c r="I64" i="6" s="1"/>
  <c r="H43" i="3"/>
  <c r="I63" i="6" s="1"/>
  <c r="H42" i="3"/>
  <c r="I62" i="6" s="1"/>
  <c r="H41" i="3"/>
  <c r="I61" i="6" s="1"/>
  <c r="H40" i="3"/>
  <c r="I60" i="6" s="1"/>
  <c r="H39" i="3"/>
  <c r="I59" i="6" s="1"/>
  <c r="H38" i="3"/>
  <c r="I58" i="6" s="1"/>
  <c r="H37" i="3"/>
  <c r="I57" i="6" s="1"/>
  <c r="H36" i="3"/>
  <c r="I56" i="6" s="1"/>
  <c r="H35" i="3"/>
  <c r="I55" i="6" s="1"/>
  <c r="H34" i="3"/>
  <c r="I54" i="6" s="1"/>
  <c r="H32" i="3"/>
  <c r="I53" i="6" s="1"/>
  <c r="H31" i="3"/>
  <c r="I52" i="6" s="1"/>
  <c r="H30" i="3"/>
  <c r="I51" i="6" s="1"/>
  <c r="H29" i="3"/>
  <c r="I50" i="6" s="1"/>
  <c r="H28" i="3"/>
  <c r="I49" i="6" s="1"/>
  <c r="H27" i="3"/>
  <c r="I48" i="6" s="1"/>
  <c r="H25" i="3"/>
  <c r="I47" i="6" s="1"/>
  <c r="H24" i="3"/>
  <c r="I46" i="6" s="1"/>
  <c r="H23" i="3"/>
  <c r="I45" i="6" s="1"/>
  <c r="H22" i="3"/>
  <c r="I44" i="6" s="1"/>
  <c r="H21" i="3"/>
  <c r="I43" i="6" s="1"/>
  <c r="H19" i="3"/>
  <c r="I42" i="6" s="1"/>
  <c r="H18" i="3"/>
  <c r="I41" i="6" s="1"/>
  <c r="H17" i="3"/>
  <c r="I40" i="6" s="1"/>
  <c r="H16" i="3"/>
  <c r="I39" i="6" s="1"/>
  <c r="H15" i="3"/>
  <c r="I38" i="6" s="1"/>
  <c r="H13" i="3"/>
  <c r="I37" i="6" s="1"/>
  <c r="D13" i="3"/>
  <c r="E37" i="6" s="1"/>
  <c r="H12" i="3"/>
  <c r="I36" i="6" s="1"/>
  <c r="H11" i="3"/>
  <c r="I35" i="6" s="1"/>
  <c r="F11" i="3"/>
  <c r="H10" i="3"/>
  <c r="I34" i="6" s="1"/>
  <c r="H9" i="3"/>
  <c r="I33" i="6" s="1"/>
  <c r="H8" i="3"/>
  <c r="I32" i="6" s="1"/>
  <c r="H7" i="3"/>
  <c r="I31" i="6" s="1"/>
  <c r="I85" i="6" s="1"/>
  <c r="E7" i="3"/>
  <c r="F31" i="6" s="1"/>
  <c r="D17" i="2"/>
  <c r="D16" i="2"/>
  <c r="D15" i="2"/>
  <c r="D18" i="2" s="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F67" i="3" s="1"/>
  <c r="N66" i="1"/>
  <c r="N65" i="1"/>
  <c r="F65" i="3" s="1"/>
  <c r="N64" i="1"/>
  <c r="E64" i="3" s="1"/>
  <c r="F82" i="6" s="1"/>
  <c r="N63" i="1"/>
  <c r="E63" i="3" s="1"/>
  <c r="F81" i="6" s="1"/>
  <c r="N62" i="1"/>
  <c r="F62" i="3" s="1"/>
  <c r="N61" i="1"/>
  <c r="D61" i="3" s="1"/>
  <c r="E79" i="6" s="1"/>
  <c r="N60" i="1"/>
  <c r="F60" i="3" s="1"/>
  <c r="N59" i="1"/>
  <c r="F59" i="3" s="1"/>
  <c r="N58" i="1"/>
  <c r="F58" i="3" s="1"/>
  <c r="N57" i="1"/>
  <c r="N56" i="1"/>
  <c r="N55" i="1"/>
  <c r="F55" i="3" s="1"/>
  <c r="N54" i="1"/>
  <c r="F54" i="3" s="1"/>
  <c r="N53" i="1"/>
  <c r="N52" i="1"/>
  <c r="E52" i="3" s="1"/>
  <c r="F72" i="6" s="1"/>
  <c r="N51" i="1"/>
  <c r="F51" i="3" s="1"/>
  <c r="N50" i="1"/>
  <c r="N49" i="1"/>
  <c r="F49" i="3" s="1"/>
  <c r="N48" i="1"/>
  <c r="F48" i="3" s="1"/>
  <c r="N47" i="1"/>
  <c r="D47" i="3" s="1"/>
  <c r="E67" i="6" s="1"/>
  <c r="N46" i="1"/>
  <c r="N45" i="1"/>
  <c r="F45" i="3" s="1"/>
  <c r="N44" i="1"/>
  <c r="F44" i="3" s="1"/>
  <c r="N43" i="1"/>
  <c r="F43" i="3" s="1"/>
  <c r="N42" i="1"/>
  <c r="N41" i="1"/>
  <c r="F41" i="3" s="1"/>
  <c r="N40" i="1"/>
  <c r="F40" i="3" s="1"/>
  <c r="N39" i="1"/>
  <c r="E39" i="3" s="1"/>
  <c r="F59" i="6" s="1"/>
  <c r="N38" i="1"/>
  <c r="N37" i="1"/>
  <c r="F37" i="3" s="1"/>
  <c r="N36" i="1"/>
  <c r="E36" i="3" s="1"/>
  <c r="F56" i="6" s="1"/>
  <c r="N35" i="1"/>
  <c r="F35" i="3" s="1"/>
  <c r="N34" i="1"/>
  <c r="F34" i="3" s="1"/>
  <c r="N33" i="1"/>
  <c r="N32" i="1"/>
  <c r="E32" i="3" s="1"/>
  <c r="F53" i="6" s="1"/>
  <c r="N31" i="1"/>
  <c r="F31" i="3" s="1"/>
  <c r="N30" i="1"/>
  <c r="F30" i="3" s="1"/>
  <c r="N29" i="1"/>
  <c r="F29" i="3" s="1"/>
  <c r="N28" i="1"/>
  <c r="F28" i="3" s="1"/>
  <c r="N27" i="1"/>
  <c r="F27" i="3" s="1"/>
  <c r="N26" i="1"/>
  <c r="N25" i="1"/>
  <c r="F25" i="3" s="1"/>
  <c r="N24" i="1"/>
  <c r="F24" i="3" s="1"/>
  <c r="N23" i="1"/>
  <c r="F23" i="3" s="1"/>
  <c r="N22" i="1"/>
  <c r="D22" i="3" s="1"/>
  <c r="E44" i="6" s="1"/>
  <c r="N21" i="1"/>
  <c r="E21" i="3" s="1"/>
  <c r="F43" i="6" s="1"/>
  <c r="N20" i="1"/>
  <c r="N19" i="1"/>
  <c r="N18" i="1"/>
  <c r="N17" i="1"/>
  <c r="N16" i="1"/>
  <c r="E16" i="3" s="1"/>
  <c r="F39" i="6" s="1"/>
  <c r="N15" i="1"/>
  <c r="N14" i="1"/>
  <c r="N13" i="1"/>
  <c r="E13" i="4" s="1"/>
  <c r="N12" i="1"/>
  <c r="D12" i="4" s="1"/>
  <c r="N11" i="1"/>
  <c r="N10" i="1"/>
  <c r="E10" i="4" s="1"/>
  <c r="N9" i="1"/>
  <c r="F9" i="3" s="1"/>
  <c r="N8" i="1"/>
  <c r="D8" i="3" s="1"/>
  <c r="E32" i="6" s="1"/>
  <c r="N7" i="1"/>
  <c r="F7" i="3" s="1"/>
  <c r="N6" i="1"/>
  <c r="N5" i="1"/>
  <c r="N4" i="1"/>
  <c r="N3" i="1"/>
  <c r="N2" i="1"/>
  <c r="E9" i="3" s="1"/>
  <c r="F33" i="6" s="1"/>
  <c r="G52" i="6" l="1"/>
  <c r="G74" i="6"/>
  <c r="G46" i="6"/>
  <c r="G60" i="6"/>
  <c r="G68" i="6"/>
  <c r="G47" i="6"/>
  <c r="G61" i="6"/>
  <c r="G69" i="6"/>
  <c r="G83" i="6"/>
  <c r="G33" i="6"/>
  <c r="G54" i="6"/>
  <c r="G76" i="6"/>
  <c r="G31" i="6"/>
  <c r="G55" i="6"/>
  <c r="G63" i="6"/>
  <c r="G71" i="6"/>
  <c r="G77" i="6"/>
  <c r="G84" i="6"/>
  <c r="G45" i="6"/>
  <c r="G48" i="6"/>
  <c r="G49" i="6"/>
  <c r="G64" i="6"/>
  <c r="G78" i="6"/>
  <c r="G50" i="6"/>
  <c r="G57" i="6"/>
  <c r="G65" i="6"/>
  <c r="G51" i="6"/>
  <c r="G73" i="6"/>
  <c r="G80" i="6"/>
  <c r="D26" i="6"/>
  <c r="G26" i="6" s="1"/>
  <c r="F13" i="3"/>
  <c r="D11" i="6"/>
  <c r="E11" i="6"/>
  <c r="G11" i="6"/>
  <c r="E11" i="4"/>
  <c r="E20" i="4" s="1"/>
  <c r="F11" i="6"/>
  <c r="F19" i="6"/>
  <c r="D19" i="6"/>
  <c r="G19" i="6"/>
  <c r="I19" i="6" s="1"/>
  <c r="E19" i="6"/>
  <c r="E19" i="4"/>
  <c r="E19" i="3"/>
  <c r="F42" i="6" s="1"/>
  <c r="G14" i="6"/>
  <c r="E14" i="6"/>
  <c r="D14" i="6"/>
  <c r="F14" i="6"/>
  <c r="D14" i="4"/>
  <c r="E46" i="3"/>
  <c r="F66" i="6" s="1"/>
  <c r="D15" i="3"/>
  <c r="E38" i="6" s="1"/>
  <c r="E25" i="3"/>
  <c r="F47" i="6" s="1"/>
  <c r="F32" i="3"/>
  <c r="F36" i="3"/>
  <c r="F39" i="3"/>
  <c r="D41" i="3"/>
  <c r="E61" i="6" s="1"/>
  <c r="D44" i="3"/>
  <c r="E64" i="6" s="1"/>
  <c r="D49" i="3"/>
  <c r="E69" i="6" s="1"/>
  <c r="F52" i="3"/>
  <c r="D58" i="3"/>
  <c r="E76" i="6" s="1"/>
  <c r="F63" i="3"/>
  <c r="D65" i="3"/>
  <c r="E83" i="6" s="1"/>
  <c r="F10" i="6"/>
  <c r="E10" i="6"/>
  <c r="D10" i="6"/>
  <c r="E10" i="3"/>
  <c r="F34" i="6" s="1"/>
  <c r="G18" i="6"/>
  <c r="E18" i="6"/>
  <c r="F18" i="6"/>
  <c r="D18" i="6"/>
  <c r="E18" i="4"/>
  <c r="D18" i="4"/>
  <c r="F10" i="3"/>
  <c r="E38" i="3"/>
  <c r="F58" i="6" s="1"/>
  <c r="E8" i="3"/>
  <c r="F32" i="6" s="1"/>
  <c r="F85" i="6" s="1"/>
  <c r="D11" i="3"/>
  <c r="E35" i="6" s="1"/>
  <c r="E18" i="3"/>
  <c r="F41" i="6" s="1"/>
  <c r="E22" i="3"/>
  <c r="F44" i="6" s="1"/>
  <c r="D15" i="6"/>
  <c r="F15" i="6"/>
  <c r="G15" i="6"/>
  <c r="I15" i="6" s="1"/>
  <c r="E15" i="6"/>
  <c r="E15" i="4"/>
  <c r="D15" i="4"/>
  <c r="F15" i="4" s="1"/>
  <c r="G15" i="4" s="1"/>
  <c r="E15" i="3"/>
  <c r="F38" i="6" s="1"/>
  <c r="E47" i="3"/>
  <c r="F67" i="6" s="1"/>
  <c r="E55" i="3"/>
  <c r="F74" i="6" s="1"/>
  <c r="C16" i="2"/>
  <c r="D7" i="3"/>
  <c r="G7" i="3" s="1"/>
  <c r="F8" i="3"/>
  <c r="F68" i="3" s="1"/>
  <c r="E11" i="3"/>
  <c r="F35" i="6" s="1"/>
  <c r="F15" i="3"/>
  <c r="F18" i="3"/>
  <c r="F22" i="3"/>
  <c r="D28" i="3"/>
  <c r="E49" i="6" s="1"/>
  <c r="D31" i="3"/>
  <c r="E52" i="6" s="1"/>
  <c r="D35" i="3"/>
  <c r="E55" i="6" s="1"/>
  <c r="D38" i="3"/>
  <c r="E58" i="6" s="1"/>
  <c r="E41" i="3"/>
  <c r="F61" i="6" s="1"/>
  <c r="E44" i="3"/>
  <c r="F64" i="6" s="1"/>
  <c r="F47" i="3"/>
  <c r="E49" i="3"/>
  <c r="F69" i="6" s="1"/>
  <c r="E58" i="3"/>
  <c r="F76" i="6" s="1"/>
  <c r="D60" i="3"/>
  <c r="E78" i="6" s="1"/>
  <c r="E28" i="3"/>
  <c r="F49" i="6" s="1"/>
  <c r="E35" i="3"/>
  <c r="F55" i="6" s="1"/>
  <c r="F38" i="3"/>
  <c r="D51" i="3"/>
  <c r="E71" i="6" s="1"/>
  <c r="D54" i="3"/>
  <c r="E73" i="6" s="1"/>
  <c r="D62" i="3"/>
  <c r="E80" i="6" s="1"/>
  <c r="D13" i="4"/>
  <c r="F13" i="4" s="1"/>
  <c r="G13" i="4" s="1"/>
  <c r="D19" i="4"/>
  <c r="F19" i="4" s="1"/>
  <c r="G19" i="4" s="1"/>
  <c r="G35" i="6"/>
  <c r="D17" i="3"/>
  <c r="E40" i="6" s="1"/>
  <c r="D21" i="3"/>
  <c r="E43" i="6" s="1"/>
  <c r="D24" i="3"/>
  <c r="E46" i="6" s="1"/>
  <c r="E31" i="3"/>
  <c r="F52" i="6" s="1"/>
  <c r="F17" i="6"/>
  <c r="D17" i="6"/>
  <c r="G17" i="6"/>
  <c r="I17" i="6" s="1"/>
  <c r="E17" i="6"/>
  <c r="D17" i="4"/>
  <c r="F17" i="4" s="1"/>
  <c r="G17" i="4" s="1"/>
  <c r="D25" i="6"/>
  <c r="F25" i="6" s="1"/>
  <c r="E57" i="3"/>
  <c r="F75" i="6" s="1"/>
  <c r="E65" i="3"/>
  <c r="F83" i="6" s="1"/>
  <c r="C17" i="2"/>
  <c r="D10" i="3"/>
  <c r="E34" i="6" s="1"/>
  <c r="E13" i="3"/>
  <c r="F37" i="6" s="1"/>
  <c r="E17" i="3"/>
  <c r="F40" i="6" s="1"/>
  <c r="D37" i="3"/>
  <c r="E57" i="6" s="1"/>
  <c r="D40" i="3"/>
  <c r="E60" i="6" s="1"/>
  <c r="D43" i="3"/>
  <c r="E63" i="6" s="1"/>
  <c r="D46" i="3"/>
  <c r="E66" i="6" s="1"/>
  <c r="E54" i="3"/>
  <c r="F73" i="6" s="1"/>
  <c r="E62" i="3"/>
  <c r="F80" i="6" s="1"/>
  <c r="D64" i="3"/>
  <c r="E82" i="6" s="1"/>
  <c r="D16" i="4"/>
  <c r="G10" i="6"/>
  <c r="E50" i="3"/>
  <c r="F70" i="6" s="1"/>
  <c r="F17" i="3"/>
  <c r="F21" i="3"/>
  <c r="D23" i="3"/>
  <c r="E45" i="6" s="1"/>
  <c r="D27" i="3"/>
  <c r="E48" i="6" s="1"/>
  <c r="D30" i="3"/>
  <c r="E51" i="6" s="1"/>
  <c r="D34" i="3"/>
  <c r="E54" i="6" s="1"/>
  <c r="E37" i="3"/>
  <c r="F57" i="6" s="1"/>
  <c r="E40" i="3"/>
  <c r="F60" i="6" s="1"/>
  <c r="E43" i="3"/>
  <c r="F63" i="6" s="1"/>
  <c r="F46" i="3"/>
  <c r="D48" i="3"/>
  <c r="E68" i="6" s="1"/>
  <c r="D57" i="3"/>
  <c r="E75" i="6" s="1"/>
  <c r="D59" i="3"/>
  <c r="E77" i="6" s="1"/>
  <c r="F64" i="3"/>
  <c r="D67" i="3"/>
  <c r="E84" i="6" s="1"/>
  <c r="H68" i="3"/>
  <c r="D22" i="2" s="1"/>
  <c r="D11" i="4"/>
  <c r="F11" i="4" s="1"/>
  <c r="G11" i="4" s="1"/>
  <c r="E16" i="4"/>
  <c r="D9" i="3"/>
  <c r="E33" i="6" s="1"/>
  <c r="D16" i="3"/>
  <c r="E39" i="6" s="1"/>
  <c r="D19" i="3"/>
  <c r="E42" i="6" s="1"/>
  <c r="E23" i="3"/>
  <c r="F45" i="6" s="1"/>
  <c r="E27" i="3"/>
  <c r="F48" i="6" s="1"/>
  <c r="E30" i="3"/>
  <c r="F51" i="6" s="1"/>
  <c r="D45" i="3"/>
  <c r="E65" i="6" s="1"/>
  <c r="E48" i="3"/>
  <c r="F68" i="6" s="1"/>
  <c r="D50" i="3"/>
  <c r="E70" i="6" s="1"/>
  <c r="F57" i="3"/>
  <c r="E59" i="3"/>
  <c r="F77" i="6" s="1"/>
  <c r="E67" i="3"/>
  <c r="F84" i="6" s="1"/>
  <c r="E42" i="3"/>
  <c r="F62" i="6" s="1"/>
  <c r="E51" i="3"/>
  <c r="F71" i="6" s="1"/>
  <c r="D12" i="3"/>
  <c r="E36" i="6" s="1"/>
  <c r="E60" i="3"/>
  <c r="F78" i="6" s="1"/>
  <c r="F19" i="3"/>
  <c r="D32" i="3"/>
  <c r="E53" i="6" s="1"/>
  <c r="D36" i="3"/>
  <c r="E56" i="6" s="1"/>
  <c r="D39" i="3"/>
  <c r="E59" i="6" s="1"/>
  <c r="D42" i="3"/>
  <c r="E62" i="6" s="1"/>
  <c r="E45" i="3"/>
  <c r="F65" i="6" s="1"/>
  <c r="F50" i="3"/>
  <c r="D52" i="3"/>
  <c r="E72" i="6" s="1"/>
  <c r="D63" i="3"/>
  <c r="E81" i="6" s="1"/>
  <c r="E14" i="4"/>
  <c r="E17" i="4"/>
  <c r="H49" i="5"/>
  <c r="I49" i="5" s="1"/>
  <c r="E16" i="6"/>
  <c r="G16" i="6"/>
  <c r="D16" i="6"/>
  <c r="F16" i="6"/>
  <c r="D24" i="6"/>
  <c r="D27" i="6" s="1"/>
  <c r="E24" i="3"/>
  <c r="F46" i="6" s="1"/>
  <c r="E34" i="3"/>
  <c r="F54" i="6" s="1"/>
  <c r="E12" i="6"/>
  <c r="G12" i="6"/>
  <c r="I12" i="6" s="1"/>
  <c r="D12" i="6"/>
  <c r="F12" i="6"/>
  <c r="E12" i="4"/>
  <c r="F12" i="4" s="1"/>
  <c r="G12" i="4" s="1"/>
  <c r="E12" i="3"/>
  <c r="F36" i="6" s="1"/>
  <c r="E5" i="6"/>
  <c r="G5" i="6" s="1"/>
  <c r="F13" i="6"/>
  <c r="D13" i="6"/>
  <c r="G13" i="6"/>
  <c r="I13" i="6" s="1"/>
  <c r="E13" i="6"/>
  <c r="E29" i="3"/>
  <c r="F50" i="6" s="1"/>
  <c r="E61" i="3"/>
  <c r="F79" i="6" s="1"/>
  <c r="C15" i="2"/>
  <c r="C18" i="2" s="1"/>
  <c r="F12" i="3"/>
  <c r="F16" i="3"/>
  <c r="D18" i="3"/>
  <c r="E41" i="6" s="1"/>
  <c r="D25" i="3"/>
  <c r="E47" i="6" s="1"/>
  <c r="D29" i="3"/>
  <c r="E50" i="6" s="1"/>
  <c r="F42" i="3"/>
  <c r="D55" i="3"/>
  <c r="E74" i="6" s="1"/>
  <c r="F61" i="3"/>
  <c r="D10" i="4"/>
  <c r="H51" i="5"/>
  <c r="I51" i="5" s="1"/>
  <c r="H54" i="5"/>
  <c r="I54" i="5" s="1"/>
  <c r="H50" i="5"/>
  <c r="I50" i="5" s="1"/>
  <c r="H52" i="5"/>
  <c r="I52" i="5" s="1"/>
  <c r="I11" i="6"/>
  <c r="C20" i="6"/>
  <c r="I14" i="6"/>
  <c r="I18" i="6"/>
  <c r="H20" i="6"/>
  <c r="F5" i="6"/>
  <c r="I16" i="6"/>
  <c r="C27" i="6"/>
  <c r="F24" i="6"/>
  <c r="E27" i="6"/>
  <c r="G25" i="6"/>
  <c r="D85" i="6"/>
  <c r="F26" i="6"/>
  <c r="E4" i="11"/>
  <c r="E7" i="11" s="1"/>
  <c r="E8" i="11" s="1"/>
  <c r="E9" i="11" s="1"/>
  <c r="H31" i="6" l="1"/>
  <c r="I7" i="3"/>
  <c r="G79" i="6"/>
  <c r="G61" i="3"/>
  <c r="H79" i="6" s="1"/>
  <c r="G42" i="6"/>
  <c r="G19" i="3"/>
  <c r="H42" i="6" s="1"/>
  <c r="F18" i="4"/>
  <c r="G18" i="4" s="1"/>
  <c r="E20" i="6"/>
  <c r="F14" i="4"/>
  <c r="G14" i="4" s="1"/>
  <c r="G37" i="6"/>
  <c r="G13" i="3"/>
  <c r="H37" i="6" s="1"/>
  <c r="G60" i="3"/>
  <c r="H78" i="6" s="1"/>
  <c r="G23" i="3"/>
  <c r="H45" i="6" s="1"/>
  <c r="G43" i="3"/>
  <c r="H63" i="6" s="1"/>
  <c r="G49" i="3"/>
  <c r="H69" i="6" s="1"/>
  <c r="G40" i="3"/>
  <c r="H60" i="6" s="1"/>
  <c r="G66" i="6"/>
  <c r="G46" i="3"/>
  <c r="H66" i="6" s="1"/>
  <c r="G43" i="6"/>
  <c r="G21" i="3"/>
  <c r="H43" i="6" s="1"/>
  <c r="F20" i="6"/>
  <c r="G34" i="3"/>
  <c r="H54" i="6" s="1"/>
  <c r="G40" i="6"/>
  <c r="G17" i="3"/>
  <c r="H40" i="6" s="1"/>
  <c r="G44" i="6"/>
  <c r="G22" i="3"/>
  <c r="H44" i="6" s="1"/>
  <c r="G59" i="6"/>
  <c r="G39" i="3"/>
  <c r="H59" i="6" s="1"/>
  <c r="G45" i="3"/>
  <c r="H65" i="6" s="1"/>
  <c r="G44" i="3"/>
  <c r="H64" i="6" s="1"/>
  <c r="G67" i="3"/>
  <c r="H84" i="6" s="1"/>
  <c r="G35" i="3"/>
  <c r="H55" i="6" s="1"/>
  <c r="G41" i="3"/>
  <c r="H61" i="6" s="1"/>
  <c r="G24" i="3"/>
  <c r="H46" i="6" s="1"/>
  <c r="G27" i="6"/>
  <c r="F27" i="6"/>
  <c r="G62" i="6"/>
  <c r="G42" i="3"/>
  <c r="H62" i="6" s="1"/>
  <c r="G70" i="6"/>
  <c r="G50" i="3"/>
  <c r="H70" i="6" s="1"/>
  <c r="D30" i="2"/>
  <c r="C30" i="2"/>
  <c r="D28" i="2"/>
  <c r="D29" i="2" s="1"/>
  <c r="G67" i="6"/>
  <c r="G47" i="3"/>
  <c r="H67" i="6" s="1"/>
  <c r="G41" i="6"/>
  <c r="G18" i="3"/>
  <c r="H41" i="6" s="1"/>
  <c r="G56" i="6"/>
  <c r="G36" i="3"/>
  <c r="H56" i="6" s="1"/>
  <c r="G62" i="3"/>
  <c r="H80" i="6" s="1"/>
  <c r="G81" i="6"/>
  <c r="G63" i="3"/>
  <c r="H81" i="6" s="1"/>
  <c r="G53" i="6"/>
  <c r="G32" i="3"/>
  <c r="H53" i="6" s="1"/>
  <c r="G37" i="3"/>
  <c r="H57" i="6" s="1"/>
  <c r="G28" i="3"/>
  <c r="H49" i="6" s="1"/>
  <c r="G59" i="3"/>
  <c r="H77" i="6" s="1"/>
  <c r="G9" i="3"/>
  <c r="H33" i="6" s="1"/>
  <c r="G25" i="3"/>
  <c r="H47" i="6" s="1"/>
  <c r="G55" i="3"/>
  <c r="H74" i="6" s="1"/>
  <c r="G58" i="6"/>
  <c r="G38" i="3"/>
  <c r="H58" i="6" s="1"/>
  <c r="G38" i="6"/>
  <c r="G15" i="3"/>
  <c r="H38" i="6" s="1"/>
  <c r="H179" i="5"/>
  <c r="I179" i="5" s="1"/>
  <c r="H171" i="5"/>
  <c r="I171" i="5" s="1"/>
  <c r="H163" i="5"/>
  <c r="I163" i="5" s="1"/>
  <c r="H155" i="5"/>
  <c r="I155" i="5" s="1"/>
  <c r="H147" i="5"/>
  <c r="I147" i="5" s="1"/>
  <c r="H139" i="5"/>
  <c r="I139" i="5" s="1"/>
  <c r="H131" i="5"/>
  <c r="I131" i="5" s="1"/>
  <c r="H123" i="5"/>
  <c r="I123" i="5" s="1"/>
  <c r="H115" i="5"/>
  <c r="I115" i="5" s="1"/>
  <c r="H107" i="5"/>
  <c r="I107" i="5" s="1"/>
  <c r="H99" i="5"/>
  <c r="I99" i="5" s="1"/>
  <c r="H91" i="5"/>
  <c r="I91" i="5" s="1"/>
  <c r="H83" i="5"/>
  <c r="I83" i="5" s="1"/>
  <c r="H75" i="5"/>
  <c r="I75" i="5" s="1"/>
  <c r="H67" i="5"/>
  <c r="I67" i="5" s="1"/>
  <c r="H59" i="5"/>
  <c r="I59" i="5" s="1"/>
  <c r="H176" i="5"/>
  <c r="I176" i="5" s="1"/>
  <c r="H168" i="5"/>
  <c r="I168" i="5" s="1"/>
  <c r="H160" i="5"/>
  <c r="I160" i="5" s="1"/>
  <c r="H181" i="5"/>
  <c r="I181" i="5" s="1"/>
  <c r="H182" i="5" s="1"/>
  <c r="I182" i="5" s="1"/>
  <c r="H178" i="5"/>
  <c r="I178" i="5" s="1"/>
  <c r="H165" i="5"/>
  <c r="I165" i="5" s="1"/>
  <c r="H162" i="5"/>
  <c r="I162" i="5" s="1"/>
  <c r="H141" i="5"/>
  <c r="I141" i="5" s="1"/>
  <c r="H138" i="5"/>
  <c r="I138" i="5" s="1"/>
  <c r="H135" i="5"/>
  <c r="I135" i="5" s="1"/>
  <c r="H109" i="5"/>
  <c r="I109" i="5" s="1"/>
  <c r="H106" i="5"/>
  <c r="I106" i="5" s="1"/>
  <c r="H103" i="5"/>
  <c r="I103" i="5" s="1"/>
  <c r="H77" i="5"/>
  <c r="I77" i="5" s="1"/>
  <c r="H74" i="5"/>
  <c r="I74" i="5" s="1"/>
  <c r="H71" i="5"/>
  <c r="I71" i="5" s="1"/>
  <c r="H152" i="5"/>
  <c r="I152" i="5" s="1"/>
  <c r="H132" i="5"/>
  <c r="I132" i="5" s="1"/>
  <c r="H129" i="5"/>
  <c r="I129" i="5" s="1"/>
  <c r="H126" i="5"/>
  <c r="I126" i="5" s="1"/>
  <c r="H120" i="5"/>
  <c r="I120" i="5" s="1"/>
  <c r="H100" i="5"/>
  <c r="I100" i="5" s="1"/>
  <c r="H97" i="5"/>
  <c r="I97" i="5" s="1"/>
  <c r="H94" i="5"/>
  <c r="I94" i="5" s="1"/>
  <c r="H88" i="5"/>
  <c r="I88" i="5" s="1"/>
  <c r="H68" i="5"/>
  <c r="I68" i="5" s="1"/>
  <c r="H65" i="5"/>
  <c r="I65" i="5" s="1"/>
  <c r="H62" i="5"/>
  <c r="I62" i="5" s="1"/>
  <c r="H56" i="5"/>
  <c r="I56" i="5" s="1"/>
  <c r="H164" i="5"/>
  <c r="I164" i="5" s="1"/>
  <c r="H150" i="5"/>
  <c r="I150" i="5" s="1"/>
  <c r="H143" i="5"/>
  <c r="I143" i="5" s="1"/>
  <c r="H140" i="5"/>
  <c r="I140" i="5" s="1"/>
  <c r="H122" i="5"/>
  <c r="I122" i="5" s="1"/>
  <c r="H112" i="5"/>
  <c r="I112" i="5" s="1"/>
  <c r="H102" i="5"/>
  <c r="I102" i="5" s="1"/>
  <c r="H81" i="5"/>
  <c r="I81" i="5" s="1"/>
  <c r="H60" i="5"/>
  <c r="I60" i="5" s="1"/>
  <c r="H174" i="5"/>
  <c r="I174" i="5" s="1"/>
  <c r="H167" i="5"/>
  <c r="I167" i="5" s="1"/>
  <c r="H153" i="5"/>
  <c r="I153" i="5" s="1"/>
  <c r="H146" i="5"/>
  <c r="I146" i="5" s="1"/>
  <c r="H136" i="5"/>
  <c r="I136" i="5" s="1"/>
  <c r="H133" i="5"/>
  <c r="I133" i="5" s="1"/>
  <c r="H125" i="5"/>
  <c r="I125" i="5" s="1"/>
  <c r="H105" i="5"/>
  <c r="I105" i="5" s="1"/>
  <c r="H98" i="5"/>
  <c r="I98" i="5" s="1"/>
  <c r="H87" i="5"/>
  <c r="I87" i="5" s="1"/>
  <c r="H84" i="5"/>
  <c r="I84" i="5" s="1"/>
  <c r="H63" i="5"/>
  <c r="I63" i="5" s="1"/>
  <c r="H170" i="5"/>
  <c r="I170" i="5" s="1"/>
  <c r="H156" i="5"/>
  <c r="I156" i="5" s="1"/>
  <c r="H149" i="5"/>
  <c r="I149" i="5" s="1"/>
  <c r="H128" i="5"/>
  <c r="I128" i="5" s="1"/>
  <c r="H118" i="5"/>
  <c r="I118" i="5" s="1"/>
  <c r="H111" i="5"/>
  <c r="I111" i="5" s="1"/>
  <c r="H108" i="5"/>
  <c r="I108" i="5" s="1"/>
  <c r="H90" i="5"/>
  <c r="I90" i="5" s="1"/>
  <c r="H80" i="5"/>
  <c r="I80" i="5" s="1"/>
  <c r="H70" i="5"/>
  <c r="I70" i="5" s="1"/>
  <c r="H177" i="5"/>
  <c r="I177" i="5" s="1"/>
  <c r="H173" i="5"/>
  <c r="I173" i="5" s="1"/>
  <c r="H159" i="5"/>
  <c r="I159" i="5" s="1"/>
  <c r="H142" i="5"/>
  <c r="I142" i="5" s="1"/>
  <c r="H121" i="5"/>
  <c r="I121" i="5" s="1"/>
  <c r="H114" i="5"/>
  <c r="I114" i="5" s="1"/>
  <c r="H104" i="5"/>
  <c r="I104" i="5" s="1"/>
  <c r="H101" i="5"/>
  <c r="I101" i="5" s="1"/>
  <c r="H93" i="5"/>
  <c r="I93" i="5" s="1"/>
  <c r="H73" i="5"/>
  <c r="I73" i="5" s="1"/>
  <c r="H66" i="5"/>
  <c r="I66" i="5" s="1"/>
  <c r="H172" i="5"/>
  <c r="I172" i="5" s="1"/>
  <c r="H154" i="5"/>
  <c r="I154" i="5" s="1"/>
  <c r="H144" i="5"/>
  <c r="I144" i="5" s="1"/>
  <c r="H134" i="5"/>
  <c r="I134" i="5" s="1"/>
  <c r="H113" i="5"/>
  <c r="I113" i="5" s="1"/>
  <c r="H92" i="5"/>
  <c r="I92" i="5" s="1"/>
  <c r="H85" i="5"/>
  <c r="I85" i="5" s="1"/>
  <c r="H64" i="5"/>
  <c r="I64" i="5" s="1"/>
  <c r="H169" i="5"/>
  <c r="I169" i="5" s="1"/>
  <c r="H158" i="5"/>
  <c r="I158" i="5" s="1"/>
  <c r="H89" i="5"/>
  <c r="I89" i="5" s="1"/>
  <c r="H78" i="5"/>
  <c r="I78" i="5" s="1"/>
  <c r="H72" i="5"/>
  <c r="I72" i="5" s="1"/>
  <c r="H61" i="5"/>
  <c r="I61" i="5" s="1"/>
  <c r="H180" i="5"/>
  <c r="I180" i="5" s="1"/>
  <c r="H148" i="5"/>
  <c r="I148" i="5" s="1"/>
  <c r="H127" i="5"/>
  <c r="I127" i="5" s="1"/>
  <c r="H116" i="5"/>
  <c r="I116" i="5" s="1"/>
  <c r="H82" i="5"/>
  <c r="I82" i="5" s="1"/>
  <c r="H157" i="5"/>
  <c r="I157" i="5" s="1"/>
  <c r="H137" i="5"/>
  <c r="I137" i="5" s="1"/>
  <c r="H110" i="5"/>
  <c r="I110" i="5" s="1"/>
  <c r="H151" i="5"/>
  <c r="I151" i="5" s="1"/>
  <c r="H76" i="5"/>
  <c r="I76" i="5" s="1"/>
  <c r="H166" i="5"/>
  <c r="I166" i="5" s="1"/>
  <c r="H161" i="5"/>
  <c r="I161" i="5" s="1"/>
  <c r="H130" i="5"/>
  <c r="I130" i="5" s="1"/>
  <c r="H119" i="5"/>
  <c r="I119" i="5" s="1"/>
  <c r="H86" i="5"/>
  <c r="I86" i="5" s="1"/>
  <c r="H124" i="5"/>
  <c r="I124" i="5" s="1"/>
  <c r="H96" i="5"/>
  <c r="I96" i="5" s="1"/>
  <c r="H58" i="5"/>
  <c r="I58" i="5" s="1"/>
  <c r="H145" i="5"/>
  <c r="I145" i="5" s="1"/>
  <c r="H79" i="5"/>
  <c r="I79" i="5" s="1"/>
  <c r="H69" i="5"/>
  <c r="I69" i="5" s="1"/>
  <c r="H175" i="5"/>
  <c r="I175" i="5" s="1"/>
  <c r="H117" i="5"/>
  <c r="I117" i="5" s="1"/>
  <c r="H95" i="5"/>
  <c r="I95" i="5" s="1"/>
  <c r="H57" i="5"/>
  <c r="I57" i="5" s="1"/>
  <c r="G82" i="6"/>
  <c r="G64" i="3"/>
  <c r="H82" i="6" s="1"/>
  <c r="F16" i="4"/>
  <c r="G16" i="4" s="1"/>
  <c r="G11" i="3"/>
  <c r="H35" i="6" s="1"/>
  <c r="G54" i="3"/>
  <c r="H73" i="6" s="1"/>
  <c r="G20" i="6"/>
  <c r="G24" i="6"/>
  <c r="I10" i="6"/>
  <c r="I20" i="6" s="1"/>
  <c r="G39" i="6"/>
  <c r="G16" i="3"/>
  <c r="H39" i="6" s="1"/>
  <c r="G32" i="6"/>
  <c r="G85" i="6" s="1"/>
  <c r="G8" i="3"/>
  <c r="H32" i="6" s="1"/>
  <c r="G72" i="6"/>
  <c r="G52" i="3"/>
  <c r="H72" i="6" s="1"/>
  <c r="G29" i="3"/>
  <c r="H50" i="6" s="1"/>
  <c r="G27" i="3"/>
  <c r="H48" i="6" s="1"/>
  <c r="G51" i="3"/>
  <c r="H71" i="6" s="1"/>
  <c r="G65" i="3"/>
  <c r="H83" i="6" s="1"/>
  <c r="G48" i="3"/>
  <c r="H68" i="6" s="1"/>
  <c r="G31" i="3"/>
  <c r="H52" i="6" s="1"/>
  <c r="D20" i="4"/>
  <c r="F10" i="4"/>
  <c r="G36" i="6"/>
  <c r="G12" i="3"/>
  <c r="H36" i="6" s="1"/>
  <c r="G75" i="6"/>
  <c r="G57" i="3"/>
  <c r="H75" i="6" s="1"/>
  <c r="E68" i="3"/>
  <c r="E31" i="6"/>
  <c r="E85" i="6" s="1"/>
  <c r="D68" i="3"/>
  <c r="G34" i="6"/>
  <c r="G10" i="3"/>
  <c r="H34" i="6" s="1"/>
  <c r="D20" i="6"/>
  <c r="G30" i="3"/>
  <c r="H51" i="6" s="1"/>
  <c r="G58" i="3"/>
  <c r="H76" i="6" s="1"/>
  <c r="F20" i="4" l="1"/>
  <c r="H10" i="4"/>
  <c r="G10" i="4"/>
  <c r="H195" i="5"/>
  <c r="I195" i="5" s="1"/>
  <c r="H187" i="5"/>
  <c r="I187" i="5" s="1"/>
  <c r="H198" i="5"/>
  <c r="I198" i="5" s="1"/>
  <c r="H192" i="5"/>
  <c r="I192" i="5" s="1"/>
  <c r="H184" i="5"/>
  <c r="I184" i="5" s="1"/>
  <c r="H194" i="5"/>
  <c r="I194" i="5" s="1"/>
  <c r="H197" i="5"/>
  <c r="I197" i="5" s="1"/>
  <c r="H200" i="5"/>
  <c r="I200" i="5" s="1"/>
  <c r="H196" i="5"/>
  <c r="I196" i="5" s="1"/>
  <c r="H185" i="5"/>
  <c r="I185" i="5" s="1"/>
  <c r="H188" i="5"/>
  <c r="I188" i="5" s="1"/>
  <c r="H191" i="5"/>
  <c r="I191" i="5" s="1"/>
  <c r="H186" i="5"/>
  <c r="I186" i="5" s="1"/>
  <c r="H190" i="5"/>
  <c r="I190" i="5" s="1"/>
  <c r="H189" i="5"/>
  <c r="I189" i="5" s="1"/>
  <c r="H183" i="5"/>
  <c r="I183" i="5" s="1"/>
  <c r="H199" i="5"/>
  <c r="I199" i="5" s="1"/>
  <c r="H193" i="5"/>
  <c r="I193" i="5" s="1"/>
  <c r="G68" i="3"/>
  <c r="I8" i="3"/>
  <c r="I9" i="3" s="1"/>
  <c r="I10" i="3" s="1"/>
  <c r="I11" i="3" s="1"/>
  <c r="I12" i="3" s="1"/>
  <c r="I13" i="3" s="1"/>
  <c r="I15" i="3" s="1"/>
  <c r="I16" i="3" s="1"/>
  <c r="I17" i="3" s="1"/>
  <c r="I18" i="3" s="1"/>
  <c r="I19" i="3" s="1"/>
  <c r="I21" i="3" s="1"/>
  <c r="I22" i="3" s="1"/>
  <c r="I23" i="3" s="1"/>
  <c r="I24" i="3" s="1"/>
  <c r="I25" i="3" s="1"/>
  <c r="I27" i="3" s="1"/>
  <c r="I28" i="3" s="1"/>
  <c r="I29" i="3" s="1"/>
  <c r="I30" i="3" s="1"/>
  <c r="I31" i="3" s="1"/>
  <c r="I32" i="3" s="1"/>
  <c r="I34" i="3" s="1"/>
  <c r="I35" i="3" s="1"/>
  <c r="I36" i="3" s="1"/>
  <c r="I37" i="3" s="1"/>
  <c r="I38" i="3" s="1"/>
  <c r="I39" i="3" s="1"/>
  <c r="I40" i="3" s="1"/>
  <c r="I41" i="3" s="1"/>
  <c r="I42" i="3" s="1"/>
  <c r="I43" i="3" s="1"/>
  <c r="I44" i="3" s="1"/>
  <c r="I45" i="3" s="1"/>
  <c r="I46" i="3" s="1"/>
  <c r="I47" i="3" s="1"/>
  <c r="I48" i="3" s="1"/>
  <c r="I49" i="3" s="1"/>
  <c r="I50" i="3" s="1"/>
  <c r="I51" i="3" s="1"/>
  <c r="I52" i="3" s="1"/>
  <c r="I54" i="3" s="1"/>
  <c r="I55" i="3" s="1"/>
  <c r="I57" i="3" s="1"/>
  <c r="I58" i="3" s="1"/>
  <c r="I59" i="3" s="1"/>
  <c r="I60" i="3" s="1"/>
  <c r="I61" i="3" s="1"/>
  <c r="I62" i="3" s="1"/>
  <c r="I63" i="3" s="1"/>
  <c r="I64" i="3" s="1"/>
  <c r="I65" i="3" s="1"/>
  <c r="I67" i="3" s="1"/>
  <c r="H85" i="6"/>
  <c r="H228" i="5" l="1"/>
  <c r="I228" i="5" s="1"/>
  <c r="H220" i="5"/>
  <c r="I220" i="5" s="1"/>
  <c r="H212" i="5"/>
  <c r="I212" i="5" s="1"/>
  <c r="H204" i="5"/>
  <c r="I204" i="5" s="1"/>
  <c r="H214" i="5"/>
  <c r="I214" i="5" s="1"/>
  <c r="H211" i="5"/>
  <c r="I211" i="5" s="1"/>
  <c r="H208" i="5"/>
  <c r="I208" i="5" s="1"/>
  <c r="H225" i="5"/>
  <c r="I225" i="5" s="1"/>
  <c r="H205" i="5"/>
  <c r="I205" i="5" s="1"/>
  <c r="H202" i="5"/>
  <c r="I202" i="5" s="1"/>
  <c r="H223" i="5"/>
  <c r="I223" i="5" s="1"/>
  <c r="H216" i="5"/>
  <c r="I216" i="5" s="1"/>
  <c r="H213" i="5"/>
  <c r="I213" i="5" s="1"/>
  <c r="H226" i="5"/>
  <c r="I226" i="5" s="1"/>
  <c r="H219" i="5"/>
  <c r="I219" i="5" s="1"/>
  <c r="H209" i="5"/>
  <c r="I209" i="5" s="1"/>
  <c r="H206" i="5"/>
  <c r="I206" i="5" s="1"/>
  <c r="H218" i="5"/>
  <c r="I218" i="5" s="1"/>
  <c r="H210" i="5"/>
  <c r="I210" i="5" s="1"/>
  <c r="H221" i="5"/>
  <c r="I221" i="5" s="1"/>
  <c r="H217" i="5"/>
  <c r="I217" i="5" s="1"/>
  <c r="H224" i="5"/>
  <c r="I224" i="5" s="1"/>
  <c r="H227" i="5"/>
  <c r="I227" i="5" s="1"/>
  <c r="H215" i="5"/>
  <c r="I215" i="5" s="1"/>
  <c r="H203" i="5"/>
  <c r="I203" i="5" s="1"/>
  <c r="H207" i="5"/>
  <c r="I207" i="5" s="1"/>
  <c r="H222" i="5"/>
  <c r="I222" i="5" s="1"/>
  <c r="I10" i="4"/>
  <c r="H11" i="4"/>
  <c r="I68" i="3"/>
  <c r="C22" i="2"/>
  <c r="C28" i="2" s="1"/>
  <c r="C29" i="2" l="1"/>
  <c r="C31" i="2"/>
  <c r="C32" i="2"/>
  <c r="I11" i="4"/>
  <c r="H12" i="4"/>
  <c r="H245" i="5"/>
  <c r="I245" i="5" s="1"/>
  <c r="H237" i="5"/>
  <c r="I237" i="5" s="1"/>
  <c r="H247" i="5"/>
  <c r="I247" i="5" s="1"/>
  <c r="H244" i="5"/>
  <c r="I244" i="5" s="1"/>
  <c r="H241" i="5"/>
  <c r="I241" i="5" s="1"/>
  <c r="H238" i="5"/>
  <c r="I238" i="5" s="1"/>
  <c r="H235" i="5"/>
  <c r="I235" i="5" s="1"/>
  <c r="H232" i="5"/>
  <c r="I232" i="5" s="1"/>
  <c r="H234" i="5"/>
  <c r="I234" i="5" s="1"/>
  <c r="H248" i="5"/>
  <c r="I248" i="5" s="1"/>
  <c r="H251" i="5"/>
  <c r="I251" i="5" s="1"/>
  <c r="H243" i="5"/>
  <c r="I243" i="5" s="1"/>
  <c r="H231" i="5"/>
  <c r="I231" i="5" s="1"/>
  <c r="H239" i="5"/>
  <c r="I239" i="5" s="1"/>
  <c r="H250" i="5"/>
  <c r="I250" i="5" s="1"/>
  <c r="H246" i="5"/>
  <c r="I246" i="5" s="1"/>
  <c r="H242" i="5"/>
  <c r="I242" i="5" s="1"/>
  <c r="H230" i="5"/>
  <c r="I230" i="5" s="1"/>
  <c r="H252" i="5"/>
  <c r="I252" i="5" s="1"/>
  <c r="H240" i="5"/>
  <c r="I240" i="5" s="1"/>
  <c r="H233" i="5"/>
  <c r="I233" i="5" s="1"/>
  <c r="H249" i="5"/>
  <c r="I249" i="5" s="1"/>
  <c r="H236" i="5"/>
  <c r="I236" i="5" s="1"/>
  <c r="H13" i="4" l="1"/>
  <c r="I12" i="4"/>
  <c r="H253" i="5"/>
  <c r="I253" i="5" s="1"/>
  <c r="H254" i="5"/>
  <c r="I254" i="5" s="1"/>
  <c r="H285" i="5" l="1"/>
  <c r="I285" i="5" s="1"/>
  <c r="H277" i="5"/>
  <c r="I277" i="5" s="1"/>
  <c r="H278" i="5"/>
  <c r="I278" i="5" s="1"/>
  <c r="H275" i="5"/>
  <c r="I275" i="5" s="1"/>
  <c r="H267" i="5"/>
  <c r="I267" i="5" s="1"/>
  <c r="H292" i="5"/>
  <c r="I292" i="5" s="1"/>
  <c r="H286" i="5"/>
  <c r="I286" i="5" s="1"/>
  <c r="H283" i="5"/>
  <c r="I283" i="5" s="1"/>
  <c r="H280" i="5"/>
  <c r="I280" i="5" s="1"/>
  <c r="H268" i="5"/>
  <c r="I268" i="5" s="1"/>
  <c r="H265" i="5"/>
  <c r="I265" i="5" s="1"/>
  <c r="H262" i="5"/>
  <c r="I262" i="5" s="1"/>
  <c r="H272" i="5"/>
  <c r="I272" i="5" s="1"/>
  <c r="H266" i="5"/>
  <c r="I266" i="5" s="1"/>
  <c r="H288" i="5"/>
  <c r="I288" i="5" s="1"/>
  <c r="H269" i="5"/>
  <c r="I269" i="5" s="1"/>
  <c r="H259" i="5"/>
  <c r="I259" i="5" s="1"/>
  <c r="H274" i="5"/>
  <c r="I274" i="5" s="1"/>
  <c r="H263" i="5"/>
  <c r="I263" i="5" s="1"/>
  <c r="H256" i="5"/>
  <c r="I256" i="5" s="1"/>
  <c r="H289" i="5"/>
  <c r="I289" i="5" s="1"/>
  <c r="H281" i="5"/>
  <c r="I281" i="5" s="1"/>
  <c r="H276" i="5"/>
  <c r="I276" i="5" s="1"/>
  <c r="H284" i="5"/>
  <c r="I284" i="5" s="1"/>
  <c r="H271" i="5"/>
  <c r="I271" i="5" s="1"/>
  <c r="H287" i="5"/>
  <c r="I287" i="5" s="1"/>
  <c r="H279" i="5"/>
  <c r="I279" i="5" s="1"/>
  <c r="H258" i="5"/>
  <c r="I258" i="5" s="1"/>
  <c r="H290" i="5"/>
  <c r="I290" i="5" s="1"/>
  <c r="H273" i="5"/>
  <c r="I273" i="5" s="1"/>
  <c r="H264" i="5"/>
  <c r="I264" i="5" s="1"/>
  <c r="H257" i="5"/>
  <c r="I257" i="5" s="1"/>
  <c r="H282" i="5"/>
  <c r="I282" i="5" s="1"/>
  <c r="H261" i="5"/>
  <c r="I261" i="5" s="1"/>
  <c r="H291" i="5"/>
  <c r="I291" i="5" s="1"/>
  <c r="H260" i="5"/>
  <c r="I260" i="5" s="1"/>
  <c r="H270" i="5"/>
  <c r="I270" i="5" s="1"/>
  <c r="I13" i="4"/>
  <c r="H14" i="4"/>
  <c r="H15" i="4" l="1"/>
  <c r="I14" i="4"/>
  <c r="H301" i="5"/>
  <c r="I301" i="5" s="1"/>
  <c r="H293" i="5"/>
  <c r="I293" i="5" s="1"/>
  <c r="H298" i="5"/>
  <c r="I298" i="5" s="1"/>
  <c r="H299" i="5"/>
  <c r="I299" i="5" s="1"/>
  <c r="H295" i="5"/>
  <c r="I295" i="5" s="1"/>
  <c r="H294" i="5"/>
  <c r="I294" i="5" s="1"/>
  <c r="H297" i="5"/>
  <c r="I297" i="5" s="1"/>
  <c r="H300" i="5"/>
  <c r="I300" i="5" s="1"/>
  <c r="H296" i="5"/>
  <c r="I296" i="5" s="1"/>
  <c r="H382" i="5" l="1"/>
  <c r="I382" i="5" s="1"/>
  <c r="H374" i="5"/>
  <c r="I374" i="5" s="1"/>
  <c r="H366" i="5"/>
  <c r="I366" i="5" s="1"/>
  <c r="H358" i="5"/>
  <c r="I358" i="5" s="1"/>
  <c r="H350" i="5"/>
  <c r="I350" i="5" s="1"/>
  <c r="H342" i="5"/>
  <c r="I342" i="5" s="1"/>
  <c r="H334" i="5"/>
  <c r="I334" i="5" s="1"/>
  <c r="H326" i="5"/>
  <c r="I326" i="5" s="1"/>
  <c r="H318" i="5"/>
  <c r="I318" i="5" s="1"/>
  <c r="H310" i="5"/>
  <c r="I310" i="5" s="1"/>
  <c r="H375" i="5"/>
  <c r="I375" i="5" s="1"/>
  <c r="H372" i="5"/>
  <c r="I372" i="5" s="1"/>
  <c r="H369" i="5"/>
  <c r="I369" i="5" s="1"/>
  <c r="H363" i="5"/>
  <c r="I363" i="5" s="1"/>
  <c r="H343" i="5"/>
  <c r="I343" i="5" s="1"/>
  <c r="H340" i="5"/>
  <c r="I340" i="5" s="1"/>
  <c r="H337" i="5"/>
  <c r="I337" i="5" s="1"/>
  <c r="H331" i="5"/>
  <c r="I331" i="5" s="1"/>
  <c r="H311" i="5"/>
  <c r="I311" i="5" s="1"/>
  <c r="H308" i="5"/>
  <c r="I308" i="5" s="1"/>
  <c r="H305" i="5"/>
  <c r="I305" i="5" s="1"/>
  <c r="H383" i="5"/>
  <c r="I383" i="5" s="1"/>
  <c r="H380" i="5"/>
  <c r="I380" i="5" s="1"/>
  <c r="H377" i="5"/>
  <c r="I377" i="5" s="1"/>
  <c r="H364" i="5"/>
  <c r="I364" i="5" s="1"/>
  <c r="H357" i="5"/>
  <c r="I357" i="5" s="1"/>
  <c r="H351" i="5"/>
  <c r="I351" i="5" s="1"/>
  <c r="H348" i="5"/>
  <c r="I348" i="5" s="1"/>
  <c r="H345" i="5"/>
  <c r="I345" i="5" s="1"/>
  <c r="H332" i="5"/>
  <c r="I332" i="5" s="1"/>
  <c r="H325" i="5"/>
  <c r="I325" i="5" s="1"/>
  <c r="H319" i="5"/>
  <c r="I319" i="5" s="1"/>
  <c r="H316" i="5"/>
  <c r="I316" i="5" s="1"/>
  <c r="H313" i="5"/>
  <c r="I313" i="5" s="1"/>
  <c r="H381" i="5"/>
  <c r="I381" i="5" s="1"/>
  <c r="H367" i="5"/>
  <c r="I367" i="5" s="1"/>
  <c r="H356" i="5"/>
  <c r="I356" i="5" s="1"/>
  <c r="H346" i="5"/>
  <c r="I346" i="5" s="1"/>
  <c r="H339" i="5"/>
  <c r="I339" i="5" s="1"/>
  <c r="H328" i="5"/>
  <c r="I328" i="5" s="1"/>
  <c r="H321" i="5"/>
  <c r="I321" i="5" s="1"/>
  <c r="H304" i="5"/>
  <c r="I304" i="5" s="1"/>
  <c r="H384" i="5"/>
  <c r="I384" i="5" s="1"/>
  <c r="H370" i="5"/>
  <c r="I370" i="5" s="1"/>
  <c r="H349" i="5"/>
  <c r="I349" i="5" s="1"/>
  <c r="H335" i="5"/>
  <c r="I335" i="5" s="1"/>
  <c r="H324" i="5"/>
  <c r="I324" i="5" s="1"/>
  <c r="H314" i="5"/>
  <c r="I314" i="5" s="1"/>
  <c r="H307" i="5"/>
  <c r="I307" i="5" s="1"/>
  <c r="H360" i="5"/>
  <c r="I360" i="5" s="1"/>
  <c r="H352" i="5"/>
  <c r="I352" i="5" s="1"/>
  <c r="H344" i="5"/>
  <c r="I344" i="5" s="1"/>
  <c r="H336" i="5"/>
  <c r="I336" i="5" s="1"/>
  <c r="H323" i="5"/>
  <c r="I323" i="5" s="1"/>
  <c r="H303" i="5"/>
  <c r="I303" i="5" s="1"/>
  <c r="H376" i="5"/>
  <c r="I376" i="5" s="1"/>
  <c r="H368" i="5"/>
  <c r="I368" i="5" s="1"/>
  <c r="H355" i="5"/>
  <c r="I355" i="5" s="1"/>
  <c r="H347" i="5"/>
  <c r="I347" i="5" s="1"/>
  <c r="H315" i="5"/>
  <c r="I315" i="5" s="1"/>
  <c r="H327" i="5"/>
  <c r="I327" i="5" s="1"/>
  <c r="H309" i="5"/>
  <c r="I309" i="5" s="1"/>
  <c r="H378" i="5"/>
  <c r="I378" i="5" s="1"/>
  <c r="H373" i="5"/>
  <c r="I373" i="5" s="1"/>
  <c r="H362" i="5"/>
  <c r="I362" i="5" s="1"/>
  <c r="H317" i="5"/>
  <c r="I317" i="5" s="1"/>
  <c r="H353" i="5"/>
  <c r="I353" i="5" s="1"/>
  <c r="H330" i="5"/>
  <c r="I330" i="5" s="1"/>
  <c r="H312" i="5"/>
  <c r="I312" i="5" s="1"/>
  <c r="H338" i="5"/>
  <c r="I338" i="5" s="1"/>
  <c r="H379" i="5"/>
  <c r="I379" i="5" s="1"/>
  <c r="H385" i="5"/>
  <c r="I385" i="5" s="1"/>
  <c r="H371" i="5"/>
  <c r="I371" i="5" s="1"/>
  <c r="H354" i="5"/>
  <c r="I354" i="5" s="1"/>
  <c r="H365" i="5"/>
  <c r="I365" i="5" s="1"/>
  <c r="H359" i="5"/>
  <c r="I359" i="5" s="1"/>
  <c r="H306" i="5"/>
  <c r="I306" i="5" s="1"/>
  <c r="H341" i="5"/>
  <c r="I341" i="5" s="1"/>
  <c r="H329" i="5"/>
  <c r="I329" i="5" s="1"/>
  <c r="H322" i="5"/>
  <c r="I322" i="5" s="1"/>
  <c r="H333" i="5"/>
  <c r="I333" i="5" s="1"/>
  <c r="H361" i="5"/>
  <c r="I361" i="5" s="1"/>
  <c r="H320" i="5"/>
  <c r="I320" i="5" s="1"/>
  <c r="H16" i="4"/>
  <c r="I15" i="4"/>
  <c r="H398" i="5" l="1"/>
  <c r="I398" i="5" s="1"/>
  <c r="H390" i="5"/>
  <c r="I390" i="5" s="1"/>
  <c r="H401" i="5"/>
  <c r="I401" i="5" s="1"/>
  <c r="H395" i="5"/>
  <c r="I395" i="5" s="1"/>
  <c r="H396" i="5"/>
  <c r="I396" i="5" s="1"/>
  <c r="H389" i="5"/>
  <c r="I389" i="5" s="1"/>
  <c r="H402" i="5"/>
  <c r="I402" i="5" s="1"/>
  <c r="H394" i="5"/>
  <c r="I394" i="5" s="1"/>
  <c r="H391" i="5"/>
  <c r="I391" i="5" s="1"/>
  <c r="H387" i="5"/>
  <c r="I387" i="5" s="1"/>
  <c r="H393" i="5"/>
  <c r="I393" i="5" s="1"/>
  <c r="H397" i="5"/>
  <c r="I397" i="5" s="1"/>
  <c r="H388" i="5"/>
  <c r="I388" i="5" s="1"/>
  <c r="H403" i="5"/>
  <c r="I403" i="5" s="1"/>
  <c r="H392" i="5"/>
  <c r="I392" i="5" s="1"/>
  <c r="H386" i="5"/>
  <c r="I386" i="5" s="1"/>
  <c r="H400" i="5"/>
  <c r="I400" i="5" s="1"/>
  <c r="H399" i="5"/>
  <c r="I399" i="5" s="1"/>
  <c r="I16" i="4"/>
  <c r="H17" i="4"/>
  <c r="H423" i="5" l="1"/>
  <c r="I423" i="5" s="1"/>
  <c r="H415" i="5"/>
  <c r="I415" i="5" s="1"/>
  <c r="H407" i="5"/>
  <c r="I407" i="5" s="1"/>
  <c r="H408" i="5"/>
  <c r="I408" i="5" s="1"/>
  <c r="H405" i="5"/>
  <c r="I405" i="5" s="1"/>
  <c r="H422" i="5"/>
  <c r="I422" i="5" s="1"/>
  <c r="H416" i="5"/>
  <c r="I416" i="5" s="1"/>
  <c r="H413" i="5"/>
  <c r="I413" i="5" s="1"/>
  <c r="H410" i="5"/>
  <c r="I410" i="5" s="1"/>
  <c r="H427" i="5"/>
  <c r="I427" i="5" s="1"/>
  <c r="H424" i="5"/>
  <c r="I424" i="5" s="1"/>
  <c r="H420" i="5"/>
  <c r="I420" i="5" s="1"/>
  <c r="H417" i="5"/>
  <c r="I417" i="5" s="1"/>
  <c r="H426" i="5"/>
  <c r="I426" i="5" s="1"/>
  <c r="H418" i="5"/>
  <c r="I418" i="5" s="1"/>
  <c r="H414" i="5"/>
  <c r="I414" i="5" s="1"/>
  <c r="H406" i="5"/>
  <c r="I406" i="5" s="1"/>
  <c r="H412" i="5"/>
  <c r="I412" i="5" s="1"/>
  <c r="H421" i="5"/>
  <c r="I421" i="5" s="1"/>
  <c r="H425" i="5"/>
  <c r="I425" i="5" s="1"/>
  <c r="H411" i="5"/>
  <c r="I411" i="5" s="1"/>
  <c r="H409" i="5"/>
  <c r="I409" i="5" s="1"/>
  <c r="H419" i="5"/>
  <c r="I419" i="5" s="1"/>
  <c r="I17" i="4"/>
  <c r="H18" i="4"/>
  <c r="H431" i="5" l="1"/>
  <c r="I431" i="5" s="1"/>
  <c r="H434" i="5"/>
  <c r="I434" i="5" s="1"/>
  <c r="H428" i="5"/>
  <c r="I428" i="5" s="1"/>
  <c r="H429" i="5"/>
  <c r="I429" i="5" s="1"/>
  <c r="H430" i="5"/>
  <c r="I430" i="5" s="1"/>
  <c r="H432" i="5"/>
  <c r="I432" i="5" s="1"/>
  <c r="H433" i="5"/>
  <c r="I433" i="5" s="1"/>
  <c r="H19" i="4"/>
  <c r="I19" i="4" s="1"/>
  <c r="G20" i="4" s="1"/>
  <c r="I18" i="4"/>
  <c r="H475" i="5" l="1"/>
  <c r="I475" i="5" s="1"/>
  <c r="H472" i="5"/>
  <c r="I472" i="5" s="1"/>
  <c r="H464" i="5"/>
  <c r="I464" i="5" s="1"/>
  <c r="H456" i="5"/>
  <c r="I456" i="5" s="1"/>
  <c r="H448" i="5"/>
  <c r="I448" i="5" s="1"/>
  <c r="H440" i="5"/>
  <c r="I440" i="5" s="1"/>
  <c r="H476" i="5"/>
  <c r="I476" i="5" s="1"/>
  <c r="H473" i="5"/>
  <c r="I473" i="5" s="1"/>
  <c r="H470" i="5"/>
  <c r="I470" i="5" s="1"/>
  <c r="H467" i="5"/>
  <c r="I467" i="5" s="1"/>
  <c r="H461" i="5"/>
  <c r="I461" i="5" s="1"/>
  <c r="H441" i="5"/>
  <c r="I441" i="5" s="1"/>
  <c r="H438" i="5"/>
  <c r="I438" i="5" s="1"/>
  <c r="H462" i="5"/>
  <c r="I462" i="5" s="1"/>
  <c r="H455" i="5"/>
  <c r="I455" i="5" s="1"/>
  <c r="H449" i="5"/>
  <c r="I449" i="5" s="1"/>
  <c r="H446" i="5"/>
  <c r="I446" i="5" s="1"/>
  <c r="H443" i="5"/>
  <c r="I443" i="5" s="1"/>
  <c r="H471" i="5"/>
  <c r="I471" i="5" s="1"/>
  <c r="H474" i="5"/>
  <c r="I474" i="5" s="1"/>
  <c r="H463" i="5"/>
  <c r="I463" i="5" s="1"/>
  <c r="H452" i="5"/>
  <c r="I452" i="5" s="1"/>
  <c r="H439" i="5"/>
  <c r="I439" i="5" s="1"/>
  <c r="H444" i="5"/>
  <c r="I444" i="5" s="1"/>
  <c r="H468" i="5"/>
  <c r="I468" i="5" s="1"/>
  <c r="H459" i="5"/>
  <c r="I459" i="5" s="1"/>
  <c r="H451" i="5"/>
  <c r="I451" i="5" s="1"/>
  <c r="H469" i="5"/>
  <c r="I469" i="5" s="1"/>
  <c r="H450" i="5"/>
  <c r="I450" i="5" s="1"/>
  <c r="H445" i="5"/>
  <c r="I445" i="5" s="1"/>
  <c r="H436" i="5"/>
  <c r="I436" i="5" s="1"/>
  <c r="H458" i="5"/>
  <c r="I458" i="5" s="1"/>
  <c r="H454" i="5"/>
  <c r="I454" i="5" s="1"/>
  <c r="H447" i="5"/>
  <c r="I447" i="5" s="1"/>
  <c r="H437" i="5"/>
  <c r="I437" i="5" s="1"/>
  <c r="H466" i="5"/>
  <c r="I466" i="5" s="1"/>
  <c r="H460" i="5"/>
  <c r="I460" i="5" s="1"/>
  <c r="H442" i="5"/>
  <c r="I442" i="5" s="1"/>
  <c r="H465" i="5"/>
  <c r="I465" i="5" s="1"/>
  <c r="H453" i="5"/>
  <c r="I453" i="5" s="1"/>
  <c r="H457" i="5"/>
  <c r="I457" i="5" s="1"/>
  <c r="H483" i="5" l="1"/>
  <c r="I483" i="5" s="1"/>
  <c r="H485" i="5"/>
  <c r="I485" i="5" s="1"/>
  <c r="H478" i="5"/>
  <c r="I478" i="5" s="1"/>
  <c r="H481" i="5"/>
  <c r="I481" i="5" s="1"/>
  <c r="H477" i="5"/>
  <c r="I477" i="5" s="1"/>
  <c r="H479" i="5"/>
  <c r="I479" i="5" s="1"/>
  <c r="H482" i="5"/>
  <c r="I482" i="5" s="1"/>
  <c r="H484" i="5"/>
  <c r="I484" i="5" s="1"/>
  <c r="H480" i="5"/>
  <c r="I480" i="5" s="1"/>
  <c r="H548" i="5" l="1"/>
  <c r="I548" i="5" s="1"/>
  <c r="H540" i="5"/>
  <c r="I540" i="5" s="1"/>
  <c r="H532" i="5"/>
  <c r="I532" i="5" s="1"/>
  <c r="H524" i="5"/>
  <c r="I524" i="5" s="1"/>
  <c r="H516" i="5"/>
  <c r="I516" i="5" s="1"/>
  <c r="H508" i="5"/>
  <c r="I508" i="5" s="1"/>
  <c r="H500" i="5"/>
  <c r="I500" i="5" s="1"/>
  <c r="H492" i="5"/>
  <c r="I492" i="5" s="1"/>
  <c r="H534" i="5"/>
  <c r="I534" i="5" s="1"/>
  <c r="H531" i="5"/>
  <c r="I531" i="5" s="1"/>
  <c r="H528" i="5"/>
  <c r="I528" i="5" s="1"/>
  <c r="H502" i="5"/>
  <c r="I502" i="5" s="1"/>
  <c r="H499" i="5"/>
  <c r="I499" i="5" s="1"/>
  <c r="H496" i="5"/>
  <c r="I496" i="5" s="1"/>
  <c r="H545" i="5"/>
  <c r="I545" i="5" s="1"/>
  <c r="H530" i="5"/>
  <c r="I530" i="5" s="1"/>
  <c r="H520" i="5"/>
  <c r="I520" i="5" s="1"/>
  <c r="H517" i="5"/>
  <c r="I517" i="5" s="1"/>
  <c r="H514" i="5"/>
  <c r="I514" i="5" s="1"/>
  <c r="H511" i="5"/>
  <c r="I511" i="5" s="1"/>
  <c r="H505" i="5"/>
  <c r="I505" i="5" s="1"/>
  <c r="H538" i="5"/>
  <c r="I538" i="5" s="1"/>
  <c r="H527" i="5"/>
  <c r="I527" i="5" s="1"/>
  <c r="H503" i="5"/>
  <c r="I503" i="5" s="1"/>
  <c r="H546" i="5"/>
  <c r="I546" i="5" s="1"/>
  <c r="H542" i="5"/>
  <c r="I542" i="5" s="1"/>
  <c r="H523" i="5"/>
  <c r="I523" i="5" s="1"/>
  <c r="H519" i="5"/>
  <c r="I519" i="5" s="1"/>
  <c r="H512" i="5"/>
  <c r="I512" i="5" s="1"/>
  <c r="H509" i="5"/>
  <c r="I509" i="5" s="1"/>
  <c r="H501" i="5"/>
  <c r="I501" i="5" s="1"/>
  <c r="H497" i="5"/>
  <c r="I497" i="5" s="1"/>
  <c r="H549" i="5"/>
  <c r="I549" i="5" s="1"/>
  <c r="H515" i="5"/>
  <c r="I515" i="5" s="1"/>
  <c r="H493" i="5"/>
  <c r="I493" i="5" s="1"/>
  <c r="H489" i="5"/>
  <c r="I489" i="5" s="1"/>
  <c r="H529" i="5"/>
  <c r="I529" i="5" s="1"/>
  <c r="H525" i="5"/>
  <c r="I525" i="5" s="1"/>
  <c r="H537" i="5"/>
  <c r="I537" i="5" s="1"/>
  <c r="H533" i="5"/>
  <c r="I533" i="5" s="1"/>
  <c r="H490" i="5"/>
  <c r="I490" i="5" s="1"/>
  <c r="H547" i="5"/>
  <c r="I547" i="5" s="1"/>
  <c r="H518" i="5"/>
  <c r="I518" i="5" s="1"/>
  <c r="H513" i="5"/>
  <c r="I513" i="5" s="1"/>
  <c r="H504" i="5"/>
  <c r="I504" i="5" s="1"/>
  <c r="H494" i="5"/>
  <c r="I494" i="5" s="1"/>
  <c r="H522" i="5"/>
  <c r="I522" i="5" s="1"/>
  <c r="H498" i="5"/>
  <c r="I498" i="5" s="1"/>
  <c r="H488" i="5"/>
  <c r="I488" i="5" s="1"/>
  <c r="H541" i="5"/>
  <c r="I541" i="5" s="1"/>
  <c r="H536" i="5"/>
  <c r="I536" i="5" s="1"/>
  <c r="H526" i="5"/>
  <c r="I526" i="5" s="1"/>
  <c r="H521" i="5"/>
  <c r="I521" i="5" s="1"/>
  <c r="H507" i="5"/>
  <c r="I507" i="5" s="1"/>
  <c r="H487" i="5"/>
  <c r="I487" i="5" s="1"/>
  <c r="H539" i="5"/>
  <c r="I539" i="5" s="1"/>
  <c r="H510" i="5"/>
  <c r="I510" i="5" s="1"/>
  <c r="H495" i="5"/>
  <c r="I495" i="5" s="1"/>
  <c r="H535" i="5"/>
  <c r="I535" i="5" s="1"/>
  <c r="H506" i="5"/>
  <c r="I506" i="5" s="1"/>
  <c r="H544" i="5"/>
  <c r="I544" i="5" s="1"/>
  <c r="H491" i="5"/>
  <c r="I491" i="5" s="1"/>
  <c r="H543" i="5"/>
  <c r="I543" i="5" s="1"/>
  <c r="H556" i="5" l="1"/>
  <c r="I556" i="5" s="1"/>
  <c r="H560" i="5"/>
  <c r="I560" i="5" s="1"/>
  <c r="H558" i="5"/>
  <c r="I558" i="5" s="1"/>
  <c r="H551" i="5"/>
  <c r="I551" i="5" s="1"/>
  <c r="H555" i="5"/>
  <c r="I555" i="5" s="1"/>
  <c r="H559" i="5"/>
  <c r="I559" i="5" s="1"/>
  <c r="H557" i="5"/>
  <c r="I557" i="5" s="1"/>
  <c r="H552" i="5"/>
  <c r="I552" i="5" s="1"/>
  <c r="H550" i="5"/>
  <c r="I550" i="5" s="1"/>
  <c r="H553" i="5"/>
  <c r="I553" i="5" s="1"/>
  <c r="H554" i="5"/>
  <c r="I554" i="5" s="1"/>
  <c r="H597" i="5" l="1"/>
  <c r="I597" i="5" s="1"/>
  <c r="H589" i="5"/>
  <c r="I589" i="5" s="1"/>
  <c r="H581" i="5"/>
  <c r="I581" i="5" s="1"/>
  <c r="H573" i="5"/>
  <c r="I573" i="5" s="1"/>
  <c r="H565" i="5"/>
  <c r="I565" i="5" s="1"/>
  <c r="H599" i="5"/>
  <c r="I599" i="5" s="1"/>
  <c r="H596" i="5"/>
  <c r="I596" i="5" s="1"/>
  <c r="H593" i="5"/>
  <c r="I593" i="5" s="1"/>
  <c r="H567" i="5"/>
  <c r="I567" i="5" s="1"/>
  <c r="H564" i="5"/>
  <c r="I564" i="5" s="1"/>
  <c r="H600" i="5"/>
  <c r="I600" i="5" s="1"/>
  <c r="H590" i="5"/>
  <c r="I590" i="5" s="1"/>
  <c r="H562" i="5"/>
  <c r="I562" i="5" s="1"/>
  <c r="H579" i="5"/>
  <c r="I579" i="5" s="1"/>
  <c r="H585" i="5"/>
  <c r="I585" i="5" s="1"/>
  <c r="H577" i="5"/>
  <c r="I577" i="5" s="1"/>
  <c r="H584" i="5"/>
  <c r="I584" i="5" s="1"/>
  <c r="H569" i="5"/>
  <c r="I569" i="5" s="1"/>
  <c r="H601" i="5"/>
  <c r="I601" i="5" s="1"/>
  <c r="H588" i="5"/>
  <c r="I588" i="5" s="1"/>
  <c r="H572" i="5"/>
  <c r="I572" i="5" s="1"/>
  <c r="H586" i="5"/>
  <c r="I586" i="5" s="1"/>
  <c r="H576" i="5"/>
  <c r="I576" i="5" s="1"/>
  <c r="H595" i="5"/>
  <c r="I595" i="5" s="1"/>
  <c r="H591" i="5"/>
  <c r="I591" i="5" s="1"/>
  <c r="H580" i="5"/>
  <c r="I580" i="5" s="1"/>
  <c r="H571" i="5"/>
  <c r="I571" i="5" s="1"/>
  <c r="H563" i="5"/>
  <c r="I563" i="5" s="1"/>
  <c r="H575" i="5"/>
  <c r="I575" i="5" s="1"/>
  <c r="H594" i="5"/>
  <c r="I594" i="5" s="1"/>
  <c r="H570" i="5"/>
  <c r="I570" i="5" s="1"/>
  <c r="H592" i="5"/>
  <c r="I592" i="5" s="1"/>
  <c r="H587" i="5"/>
  <c r="I587" i="5" s="1"/>
  <c r="H582" i="5"/>
  <c r="I582" i="5" s="1"/>
  <c r="H602" i="5"/>
  <c r="I602" i="5" s="1"/>
  <c r="H574" i="5"/>
  <c r="I574" i="5" s="1"/>
  <c r="H568" i="5"/>
  <c r="I568" i="5" s="1"/>
  <c r="H578" i="5"/>
  <c r="I578" i="5" s="1"/>
  <c r="H566" i="5"/>
  <c r="I566" i="5" s="1"/>
  <c r="H598" i="5"/>
  <c r="I598" i="5" s="1"/>
  <c r="H583" i="5"/>
  <c r="I583" i="5" s="1"/>
  <c r="H605" i="5" l="1"/>
  <c r="I605" i="5" s="1"/>
  <c r="H606" i="5"/>
  <c r="I606" i="5" s="1"/>
  <c r="H603" i="5"/>
  <c r="I603" i="5" s="1"/>
  <c r="H607" i="5"/>
  <c r="I607" i="5" s="1"/>
  <c r="H604" i="5"/>
  <c r="I604" i="5" s="1"/>
  <c r="H608" i="5"/>
  <c r="I608" i="5" s="1"/>
</calcChain>
</file>

<file path=xl/sharedStrings.xml><?xml version="1.0" encoding="utf-8"?>
<sst xmlns="http://schemas.openxmlformats.org/spreadsheetml/2006/main" count="15147" uniqueCount="5328">
  <si>
    <t>Sequence as per user Flow</t>
  </si>
  <si>
    <t>High Level FR</t>
  </si>
  <si>
    <t>FR</t>
  </si>
  <si>
    <t>Screen</t>
  </si>
  <si>
    <t>CTA Button</t>
  </si>
  <si>
    <t>Task #</t>
  </si>
  <si>
    <t>Task Details</t>
  </si>
  <si>
    <t>Description / Scope</t>
  </si>
  <si>
    <t>Acceptance Criteria</t>
  </si>
  <si>
    <t>Task Type</t>
  </si>
  <si>
    <t>Dependent On</t>
  </si>
  <si>
    <t>Effort (w/o AI)</t>
  </si>
  <si>
    <t>Effort (w/ AI)</t>
  </si>
  <si>
    <t>Effort w/ AI + Buffer (days)</t>
  </si>
  <si>
    <t>AI Stack</t>
  </si>
  <si>
    <t>Standard Stack</t>
  </si>
  <si>
    <t>DB Operation</t>
  </si>
  <si>
    <t>Store</t>
  </si>
  <si>
    <t>Tables / Measurements</t>
  </si>
  <si>
    <t>Key fields written / read</t>
  </si>
  <si>
    <t>API Contract</t>
  </si>
  <si>
    <t>Handoff Output → Next FR</t>
  </si>
  <si>
    <t>Uploading requirements</t>
  </si>
  <si>
    <t>FR-001</t>
  </si>
  <si>
    <t>Design &amp; Author</t>
  </si>
  <si>
    <t>Drop file or click</t>
  </si>
  <si>
    <t>BE-01</t>
  </si>
  <si>
    <t>Defines and stores the allowed file formats (PDF, DOCX, XLSX, CSV) as a centralised whitelist configurable via environment variables without code redeployment.</t>
  </si>
  <si>
    <t>• Defines the allowed file formats (PDF, DOCX, XLSX, CSV) as a centralized whitelist stored in a config/enum.
• Configuration is injectable via environment variables without requiring code deployment.
• MIME types and file extensions are stored together for validation purposes.</t>
  </si>
  <si>
    <t>• Must return exactly 4 entries: application/pdf, .docx, .xlsx, text/csv
• Must allow adding a new type via environment variable configuration
• Must apply configuration changes without requiring code redeployment
• Must store MIME types and file extensions together in the whitelist</t>
  </si>
  <si>
    <t>Backend Dev</t>
  </si>
  <si>
    <t>GitHub Copilot — generate enum + YAML config boilerplate
Claude — design MIME whitelist logic &amp; edge cases</t>
  </si>
  <si>
    <t>Spring Boot · Java Enum · AWS SSM Parameter Store · Spring @ConfigurationProperties</t>
  </si>
  <si>
    <t>WRITE (session)</t>
  </si>
  <si>
    <t>Redis
(session only)</t>
  </si>
  <si>
    <t>session.checkpoint_data
[in-memory pool]</t>
  </si>
  <si>
    <t>No test_case / test_step write. File bytes + parsed TCs held in session only. Pool is client-side state.</t>
  </si>
  <si>
    <t>INTERNAL CONFIG:
Whitelist constant — no HTTP endpoint.
Config: application.yml
  allowed-mime-types:
    - application/pdf
    - application/vnd.openxmlformats-officedocument
      .wordprocessingml.document
    - application/vnd.openxmlformats-officedocument
      .spreadsheetml.sheet
    - text/csv
Used by: FR-001 BE-10 (Upload API) for validation.</t>
  </si>
  <si>
    <t>BE-02</t>
  </si>
  <si>
    <t>Enforces a configurable maximum file size limit (default 20 MB) at tenant level, rejecting uploads that exceed the threshold before any processing begins.</t>
  </si>
  <si>
    <t>• Enforces a configurable maximum file size limit (default 20 MB) at tenant level, stored in the tenant_config table.
• Platform enforces a hard cap (e.g. 200 MB) via AWS SSM that tenants cannot exceed.
• Tenant admins adjust their limit through Settings → General, and the value is read at runtime per tenant without restart.
• Uploads exceeding the threshold are rejected before any processing begins.</t>
  </si>
  <si>
    <t>• Must default to 20 MB for all new tenants on provisioning
• Must allow tenant admin to update the limit via Settings → General up to the platform hard cap
• Must apply the updated limit on the next upload attempt without service restart
• Must reject values of 0, negative numbers, or values above the platform hard cap with a clear error
• Must never allow tenant-configured limits to exceed the platform hard cap enforced via AWS SSM</t>
  </si>
  <si>
    <t>FR-001 BE-01 · Settings → General (tenant_config write)</t>
  </si>
  <si>
    <t>GitHub Copilot — scaffold @ConfigurationProperties class + unit tests</t>
  </si>
  <si>
    <t>Spring Boot · application.yml · AWS SSM Parameter Store · Spring @ConfigurationProperties</t>
  </si>
  <si>
    <t>INTERNAL CONFIG:
No HTTP endpoint. Config: application.yml
  max-upload-size-mb: 20
Runtime-injectable via env var ICE_MAX_UPLOAD_MB.
Used by: FR-001 BE-10 (Upload API) for size check.</t>
  </si>
  <si>
    <t>BE-03</t>
  </si>
  <si>
    <t>Maintains a registry of structured error codes and human-readable messages for all upload rejection scenarios, ensuring consistent error responses across clients.</t>
  </si>
  <si>
    <t>• Maintains a registry of structured error codes for all upload rejection scenarios (ERR-001-FORMAT, ERR-001-SIZE, ERR-001-CORRUPT, ERR-001-EMPTY, ERR-002-FORMAT, ERR-002-SIZE).
• Each error code has a corresponding human-readable message string stored as a Java enum.
• Registry is referenced by BE-04, BE-05, BE-06, and all tests to ensure consistent error responses.</t>
  </si>
  <si>
    <t>• Must contain all 6 error codes with corresponding message strings: ERR-001-FORMAT, ERR-001-SIZE, ERR-001-CORRUPT, ERR-001-EMPTY, ERR-002-FORMAT, ERR-002-SIZE
• Must map each error code to exactly one failure scenario with no ambiguity
• Must allow adding a new error code via enum update only, requiring no other code changes
• Must document all error codes in OpenAPI spec with message and HTTP status</t>
  </si>
  <si>
    <t>GitHub Copilot — generate error code enum + exception handler
Claude — define error taxonomy &amp; priority order</t>
  </si>
  <si>
    <t>Java Enum · OpenAPI / Swagger annotations · Spring Boot</t>
  </si>
  <si>
    <t>INTERNAL — Error code enum, no HTTP endpoint.
Codes returned inside Upload API response body:
  ERR-001-FORMAT — wrong file type
  ERR-001-SIZE   — exceeds max size
  ERR-001-CORRUPT — unreadable file
  ERR-001-EMPTY  — zero-byte file
Response shape: {code, message, detail}</t>
  </si>
  <si>
    <t>BE-04</t>
  </si>
  <si>
    <t>Validates the MIME type of each uploaded file against the whitelist, rejecting files whose declared type does not match the allowed set.</t>
  </si>
  <si>
    <t>• Validates the MIME type of each uploaded file against the whitelist using Apache Tika for server-side enforcement.
• Reads actual file bytes to detect real content type, not browser-reported File.type or file extension.
• Whitelist configuration is read from FR-001 BE-01 at runtime.
• Files whose declared type does not match the allowed set are rejected.</t>
  </si>
  <si>
    <t>• Must validate MIME type using Apache Tika by reading actual file bytes, not browser-reported File.type or file extension
• Must reject .exe file renamed to .pdf after Tika detects application/x-msdownload with ERR-002-FORMAT
• Must accept valid PDF files that match whitelist
• Must return ERR-002-FORMAT on rejection
• Must read whitelist configuration from FR-001 BE-01, applying new types without code change</t>
  </si>
  <si>
    <t>FR-001 / BE-01</t>
  </si>
  <si>
    <t>GitHub Copilot — generate Tika integration + whitelist check
Claude — edge case logic for polyglot files</t>
  </si>
  <si>
    <t>Apache Tika · Spring Boot · Java Enum (whitelist)</t>
  </si>
  <si>
    <t>READ (session)</t>
  </si>
  <si>
    <t>[in-memory upload context]</t>
  </si>
  <si>
    <t>Reads uploaded file bytes from session context. Returns validation result. No DB write on pass. On fail: error code returned to FE; session cleared.</t>
  </si>
  <si>
    <t>INTERNAL — called inside FR-001 BE-10 handler.
Apache Tika validates actual bytes (not extension).
Returns: {valid, detected_mime, error_code}
Errors emitted: ERR-001-FORMAT, ERR-001-CORRUPT
Not a standalone HTTP endpoint.
This is the security gate — client check (FR-001
FE-01) is UX only and does not replace this.</t>
  </si>
  <si>
    <t>BE-05</t>
  </si>
  <si>
    <t>Enforces the file size limit at the API layer before the file reaches storage, returning a structured error if the limit is exceeded.</t>
  </si>
  <si>
    <t>• Enforces the file size limit at the API layer by validating actual received bytes, not Content-Length header.
• Reads the configurable max size limit from FR-001 BE-02 (AWS SSM / application.yml) at runtime.
• Rejects files exceeding the limit before any parsing occurs.
• Returns a structured error if the limit is exceeded.</t>
  </si>
  <si>
    <t>• Must validate actual received byte count, not Content-Length header
• Must reject files exceeding the configured limit with HTTP 413 + ERR-002-SIZE
• Must read the configurable max size limit from FR-001 BE-02 at runtime
• Must apply configuration changes from FR-001 BE-02 without service restart
• Must reject files even when Content-Length header is spoofed to bypass validation</t>
  </si>
  <si>
    <t>FR-001 / BE-02</t>
  </si>
  <si>
    <t>GitHub Copilot — scaffold size enforcement + config binding</t>
  </si>
  <si>
    <t>Spring Boot · AWS SSM · @ConfigurationProperties</t>
  </si>
  <si>
    <t>INTERNAL — called inside FR-001 BE-10 handler.
Compares file size against configured max.
Config: ICE_MAX_UPLOAD_MB (default 20).
Emits: ERR-001-SIZE if exceeded.
Not a standalone HTTP endpoint.</t>
  </si>
  <si>
    <t>BE-06</t>
  </si>
  <si>
    <t>Defines the standard JSON error response schema returned on upload failure, including error code, message, and resolution hint fields.</t>
  </si>
  <si>
    <t>• Defines the standard JSON error response schema with fields: code, message, and detail.
• Implements Spring Boot @ControllerAdvice that catches validation failures and serializes them using the error code registry from FR-001 BE-03.
• Applies priority order for error reporting: format → size → integrity.</t>
  </si>
  <si>
    <t>• Must return all validation failures as JSON with fields: code, message, and detail
• Must never return raw 500 errors or plain text responses
• Must use error codes that match FR-001 BE-03 registry exactly
• Must return the first failure in priority order when multiple simultaneous failures occur: format → size → integrity</t>
  </si>
  <si>
    <t>FR-001 / BE-03</t>
  </si>
  <si>
    <t>GitHub Copilot — generate error schema + @ControllerAdvice
Claude — error priority order design</t>
  </si>
  <si>
    <t>Spring Boot @ControllerAdvice · OpenAPI 3.0 · Java Enum</t>
  </si>
  <si>
    <t>INTERNAL — defines error response schema.
All validation errors returned as:
  HTTP 400
  {code: 'ERR-001-*', message: string,
   detail: string}
No raw 500s. No generic 'upload failed' string.</t>
  </si>
  <si>
    <t>BE-07</t>
  </si>
  <si>
    <t>Validates file integrity by checking for corruption or truncation after upload, ensuring the received file matches the declared content length.</t>
  </si>
  <si>
    <t>• Validates file integrity by attempting to parse the file using format-specific libraries (pdfplumber, python-docx, openpyxl, csv.reader).
• Performs deep integrity check after upload to ensure the received file matches declared content length.
• Rejects files that are corrupt, zero-byte, truncated, or password-protected.</t>
  </si>
  <si>
    <t>• Must return ERR-001-CORRUPT for corrupt .pdf files
• Must return ERR-001-CORRUPT for password-protected DOCX files
• Must return ERR-001-EMPTY for zero-byte files
• Must accept valid parseable files of all 4 types: PDF, DOCX, XLSX, CSV
• Must validate file integrity by parsing with format-specific libraries: pdfplumber, python-docx, openpyxl, csv.reader</t>
  </si>
  <si>
    <t>FR-001 / BE-01, BE-10</t>
  </si>
  <si>
    <t>GitHub Copilot — generate per-format parser stubs
Claude — edge case logic (password-protected, zero-byte)</t>
  </si>
  <si>
    <t>pdfplumber · python-docx · openpyxl · csv.reader · Spring Boot</t>
  </si>
  <si>
    <t>INTERNAL — called inside BE-10 upload handler.
Runs Apache Tika on file bytes to verify real
MIME type matches declared extension.
Returns: {valid: bool, detected_mime, error_code}
Not a standalone HTTP endpoint.</t>
  </si>
  <si>
    <t>BE-08</t>
  </si>
  <si>
    <t>Stores the uploaded file reference in the active session context so downstream CLAP steps can access it without re-upload.</t>
  </si>
  <si>
    <t>• Stores the uploaded file reference in the active session context keyed by session ID.
• Uploaded file bytes and parsed content are held in active session only, with no write to ICE DB.
• Downstream CLAP steps access the file from session context without re-upload.</t>
  </si>
  <si>
    <t>• Must store uploaded file reference in active session context keyed by session ID
• Must allow file content to be retrievable within same session by session ID
• Must return null for expired session IDs
• Must write zero rows to any ICE DB table during Step 1
• Must hold uploaded file bytes and parsed content in active session only with no write to ICE DB</t>
  </si>
  <si>
    <t>GitHub Copilot — generate Redis session config + unit tests
Claude — session isolation design</t>
  </si>
  <si>
    <t>Spring Session · Redis · Spring Security · Jackson (serialisation)</t>
  </si>
  <si>
    <t>INTERNAL — Session store, no HTTP endpoint.
Redis key: ice:session:{session_id}:upload
Stores: {file_bytes, parsed_content, file_name,
         mime_type, size_bytes}
TTL: matches session expires_at (4 ).
Read by: FR-003 BE-07 (Gateway Orchestrator)</t>
  </si>
  <si>
    <t>BE-09</t>
  </si>
  <si>
    <t>Supports multiple file uploads per session, allowing users to add further requirement documents without restarting the session.</t>
  </si>
  <si>
    <t>• Supports multiple file uploads per session, allowing users to add further requirement documents without restarting.
• Each uploaded file is stored with a unique sessionFileId within the session context.
• All files are held in session and passed to CLAP for test case generation.</t>
  </si>
  <si>
    <t>• Must allow multiple files to be uploaded in the same session
• Must store each uploaded file with a unique sessionFileId within the session context
• Must keep each sessionFileId independently resolvable within the session
• Must enable the Generate button after at least one valid file is uploaded
• Must update the file list in UI to show all uploaded files
• Must allow removing individual files without affecting others or ending the session</t>
  </si>
  <si>
    <t>FR-001 / BE-08, BE-10</t>
  </si>
  <si>
    <t>GitHub Copilot — generate session replacement logic + concurrent tests</t>
  </si>
  <si>
    <t>Spring Session · Redis TTL / key eviction · JUnit 5</t>
  </si>
  <si>
    <t>INTERNAL — session guard called inside BE-10.
Checks Redis for existing upload in session.
If found: returns 409 with message
  'Session already has a file. Remove it first.'
Not a standalone HTTP endpoint.</t>
  </si>
  <si>
    <t>BE-10</t>
  </si>
  <si>
    <t>Exposes the POST /api/v1/upload endpoint that accepts multipart file uploads, validates them, and returns a file reference on success.</t>
  </si>
  <si>
    <t>• Exposes POST /api/v1/sessions/{session_id}/upload endpoint that accepts multipart/form-data.
• Orchestrates the validation pipeline: MIME check (BE-04) → size check (BE-05) → integrity check (BE-07) → session store (BE-08).
• Returns a file reference on success or structured error response using codes from BE-03 registry.</t>
  </si>
  <si>
    <t>• Must return HTTP 200 + { sessionFileId, fileName, sizeBytes, format } for valid file uploads
• Must return HTTP 422 + ERR-001-FORMAT for invalid file format
• Must return HTTP 413 + ERR-001-SIZE for oversized files
• Must return HTTP 422 + ERR-001-CORRUPT for corrupt files
• Must return HTTP 422 + ERR-001-EMPTY for empty files
• Must reject requests containing more than one file per request
• Must orchestrate validation pipeline: MIME check (BE-04) → size check (BE-05) → integrity check (BE-07) → session store (BE-08)</t>
  </si>
  <si>
    <t>FR-001 / BE-03, BE-04, BE-05, BE-07, BE-08</t>
  </si>
  <si>
    <t>GitHub Copilot — generate MultipartFile controller + validation chain
Claude — API contract design
Postman AI — generate test collection from OpenAPI spec</t>
  </si>
  <si>
    <t>Spring Boot · Spring MVC (MultipartFile) · OpenAPI 3.0 · JUnit 5 + Mockito</t>
  </si>
  <si>
    <t>ENDPOINT YOU CREATE:
POST /api/v1/sessions/{session_id}/upload
Content-Type: multipart/form-data
Body: file (binary)
Response 200:
  {file_name, size_bytes, mime_type,
   session_id, uploaded_at}
Errors:
  400 ERR-001-FORMAT — invalid mime type
  400 ERR-001-SIZE   — exceeds limit
  400 ERR-001-CORRUPT — unreadable
  400 ERR-001-EMPTY  — zero bytes
  409 — session already has a file</t>
  </si>
  <si>
    <t>→ FR-002 BE-02
session.uploadedFiles[sessionFileId] = {
  fileBytes, parsedText, format, fileName, sizeBytes
}
FR-002 BE-02 reads parsedText from this key.</t>
  </si>
  <si>
    <t>FE-01</t>
  </si>
  <si>
    <t>Renders the file upload area on the Design &amp; Author screen, supporting both drag-and-drop and click-to-browse file selection.</t>
  </si>
  <si>
    <t>• Renders the file upload area on the Design &amp; Author screen supporting both drag-and-drop and click-to-browse file selection.
• Single file upload only with multi-file disabled.
• Accepts the 4 allowed extensions at OS picker level.</t>
  </si>
  <si>
    <t>• Must restrict file picker accept attribute to .pdf,.docx,.xlsx,.csv
• Must accept single file via drag-and-drop
• Must reject multiple files dropped simultaneously
• Must show placeholder/prompt when no file is loaded
• Must support both drag-and-drop and click-to-browse file selection</t>
  </si>
  <si>
    <t>Frontend Dev</t>
  </si>
  <si>
    <t>v0.dev — generate drag-and-drop upload UI component
GitHub Copilot — react-dropzone wiring + validation logic</t>
  </si>
  <si>
    <t>React · react-dropzone · TypeScript · Tailwind CSS · HTML5 File API</t>
  </si>
  <si>
    <t>ENDPOINT YOU CALL (defined in FR-001 BE-10):
POST /api/v1/sessions/{session_id}/upload
Send: multipart/form-data with file field.
On 200: show file name + size, enable Generate.
On 400 ERR-001-FORMAT: show format error inline.
On 400 ERR-001-SIZE: show size error inline.
On 409: prompt user to remove existing file first.
While uploading: show progress indicator (FE-03).</t>
  </si>
  <si>
    <t>FE-02</t>
  </si>
  <si>
    <t>Displays inline validation error messages directly below the upload area when a file is rejected, using the error codes from BE-03.</t>
  </si>
  <si>
    <t>• Displays inline validation error messages directly below the upload area when a file is rejected.
• Shows error code and human-readable message from BE-03 registry.
• Uses inline banner only, no modal or toast notification.</t>
  </si>
  <si>
    <t>• Must display error message within 300 ms of rejection
• Must show error code and plain-English description from BE-03 registry
• Must clear error when user selects a new file
• Must use inline banner only, not modal or toast notification
• Must display error directly below the upload area</t>
  </si>
  <si>
    <t>v0.dev — generate inline error banner component
GitHub Copilot — error code ↔ message mapping</t>
  </si>
  <si>
    <t>React · Tailwind CSS · TypeScript</t>
  </si>
  <si>
    <t>No API call — pure UI component.
Listens for error state from FE-01 (FE-04)
and renders inline error banner below upload zone.
Displays: error code + human-readable message.
Clears on new file selection.</t>
  </si>
  <si>
    <t>FE-03</t>
  </si>
  <si>
    <t>Shows a progress indicator during upload, reflecting real-time upload percentage and transitioning to a success state on completion.</t>
  </si>
  <si>
    <t>• Shows a progress indicator (spinner or bar) during file transmission and validation.
• Upload area is locked and non-interactive during in-progress state.
• Transitions to success state on completion.</t>
  </si>
  <si>
    <t>• Must display a progress indicator (spinner or bar) immediately upon file selection or drop
• Must lock the upload area and make it non-interactive during the upload process
• Must transition the indicator to a success state upon successful upload completion
• Must remove the indicator on error and allow the upload area to become interactive again</t>
  </si>
  <si>
    <t>v0.dev — generate progress indicator UI
GitHub Copilot — Axios interceptor for progress events</t>
  </si>
  <si>
    <t>React · Tailwind CSS · Axios · HTML5 upload progress event</t>
  </si>
  <si>
    <t>No API call — pure UI component.
Reads XMLHttpRequest upload progress event
from FE-04 API integration call.
Shows % progress bar while upload is in flight.</t>
  </si>
  <si>
    <t>FE-04</t>
  </si>
  <si>
    <t>Calls the BE-10 upload API on file selection, handles the response, and passes the file reference to the session context.</t>
  </si>
  <si>
    <t>• Calls POST /api/v1/upload (BE-10) when file is selected in the upload UI (FE-01).
• On success, stores sessionFileId in application state for session context.
• On failure, passes error code to error display component (FE-02).</t>
  </si>
  <si>
    <t>• Must trigger exactly one POST request to /api/v1/upload when a file is selected in FE-01
• Must store sessionFileId in application state and display the file name when HTTP 200 is received
• Must surface the specific error code inline when HTTP 422 or 413 is received
• Must display a user-friendly retry message on network timeout
• Must pass the error code to the error display component (FE-02) on any failure response</t>
  </si>
  <si>
    <t>FR-001 / FE-01, FE-02, FE-03, BE-10</t>
  </si>
  <si>
    <t>GitHub Copilot — Axios call + React Query wiring
Cursor — auto-wire error codes to FE-02 display</t>
  </si>
  <si>
    <t>React · Axios · React Query / Redux Toolkit · TypeScript · Jest + React Testing Library</t>
  </si>
  <si>
    <t>ENDPOINT YOU CALL (defined in FR-001 BE-10):
POST /api/v1/sessions/{session_id}/upload
Wire file from FE-01 dropzone to this endpoint.
Use XMLHttpRequest (not fetch) for progress events.
Headers: Content-Type: multipart/form-data
On success: notify FE-01, FE-05, FE-06.
On error: pass error code to FE-02 for display.</t>
  </si>
  <si>
    <t>FE-05</t>
  </si>
  <si>
    <t>Enables the Generate &amp; Add to Pool button only after at least one valid file has been successfully uploaded and its reference stored in session.</t>
  </si>
  <si>
    <t>• Generate Test Cases button is disabled until a valid file is confirmed with sessionFileId in state.
• Button is enabled only after at least one valid file has been successfully uploaded.
• Re-disables if file is cleared or replaced before new upload completes.</t>
  </si>
  <si>
    <t>• Must keep the Generate Test Cases button disabled on page load
• Must enable the button only after HTTP 200 response sets sessionFileId in state
• Must disable the button again if the file is cleared before a new upload completes
• Must set aria-disabled='true' attribute in the disabled state, not rely on visual styling alone</t>
  </si>
  <si>
    <t>FR-001 / FE-04</t>
  </si>
  <si>
    <t>GitHub Copilot — button state logic + aria-disabled wiring
Cursor — generate enable/disable state machine</t>
  </si>
  <si>
    <t>React · TypeScript · ARIA attributes · Jest + Testing Library</t>
  </si>
  <si>
    <t>ENDPOINT YOU CALL (defined in FR-001 BE-10):
Watch response from POST /upload.
Enable Generate button only when 200 received
and session has a file (check via
GET /api/v1/sessions/{id}/status).
Disable if session file removed or expired.</t>
  </si>
  <si>
    <t>FE-06</t>
  </si>
  <si>
    <t>Displays the uploaded file name and metadata (size, type) alongside the upload area as confirmation of a successful upload.</t>
  </si>
  <si>
    <t>• Displays the uploaded file name, format badge, and file size after successful upload as confirmation to the user.
• The file metadata is rendered alongside the upload area in the frontend UI.
• Provides Remove and Replace affordances to clear the file and reset the upload state.</t>
  </si>
  <si>
    <t>• Must display the uploaded file name accurately, truncating with a tooltip if longer than 40 characters
• Must show a format badge displaying one of: PDF, DOCX, XLSX, or CSV
• Must display file size in KB or MB rounded to 1 decimal place
• Must clear sessionFileId and disable the Generate button when the Remove action is clicked
• Must provide both Remove and Replace affordances alongside the file metadata display</t>
  </si>
  <si>
    <t>v0.dev — generate file metadata card UI
GitHub Copilot — truncation + tooltip + Remove handler</t>
  </si>
  <si>
    <t>React · TypeScript · Tailwind CSS · React Tooltip · Bytes.js</t>
  </si>
  <si>
    <t>ENDPOINT YOU CALL (defined in FR-001 BE-10):
Read {file_name, size_bytes} from POST /upload
200 response to display file metadata strip
below upload zone (name · size · type badge).</t>
  </si>
  <si>
    <t>INT-01</t>
  </si>
  <si>
    <t>Validates the full upload happy path: valid file selected, uploaded successfully, file reference stored in session, Generate button enabled.</t>
  </si>
  <si>
    <t>• Validates the complete upload happy path for all 4 supported file formats from file selection through to Generate button enablement.
• Tests that upload succeeds, file name is displayed, Generate button is enabled, and sessionFileId is scoped to the session only.
• Covers the full end-to-end flow ensuring file reference is stored in session and ready for generation.</t>
  </si>
  <si>
    <t>• Must complete the full upload flow without error for each of the 4 supported file formats (PDF, DOCX, XLSX, CSV)
• Must display the file name and enable the Generate button after each successful upload
• Must ensure that two parallel browser sessions each see only their own uploaded file
• Must not create any DB rows in ICE tables during the upload process</t>
  </si>
  <si>
    <t>QA / Both Devs</t>
  </si>
  <si>
    <t>FR-001 / All BE + FE tasks</t>
  </si>
  <si>
    <t>Playwright AI — generate E2E test scripts from user stories
Claude — generate test scenarios from AC
GitHub Actions AI — suggest CI pipeline config</t>
  </si>
  <si>
    <t>Playwright · Cypress · Docker Compose · GitHub Actions CI</t>
  </si>
  <si>
    <t>ENDPOINT UNDER TEST:
POST /api/v1/sessions/{session_id}/upload
Test cases:
  200 — valid PDF, DOCX, XLSX, CSV
  400 ERR-001-FORMAT — .exe file
  400 ERR-001-SIZE — 25MB file
  400 ERR-001-CORRUPT — corrupted PDF
  400 ERR-001-EMPTY — empty file
  409 — second upload same session</t>
  </si>
  <si>
    <t>INT-02</t>
  </si>
  <si>
    <t>Validates all upload rejection paths including wrong format, oversized file, corrupted file, and duplicate upload within the same session.</t>
  </si>
  <si>
    <t>• Validates all upload rejection scenarios including wrong format, oversized file, corrupted file, and duplicate upload within the same session.
• Tests both client-side fast-fail validation (FE-01) and server-side enforcement (BE-04, BE-05, BE-07).
• Verifies that each error code surfaces correctly in the UI inline banner with the appropriate message.</t>
  </si>
  <si>
    <t>• Must reject files with wrong extensions client-side with ERR-001-FORMAT in under 100ms
• Must reject .exe files renamed to .pdf with ERR-002-FORMAT via Tika server-side validation (BE-04)
• Must reject polyglot files with ERR-002-FORMAT as ambiguous
• Must reject files larger than 20 MB with ERR-001-SIZE client-side and ERR-002-SIZE server-side (BE-05)
• Must reject corrupted files with ERR-001-CORRUPT (BE-07)
• Must reject zero-byte files with an appropriate error code</t>
  </si>
  <si>
    <t>FR-001 / BE-07, BE-04, BE-05, BE-06, FE-01, FE-02, INT-01</t>
  </si>
  <si>
    <t>Playwright AI — generate negative test scripts for all ERR-001-* codes
Postman AI — generate error scenario collection
Claude — generate edge case matrix</t>
  </si>
  <si>
    <t>Playwright · Cypress · Postman / REST Assured · JUnit 5 · GitHub Actions CI</t>
  </si>
  <si>
    <t>ENDPOINT UNDER TEST:
POST /api/v1/sessions/{session_id}/upload
Focus: all error scenarios.
Verify: each error code returned correctly,
FE displays correct inline message per code,
no raw 500s surface to UI.</t>
  </si>
  <si>
    <t>Extract the requirement ,structure &amp; loading to CLAP session</t>
  </si>
  <si>
    <t>FR-002</t>
  </si>
  <si>
    <t>Builds the structured prompt template that wraps the extracted requirement content before it is sent to CLAP, ensuring consistent formatting across all generation requests.</t>
  </si>
  <si>
    <t>• Builds the structured prompt template that wraps extracted requirement content before sending to CLAP.
• Loads and renders admin-configurable templates stored in the system configuration.
• Injects template variables including {requirements}, {format}, and {examples} to ensure consistent formatting across all generation requests.</t>
  </si>
  <si>
    <t>• Must render the prompt template with all 3 required variables: {requirements}, {format}, and {examples}
• Must load admin-configurable templates from system configuration without requiring a restart
• Must raise a clear configuration error at startup if any template variable is undefined</t>
  </si>
  <si>
    <t>GitHub Copilot — generate template engine + variable resolver
Claude — template variable validation design</t>
  </si>
  <si>
    <t>Mustache / Thymeleaf · Spring Boot · AWS SSM</t>
  </si>
  <si>
    <t>session.checkpoint_data
[in-memory file context]</t>
  </si>
  <si>
    <t>Reads: requirements context from session. Builds structured CLAP prompt. No DB write — internal step in the generation pipeline.</t>
  </si>
  <si>
    <t>INTERNAL — prompt template engine.
Builds structured CLAP prompt from:
  requirements context + BDD spec + config.
Template stored in: /resources/prompts/
  tc_generation.mustache
Not a standalone HTTP endpoint.
Called by: FR-003 BE-07 (Gateway Orchestrator).</t>
  </si>
  <si>
    <t>Constructs the BDD output format specification that CLAP uses as its target structure when generating test cases (Feature / Scenario / Given / When / Then).</t>
  </si>
  <si>
    <t>• Constructs the BDD output format specification that CLAP uses as its target structure when generating test cases.
• Builds the {format} variable containing the Gherkin field specification including Feature, Scenario, Given, When, Then, and And.
• Ensures the LLM receives a clear schema definition to guide structured test case generation.</t>
  </si>
  <si>
    <t>• Must include the format specification in every generated prompt
• Must match the 9-field Gherkin schema defined in FR-004 (Feature, Scenario, Given, When, Then, And)
• Must version the format specification alongside the schema</t>
  </si>
  <si>
    <t>FR-002 / BE-01</t>
  </si>
  <si>
    <t>GitHub Copilot — generate format spec builder from schema</t>
  </si>
  <si>
    <t>Spring Boot · Java Constants / Enum</t>
  </si>
  <si>
    <t>INTERNAL — BDD format spec builder.
Appends BDD format instructions to prompt:
  Given/When/Then structure, field names,
  output JSON schema.
Not a standalone HTTP endpoint.</t>
  </si>
  <si>
    <t>Extracts and injects the requirement document content into the session context, making it available to CLAP for test case generation.</t>
  </si>
  <si>
    <t>• Extracts requirement document content and injects it into the session context for CLAP to use during test case generation.
• The uploaded requirements content is inserted into the {requirements} prompt variable.
• Truncates content gracefully to stay within the model token limit while preserving requirement integrity.</t>
  </si>
  <si>
    <t>• Must inject the full requirement document content into the {requirements} variable if within token limit
• Must gracefully truncate content using the most relevant sections when the token limit is exceeded
• Must log all truncation events for audit purposes</t>
  </si>
  <si>
    <t>GitHub Copilot — generate context injector + truncation logic
Claude — truncation strategy design</t>
  </si>
  <si>
    <t>Spring AI (token counting) · Apache Commons Text · Spring Boot</t>
  </si>
  <si>
    <t>INTERNAL — requirements context injector.
Reads parsed file content from session Redis key
  ice:session:{id}:upload
Injects into prompt template.
Not a standalone HTTP endpoint.</t>
  </si>
  <si>
    <t>Logs every prompt sent to CLAP including the session ID, timestamp, and token count, providing an audit trail for traceability and debugging.</t>
  </si>
  <si>
    <t>• Logs every prompt sent to CLAP including sessionId, timestamp, templateVersion, and tokenCount for audit and traceability.
• Sensitive information such as secrets is excluded from the logged prompt content.
• Provides a complete audit trail for debugging and compliance purposes.</t>
  </si>
  <si>
    <t>• Must log every prompt sent to CLAP with 4 required fields: sessionId, timestamp, templateVersion, and tokenCount
• Must exclude all sensitive information including api_key and PII from logged prompt content
• Must make all prompt logs queryable by sessionId</t>
  </si>
  <si>
    <t>FR-002 / BE-01,BE-03,BE-02</t>
  </si>
  <si>
    <t>GitHub Copilot — generate audit logger + PII redactor</t>
  </si>
  <si>
    <t>Spring Boot · Logback / SLF4J · Elasticsearch / CloudWatch</t>
  </si>
  <si>
    <t>ENDPOINT YOU CREATE:
GET /api/v1/sessions/{session_id}/prompt-log
Response 200:
  {session_id, prompt_version, prompt_hash,
   template_used, injected_at, token_count}
Admin/debug use only. 403 for non-admin users.
Used by: FR-004 INT-01 for audit verification.</t>
  </si>
  <si>
    <t>→ FR-003 BE-06
session.builtPrompt[sessionId] = {
  promptText, tokenCount, templateVersion,
  requirementsHash, formatSpec
}
FR-003 BE-06 reads promptText and dispatches to LLM.</t>
  </si>
  <si>
    <t>Validates the full prompt construction pipeline: file uploaded, content extracted, prompt built, and CLAP receives well-formed input with correct BDD spec.</t>
  </si>
  <si>
    <t>• Validates the full prompt construction pipeline from file upload through content extraction to final prompt delivery to CLAP.
• Verifies the prompt contains all 3 required variables: {requirements}, {format}, and {examples}.
• Confirms the well-formed prompt with correct BDD format specification is successfully sent to the LLM gateway.</t>
  </si>
  <si>
    <t>• Must validate that the constructed prompt includes all 3 required variables: {requirements}, {format}, and {examples}
• Must ensure the final prompt token count is within the model's token limit
• Must create an audit log entry for each prompt generation event</t>
  </si>
  <si>
    <t>FR-002 / All BE</t>
  </si>
  <si>
    <t>Playwright AI — generate E2E prompt validation tests
Claude — generate audit log verification scenarios</t>
  </si>
  <si>
    <t>Playwright · WireMock · GitHub Actions CI</t>
  </si>
  <si>
    <t>ENDPOINT UNDER TEST:
GET /api/v1/sessions/{session_id}/prompt-log
Test: after generate call, verify prompt log
  populated with correct template + token count.
Test: requirements context present in log.</t>
  </si>
  <si>
    <t>ICE sends prompt to CLAP</t>
  </si>
  <si>
    <t>FR-003</t>
  </si>
  <si>
    <t>Generate &amp; Add to Pool</t>
  </si>
  <si>
    <t>Defines the LLM provider configuration schema including provider name, model, API key, and temperature, stored per tenant in the ICE database.</t>
  </si>
  <si>
    <t>• Defines the LLM provider configuration schema including provider name, model, api_key_ref, and timeout parameters.
• Stored per tenant in the ICE database with API keys referenced from secret manager.
• The runtime configuration is retrieved and applied when constructing LLM API requests.</t>
  </si>
  <si>
    <t>• Must load the LLM provider configuration with 4 required fields: provider name, model, api_key_ref, and timeout
• Must resolve api_key from the secret manager and never log it in plain text
• Must raise a clear configuration error on startup if the provider name is invalid</t>
  </si>
  <si>
    <t>GitHub Copilot — generate config schema + secret resolver
Claude — secret manager integration design</t>
  </si>
  <si>
    <t>Spring Boot · AWS SSM / Secrets Manager · application.yml</t>
  </si>
  <si>
    <t>Reads: session file context. Calls CLAP (Claude API). Writes generated TC list to in-memory pool. No test_case write.</t>
  </si>
  <si>
    <t>INTERNAL CONFIG — LLM provider settings.
Stored in: tenant.llm_config JSONB
Fields: provider (claude|gpt4o|gemini),
  model_version, max_tokens, temperature
Exposed via FR-003 BE-06 Config Admin API.</t>
  </si>
  <si>
    <t>Resolves the active LLM provider for the current tenant and constructs the provider-specific API request before sending to CLAP.</t>
  </si>
  <si>
    <t>• Resolves the active LLM provider configuration for the current tenant and constructs provider-specific API requests.
• Retrieves the api_key_ref from AWS Secrets Manager at runtime when making CLAP calls.
• Auto-refreshes API keys within 60 seconds of rotation in the secret manager.</t>
  </si>
  <si>
    <t>• Must resolve the active LLM provider configuration for the current tenant from tenant settings
• Must retrieve the api_key_ref from AWS Secrets Manager at runtime when making CLAP calls
• Must reflect API key rotation within 60 seconds of change without service restart
• Must never log or persist API keys in logs or database tables
• Must return a provider-specific API request payload ready for transmission</t>
  </si>
  <si>
    <t>GitHub Copilot — generate Secrets Manager client + cache
Claude — rotation/TTL design</t>
  </si>
  <si>
    <t>AWS Secrets Manager / HashiCorp Vault · Spring Boot · Caffeine Cache</t>
  </si>
  <si>
    <t>INTERNAL — Secret Manager integration.
API keys stored encrypted in AWS SSM or Vault.
Retrieved at runtime via SecretManagerService.
Never stored in DB plain-text. Not an HTTP endpoint.
Called by: FR-003 BE-07 Gateway Orchestrator.</t>
  </si>
  <si>
    <t>Manages the streaming connection between ICE and the CLAP LLM, handling token streaming, timeouts, and connection errors.</t>
  </si>
  <si>
    <t>• Manages the streaming connection between ICE and the CLAP LLM including token streaming, timeouts, and connection errors.
• Defines the ChatClient interface via Spring AI as the abstraction layer for all LLM provider calls.
• All provider interactions are routed through this unified interface for consistency.</t>
  </si>
  <si>
    <t>• Must support streaming connections with GPT-4o, Claude, and Gemini adapters via the ChatClient interface
• Must allow provider swap via configuration change without code modification
• Must normalize all provider responses to a standard schema regardless of source provider
• Must handle token streaming, connection timeouts, and connection errors during the LLM call
• Must surface connection errors with clear error codes when the stream is interrupted or fails</t>
  </si>
  <si>
    <t>GitHub Copilot — generate adapter stubs for each provider
Claude — interface contract design</t>
  </si>
  <si>
    <t>Spring AI · ChatClient · Java Interface · Spring Boot</t>
  </si>
  <si>
    <t>INTERNAL — ILLMProvider adapter interface.
Interface: {generate(prompt): LLMResponse}
Implementations: ClaudeProvider, GPT4oProvider,
  GeminiProvider.
Selected at runtime based on tenant.llm_config.
Not an HTTP endpoint.</t>
  </si>
  <si>
    <t>Implements retry logic for transient CLAP API failures, with configurable back-off and a maximum retry count before surfacing an error to the user.</t>
  </si>
  <si>
    <t>• Implements retry logic for transient CLAP API failures with configurable back-off and maximum retry count.
• Defines error codes ERR-003-TIMEOUT, ERR-003-RATE_LIMIT, ERR-003-PROVIDER_ERROR, and ERR-003-EMPTY_RESPONSE for specific failure scenarios.
• Surfaces a clear error to the user after exhausting all retry attempts.</t>
  </si>
  <si>
    <t>• Must retry transient CLAP API failures using configurable exponential back-off
• Must enforce a maximum retry count before surfacing failure to the caller
• Must return ERR-003-TIMEOUT for timeout failures, ERR-003-RATE_LIMIT for rate limit errors, ERR-003-PROVIDER_ERROR for provider failures, and ERR-003-EMPTY_RESPONSE for empty responses
• Must structure all errors as { code, message, detail } without exposing raw LLM error messages to the UI
• Must log each retry attempt with error code and retry count for diagnostics</t>
  </si>
  <si>
    <t>GitHub Copilot — generate error registry + exception handler
Claude — error taxonomy design</t>
  </si>
  <si>
    <t>Spring Boot @ControllerAdvice · Java Enum · OpenAPI 3.0</t>
  </si>
  <si>
    <t>INTERNAL — error code registry for LLM failures.
Codes: ERR-003-TIMEOUT, ERR-003-PROVIDER_DOWN,
  ERR-003-TOKEN_LIMIT, ERR-003-INVALID_RESPONSE
Returned inside Generate API response body.</t>
  </si>
  <si>
    <t>Enforces token limits per request to prevent runaway generation costs, truncating the prompt context if necessary while preserving requirement fidelity.</t>
  </si>
  <si>
    <t>• Enforces token limits per request to prevent runaway generation costs and manage LLM usage.
• Normalizes prompts to a standard schema before sending to the LLM using admin-configurable templates.
• Truncates prompt context if necessary while preserving requirement fidelity and staying within token budget.</t>
  </si>
  <si>
    <t>• Must enforce a per-request token limit to prevent runaway generation costs
• Must build prompts from requirements + BDD format spec + admin-configurable template
• Must allow template changes via configuration without requiring deployment
• Must truncate prompt context if necessary while preserving essential requirement data
• Must log the final prompt (excluding secrets) for audit purposes</t>
  </si>
  <si>
    <t>FR-003 / BE-01</t>
  </si>
  <si>
    <t>GitHub Copilot — generate prompt builder + template engine
Claude — template variable validation</t>
  </si>
  <si>
    <t>Spring AI · Mustache / Thymeleaf · Spring Boot</t>
  </si>
  <si>
    <t>INTERNAL — prompt normalisation layer.
Strips PII, truncates to token limit,
adds BDD format spec header.
Called by: FR-002 BE-02 Requirements Context
Injector before sending to CLAP.
Not an HTTP endpoint.</t>
  </si>
  <si>
    <t>Tracks CLAP API usage metrics per tenant (tokens consumed, latency, error rate) for billing and performance monitoring.</t>
  </si>
  <si>
    <t>• Tracks CLAP API usage metrics per tenant including tokens consumed, latency, and error rate for billing and performance monitoring.
• Exposes a REST endpoint for admins to read and update LLM provider configuration at runtime.
• Configuration changes take effect immediately without requiring system restart.</t>
  </si>
  <si>
    <t>• Must track tokens consumed, latency, and error rate per tenant for billing and performance monitoring
• Must expose GET endpoint that returns current provider and model without exposing the API key
• Must allow admin PATCH to update provider configuration and apply changes on the next CLAP call
• Must return HTTP 403 for non-admin users attempting to read or update LLM configuration
• Must apply configuration changes without service restart</t>
  </si>
  <si>
    <t>FR-003 / BE-01,BE-02</t>
  </si>
  <si>
    <t>GitHub Copilot — generate admin REST controller + auth guard</t>
  </si>
  <si>
    <t>Spring Boot · Spring Security · OpenAPI 3.0</t>
  </si>
  <si>
    <t>ENDPOINT YOU CREATE:
GET  /api/v1/admin/llm-config
PUT  /api/v1/admin/llm-config
Request (PUT): {provider, model_version,
  max_tokens, temperature}
Response 200: {provider, model_version,
  status: active|fallback}
Errors: 400 invalid provider, 403 not admin</t>
  </si>
  <si>
    <t>Validates the CLAP API key and provider connectivity at session start, surfacing a clear error before the user attempts generation.</t>
  </si>
  <si>
    <t>• Validates the CLAP API key and provider connectivity at session start before the user attempts generation.
• Exposes the /health/llm endpoint to check LLM provider health status.
• Automatically falls back to the secondary provider if the primary provider is unhealthy.</t>
  </si>
  <si>
    <t>• Must validate CLAP API key and provider connectivity at session start before generation is attempted
• Must expose /health/llm endpoint returning { provider, status, latencyMs }
• Must automatically fall back to the secondary provider if the primary provider is unhealthy
• Must log fallback events with timestamp, primary provider status, and secondary provider used
• Must surface a clear error message if both primary and secondary providers are unavailable</t>
  </si>
  <si>
    <t>FR-003 / BE-08</t>
  </si>
  <si>
    <t>GitHub Copilot — generate health check + fallback logic</t>
  </si>
  <si>
    <t>Spring Boot Actuator · Spring AI · Micrometer</t>
  </si>
  <si>
    <t>INTERNAL — health check + provider fallback.
GET /api/v1/internal/llm/health (internal only)
Response: {provider, status: ok|degraded|down}
On primary provider down: falls back to
secondary provider if configured.</t>
  </si>
  <si>
    <t>Caches repeated identical prompts within a session to avoid redundant CLAP calls when the user regenerates without changing the requirements.</t>
  </si>
  <si>
    <t>• Caches identical prompts within a session to avoid redundant CLAP calls when users regenerate without changing requirements.
• Orchestrates the workflow by receiving the prompt, routing to the provider, receiving the response, normalizing it, and returning the result.
• Retries failed requests up to 3 times before surfacing an error.</t>
  </si>
  <si>
    <t>• Must cache identical prompts within a session to avoid redundant CLAP calls on regeneration without requirement changes
• Must orchestrate the workflow by receiving the prompt, routing to the provider, normalizing the response, and returning it
• Must return a normalized response containing content, tokenUsage, modelUsed, and latencyMs for valid prompts
• Must retry provider timeouts up to 3 times before returning ERR-003-TIMEOUT
• Must return cached response immediately if the prompt matches a prior request in the same session</t>
  </si>
  <si>
    <t>FR-002 / BE-04
FR-003 / BE-01, FR-014 BE-01, FR-014 BE-02, FR-015 BE-01, BE-05</t>
  </si>
  <si>
    <t>GitHub Copilot — generate orchestrator + retry logic
Claude — partial response detection</t>
  </si>
  <si>
    <t>Spring AI · Spring Retry · Jackson · Spring Boot</t>
  </si>
  <si>
    <t>INTERNAL — Gateway Orchestrator.
Coordinates: prompt build → provider call
→ response parse → validate → return.
Called by FR-004 BE-04 Generation API Endpoint.
Not a standalone HTTP endpoint.</t>
  </si>
  <si>
    <t>→ FR-004 BE-02
LlmResponse = {
  content (raw JSON string),
  tokenUsage, modelUsed, latencyMs
}
FR-004 BE-02 parses content into 9-field TC objects.</t>
  </si>
  <si>
    <t>Renders the Generate &amp; Add to Pool button and manages its enabled/loading/disabled states throughout the generation lifecycle.</t>
  </si>
  <si>
    <t>• Renders the Generate &amp; Add to Pool button and manages its enabled, loading, and disabled states throughout the generation lifecycle.
• Displays the active LLM provider and health badge in the UI header.
• Polls the /health/llm endpoint every 30 seconds to update provider status.</t>
  </si>
  <si>
    <t>• Must display a badge showing the active LLM provider name and green/red health status in the UI header
• Must poll the /health/llm endpoint every 30 seconds to refresh the provider health status
• Must update the badge within 30 seconds of a provider change or health status change
• Must not block page load while polling or updating the health badge
• Must render the Generate &amp; Add to Pool button with enabled, loading, or disabled state based on generation lifecycle</t>
  </si>
  <si>
    <t>v0.dev — generate status badge component
GitHub Copilot — polling hook</t>
  </si>
  <si>
    <t>React · TypeScript · Tailwind CSS · React Query</t>
  </si>
  <si>
    <t>ENDPOINT YOU CALL:
GET /api/v1/admin/llm-config
  (defined in FR-003 BE-06)
Show provider name + status badge on Design &amp;
Author screen header.
Green badge = active, amber = fallback,
red = down.</t>
  </si>
  <si>
    <t>Displays a generation progress indicator (spinner and status message) while the CLAP request is in flight, preventing duplicate submissions.</t>
  </si>
  <si>
    <t>• Displays a generation progress indicator with spinner and status message while the CLAP request is in flight.
• Prevents duplicate submissions by disabling the button during active requests.
• Surfaces ERR-003-* errors as user-friendly inline messages with a retry button for transient failures.</t>
  </si>
  <si>
    <t>• Must display a spinner and status message while the CLAP request is in flight
• Must disable the Generate &amp; Add to Pool button during active requests to prevent duplicate submissions
• Must map each ERR-003-* error code to a plain-English user-friendly inline message
• Must display a retry button for ERR-003-TIMEOUT and ERR-003-RATE_LIMIT errors
• Must clear the error message on successful retry or new generation attempt</t>
  </si>
  <si>
    <t>FR-003 / FE-01</t>
  </si>
  <si>
    <t>v0.dev — generate error message component
GitHub Copilot — error code ↔ message mapping</t>
  </si>
  <si>
    <t>React · TypeScript · Tailwind CSS</t>
  </si>
  <si>
    <t>ENDPOINT YOU CALL:
GET /api/v1/admin/llm-config
  (defined in FR-003 BE-06)
When status=down or error received from
FR-004 BE-04, show user-facing error message
with error code and retry suggestion.</t>
  </si>
  <si>
    <t>Validates the end-to-end prompt send flow: button clicked, prompt constructed, sent to CLAP, response received, and test cases returned to FR-004.</t>
  </si>
  <si>
    <t>• Validates the end-to-end prompt send flow from button click through prompt construction, CLAP submission, response receipt, and test case delivery to FR-004.
• Tests provider switching via the admin API to verify configuration changes take effect.
• Verifies that the next generation request uses the newly configured provider.</t>
  </si>
  <si>
    <t>• Must validate the end-to-end flow from button click through prompt construction, CLAP submission, response receipt, and test case delivery to FR-004
• Must verify that switching the provider via admin API causes the next generation to use the new model
• Must update the health badge within 30 seconds of the provider switch
• Must complete provider switch without service downtime or user-visible interruption
• Must confirm the new provider is used for all subsequent CLAP calls after the switch</t>
  </si>
  <si>
    <t>FR-003 / All BE + FE</t>
  </si>
  <si>
    <t>Playwright AI — generate E2E switching tests
Postman AI — generate admin API test collection</t>
  </si>
  <si>
    <t>Playwright · Postman · GitHub Actions CI</t>
  </si>
  <si>
    <t>ENDPOINT UNDER TEST:
GET/PUT /api/v1/admin/llm-config
Test: switch provider → verify generation
uses new provider.
Test: primary down → verify fallback activates.</t>
  </si>
  <si>
    <t>Validates error handling: CLAP timeout, invalid API key, and provider unavailability all surface the correct user-facing error messages.</t>
  </si>
  <si>
    <t>• Validates error handling for CLAP timeout, invalid API key, and provider unavailability scenarios.
• Simulates all ERR-003-* conditions end-to-end including timeout, rate limit, empty response, and provider down.
• Confirms that each error condition surfaces the correct user-facing error message.</t>
  </si>
  <si>
    <t>• Must surface the correct ERR-003-* error code in the UI for CLAP timeout, invalid API key, and provider unavailability scenarios
• Must simulate and validate ERR-003-TIMEOUT, ERR-003-RATE_LIMIT, ERR-003-EMPTY_RESPONSE, and ERR-003-PROVIDER_ERROR end-to-end
• Must allow retry for transient errors (timeout, rate limit) and succeed after the condition clears
• Must activate fallback to secondary provider when the primary provider is down
• Must log each error condition with error code, provider, and timestamp for diagnostics</t>
  </si>
  <si>
    <t>FR-003 / INT-01</t>
  </si>
  <si>
    <t>Playwright AI — generate error scenario scripts
Claude — generate edge case matrix</t>
  </si>
  <si>
    <t>Playwright · WireMock · JUnit 5</t>
  </si>
  <si>
    <t>ENDPOINT UNDER TEST:
POST /api/v1/sessions/{id}/generate
  (defined in FR-004 BE-04)
Test: simulate LLM timeout → ERR-003-TIMEOUT.
Test: provider returns malformed JSON →
  ERR-003-INVALID_RESPONSE surfaced in UI.</t>
  </si>
  <si>
    <t>CLAP processes requirements, generates test cases and returns structured JSON response</t>
  </si>
  <si>
    <t>FR-004</t>
  </si>
  <si>
    <t>CLAP receives the structured prompt and processes the requirements from session context, generating BDD-format test cases for each identified requirement.</t>
  </si>
  <si>
    <t>• CLAP receives the structured prompt from FR-003 and processes parsed requirements held in session context.
• Generates BDD-format test cases with Feature, Scenario, Given, When, and Then structure for each identified requirement.
• Returns a structured JSON array of test cases to ICE for downstream validation in FR-005 without user interaction.</t>
  </si>
  <si>
    <t>• Must receive the structured prompt from FR-003 and process parsed requirements held in session context
• Must generate BDD-format test cases with Feature, Scenario, Given, When, and Then structure for each identified requirement
• Must return a structured response containing exactly 10 fields: Description, Test Step, Expected Result, Test Type, Priority, and 5 others as defined in the schema
• Must reject responses missing mandatory fields (Description, Test Step, Expected Result) with a validation error specifying the missing field name
• Must accept only valid Test Type values (Functional, Regression, Performance, Accessibility, Responsiveness) and Priority values (High, Medium, Low)
• Must version the response schema in the OpenAPI spec for traceability</t>
  </si>
  <si>
    <t>GitHub Copilot — generate schema class + validator
Claude — 9-field schema design</t>
  </si>
  <si>
    <t>Spring Boot · Java Record · OpenAPI 3.0 · Jackson</t>
  </si>
  <si>
    <t>INTERNAL — TC schema definition.
10 fields: Test Case Id, Prerequisites, Test Case Description, Test Step ID, Test Step, Expected Result, Test Type, Priority, Criticality, Functionality.
Defined as Java Record + Jackson.
Used by: BE-02 (parser), BE-03 (validator).</t>
  </si>
  <si>
    <t>INTERNAL — TC schema definition.
9-field schema enforced on all generated TCs:
  tc_id, feature, scenario, given, when,
  then, priority, tags, notes
Defined as Java class + Jackson schema.
Used by: BE-02 (parser), BE-03 (validator).</t>
  </si>
  <si>
    <t>Parses the raw CLAP response and extracts the structured test case array, validating that each item conforms to the expected JSON schema before passing to FR-005.</t>
  </si>
  <si>
    <t>• Parses raw LLM output into structured 10-field TC objects and validates each item against the expected JSON schema.
• Auto-generates Test Case Id as TC-{sessionId}-{seq} and splits multi-step test cases into individual step rows under the same TC-ID.
• Handles partial or malformed output gracefully before passing structured data downstream.</t>
  </si>
  <si>
    <t>• Must parse valid LLM output into a list of 10-field TestCase objects conforming to the expected JSON schema
• Must auto-generate Test Case Id as TC-{sessionId}-{seq} if the LLM omits it
• Must split multi-step test cases into individual step rows under the same TC-ID
• Must flag malformed fields with ERR-004-INVALID-FIELD without rejecting the entire batch
• Must return ERR-004-EMPTY-RESPONSE when the LLM output is empty
• Must allow partially valid batches to proceed with flagged items included</t>
  </si>
  <si>
    <t>FR-004 / BE-01</t>
  </si>
  <si>
    <t>GitHub Copilot — generate parser + markdown stripper
Claude — malformed output handling strategy</t>
  </si>
  <si>
    <t>Jackson · Spring Boot · regex (fence stripper)</t>
  </si>
  <si>
    <t>Validates CLAP output against 9-field BDD schema. Writes validated TC rows to pool. Flagged rows shown in UI. No DB write.</t>
  </si>
  <si>
    <t>INTERNAL — LLM response parser.
Parses CLAP JSON output into 9-field TC objects.
On parse failure: flags TC with ERR-004-PARSE.
Called by: FR-004 BE-05 (Generation API).
Not a standalone HTTP endpoint.</t>
  </si>
  <si>
    <t>Handles partial CLAP responses where generation was interrupted, returning whatever test cases were generated along with a partial-completion flag.</t>
  </si>
  <si>
    <t>• Handles partial CLAP responses where generation was interrupted by returning whatever test cases were successfully generated.
• Returns a partial-completion flag alongside the available test cases.
• Allows the system to surface partial results rather than treating interruption as a complete failure.</t>
  </si>
  <si>
    <t>• Must return whatever test cases were successfully generated when CLAP generation is interrupted
• Must include a partial-completion flag alongside the available test cases
• Must return ERR-005-MISSING-DESCRIPTION when Test Case Description is missing
• Must return ERR-005-MISSING-STEP when Test Step is missing
• Must return ERR-005-MISSING-EXPECTED-RESULT when Expected Result is missing
• Must return ERR-005-INVALID-TEST-TYPE for invalid Test Type values
• Must pass valid cases through unchanged and return validation summary with flaggedCount</t>
  </si>
  <si>
    <t>FR-004 / BE-02</t>
  </si>
  <si>
    <t>GitHub Copilot — generate validator + reason code registry</t>
  </si>
  <si>
    <t>Spring Boot · Java Bean Validation · OpenAPI 3.0</t>
  </si>
  <si>
    <t>INTERNAL — TC field validator after parsing.
Mandatory fields: description, test_step, expected_result.
On failure: TC flagged (not rejected).
Not a standalone HTTP endpoint.</t>
  </si>
  <si>
    <t>INTERNAL — TC validator after parsing.
Checks: all 9 fields present and non-empty,
BDD keywords correct (Given/When/Then).
On failure: TC flagged (not rejected) —
  shown with warning in FR-005 FE-01.
Not a standalone HTTP endpoint.</t>
  </si>
  <si>
    <t>Maps CLAP-generated test case fields to the ICE 9-field TC schema, ensuring all mandatory fields are populated from the generation output.</t>
  </si>
  <si>
    <t>• Validates each parsed test case for field completeness, checking that all mandatory fields are present.
• Requires Test Case Description, Test Step, and Expected Result as mandatory fields.
• Flags incomplete test cases inline without blocking the entire generation batch.</t>
  </si>
  <si>
    <t>• Must validate each parsed test case for presence of all mandatory fields
• Must fire a nudge retry automatically when a mandatory field is missing
• Must specify exactly which fields are missing in the nudge prompt
• Must allow a maximum of 2 nudge retries before surfacing ERR-004-MAX-RETRIES
• Must include retry count in response metadata
• Must produce clean 10-field TCs on successful retry</t>
  </si>
  <si>
    <t>FR-004 / BE-02,BE-03</t>
  </si>
  <si>
    <t>GitHub Copilot — generate retry orchestrator
Claude — nudge prompt design + retry cap logic</t>
  </si>
  <si>
    <t>Spring Retry · Spring AI · Spring Boot</t>
  </si>
  <si>
    <t>INTERNAL — nudge retry.
Nudge: "Please include Test Case Description,
  Test Step, and Expected Result for each TC."
Max 2 retries. Called by: FR-004 BE-05.
Not a standalone HTTP endpoint.</t>
  </si>
  <si>
    <t>INTERNAL — nudge retry logic.
If CLAP returns &lt; expected TC count:
re-sends prompt with 'generate N more' nudge.
Max 2 retries. Not a standalone HTTP endpoint.
Called by: FR-004 BE-05.</t>
  </si>
  <si>
    <t>Stores the raw CLAP generation output in the session checkpoint so the result can be replayed or audited without re-calling CLAP.</t>
  </si>
  <si>
    <t>• Must return test cases when a valid sessionFileId is provided
• Must return 400 with ERR-004-NO-FILE when sessionFileId is invalid or missing
• Must include testCases[], validationSummary, modelUsed, and latencyMs in the response
• Must process parsed requirements held in session context
• Must generate BDD-format test cases with Feature, Scenario, Given, When, and Then structure</t>
  </si>
  <si>
    <t>FR-004 / BE-01,BE-02,BE-03,BE-04</t>
  </si>
  <si>
    <t>GitHub Copilot — generate REST controller + orchestration chain
Postman AI — generate API test collection</t>
  </si>
  <si>
    <t>Spring Boot · Spring MVC · OpenAPI 3.0 · JUnit 5 + Mockito</t>
  </si>
  <si>
    <t>ENDPOINT YOU CREATE:
POST /api/v1/sessions/{session_id}/generate
Response 200 (SSE stream):
  event: tc_generated
  data: {tc_id, prerequisites, description,
         step_id, test_step, expected_result,
         test_type, priority, criticality,
         functionality, flagged, flag_reason?}
  event: generation_complete
  data: {total_generated, flagged_count}
Errors: 400 no file, 503 PROVIDER_DOWN</t>
  </si>
  <si>
    <t>ENDPOINT YOU CREATE:
POST /api/v1/sessions/{session_id}/generate
Request: {model_override? (optional)}
Response 200 (streamed SSE):
  event: tc_generated
  data: {tc_id, feature, scenario, given,
         when, then, priority, tags, notes,
         flagged: bool, flag_reason?}
  event: generation_complete
  data: {total_generated, flagged_count}
Errors: 400 no file in session,
  503 ERR-003-PROVIDER_DOWN</t>
  </si>
  <si>
    <t>→ FR-005 BE-01
session.tcPool[sessionId] = [
  { tcId, feature, scenario, given,
    when, then, linkedReq, status, priority }
]
FR-005 BE-01 reads each TC and validates Gherkin structure.</t>
  </si>
  <si>
    <t>Renders the generated test cases in the TC pool table as they stream in from CLAP, updating the row count and table content in real time.</t>
  </si>
  <si>
    <t>• Wires the Generate button to POST /api/v1/generate and manages button state during the request.
• Shows a loading spinner and disables the button while the generation call is in progress.
• Prevents duplicate submissions by enforcing single-request-at-a-time behavior.</t>
  </si>
  <si>
    <t>• Must fire exactly one POST to /api/v1/generate when the Generate button is clicked
• Must display a loading spinner while the generation call is in progress
• Must disable the Generate button until the response is received
• Must prevent duplicate submissions by enforcing single-request-in-flight logic</t>
  </si>
  <si>
    <t>v0.dev — generate loading state UI
GitHub Copilot — generate API hook + loading state</t>
  </si>
  <si>
    <t>React · Axios · React Query · TypeScript · Tailwind CSS</t>
  </si>
  <si>
    <t>ENDPOINT YOU CALL (defined in FR-004 BE-05):
POST /api/v1/sessions/{session_id}/generate
Use EventSource (SSE) to stream results.
On tc_generated: append TC row to pool table.
While generating: show spinner on button,
  disable button, show 'Generating...' label.
On generation_complete: re-enable button,
  show count toast.</t>
  </si>
  <si>
    <t>Displays a generation summary banner (e.g. 12 test cases generated) on completion, with a breakdown of fully generated vs partially complete TCs.</t>
  </si>
  <si>
    <t>• Renders generated test cases as a scrollable table with a sticky header displaying 10 columns: Test Case Id, Prerequisites, Test Case Description, Test Step ID, Test Step, Expected Result, Test Type, Priority, Criticality, and Functionality.
• Visually groups multiple test steps under the same TC-ID to indicate they belong to a single test case.
• Updates the table content in real time as test cases stream in from the generation process.</t>
  </si>
  <si>
    <t>• Must render all 10 fields per row: Test Case Id, Prerequisites, Test Case Description, Test Step ID, Test Step, Expected Result, Test Type, Priority, Criticality, and Functionality
• Must display a sticky header during vertical scroll
• Must enable horizontal scroll for narrow viewports
• Must render correctly for 1 test case and for 200+ test cases
• Must group multi-step TCs under the same TC-ID
• Must show flagged TCs with an amber row background</t>
  </si>
  <si>
    <t>FR-004 / FE-01</t>
  </si>
  <si>
    <t>v0.dev — generate chat view table component
GitHub Copilot — sticky header + virtual scroll wiring</t>
  </si>
  <si>
    <t>React · TypeScript · Tailwind CSS · react-window</t>
  </si>
  <si>
    <t>ENDPOINT YOU CALL (FR-004 BE-05):
POST /api/v1/sessions/{session_id}/generate
Render 10-column standard TC table.
Group multi-step TCs under same TC-ID.
Flagged TCs: amber row (FR-005 FE-01).</t>
  </si>
  <si>
    <t>ENDPOINT YOU CALL (defined in FR-004 BE-05):
POST /api/v1/sessions/{session_id}/generate
Render TC rows in chat view table as SSE
events arrive. Flagged TCs shown with amber
warning row (FR-005 FE-01 handles the flag UI).</t>
  </si>
  <si>
    <t>Validates the full CLAP generation flow: prompt sent, BDD test cases returned, mapped to 9-field schema, and stored in session.</t>
  </si>
  <si>
    <t>• Validates the full CLAP generation flow from prompt submission through BDD test case generation and schema mapping.
• Confirms that generated test cases are mapped to the 9-field schema and stored in session.
• Tests the upload-to-render pipeline by uploading a valid file, triggering generation, and verifying test cases appear in the chat view.</t>
  </si>
  <si>
    <t>• Must populate all 10 standard fields per TC
• Must not write any DB rows and operate on session data only
• Must complete with latencyMs &lt; 30s for a typical document
• Must render multi-step TCs with grouped step rows under the same TC-ID
• Must support all 4 supported file formats in the upload-to-render pipeline</t>
  </si>
  <si>
    <t>FR-004 / All BE + FE</t>
  </si>
  <si>
    <t>Playwright AI — generate E2E generation tests
Claude — generate test scenario coverage matrix</t>
  </si>
  <si>
    <t>Playwright · GitHub Actions CI · Docker Compose</t>
  </si>
  <si>
    <t>ENDPOINT UNDER TEST:
POST /api/v1/sessions/{session_id}/generate
Test: valid requirements file → TCs streamed,
  all 9 fields populated, SSE events correct.
Test: verify tc_generated events arrive in
  real time (not batched at end).</t>
  </si>
  <si>
    <t>Validates CLAP partial response handling: interrupted generation returns available TCs with a partial-completion flag rather than an error.</t>
  </si>
  <si>
    <t>• Validates CLAP partial response handling to ensure interrupted generation returns available test cases with a partial-completion flag.
• Simulates LLM errors including empty response, invalid fields, and timeout scenarios.
• Verifies that retry after nudge successfully recovers from transient failures.</t>
  </si>
  <si>
    <t>• Must surface each ERR-004-* error correctly for the corresponding failure scenario
• Must resolve invalid field errors via nudge retry when applicable
• Must stop retrying after max retries and show an error instead of looping infinitely
• Must return available test cases with a partial-completion flag when generation is interrupted
• Must handle empty response, invalid fields, and timeout scenarios correctly</t>
  </si>
  <si>
    <t>FR-004 / INT-01</t>
  </si>
  <si>
    <t>Playwright AI — generate retry scenario scripts
WireMock — simulate LLM responses</t>
  </si>
  <si>
    <t>Playwright · WireMock · JUnit 5 · GitHub Actions CI</t>
  </si>
  <si>
    <t>ENDPOINT UNDER TEST:
POST /api/v1/sessions/{session_id}/generate
Test: LLM returns partial JSON → nudge retry
  fires, second attempt succeeds.
Test: max retries exceeded → ERR-003-TIMEOUT
  surfaced correctly in UI.</t>
  </si>
  <si>
    <t>ICE validates the response — checks mandatory fields and flags incomplete TCs</t>
  </si>
  <si>
    <t>FR-005</t>
  </si>
  <si>
    <t>Validates each generated test case against the mandatory 9-field schema, flagging any TC where a required field is missing or empty.</t>
  </si>
  <si>
    <t>• Validates each generated test case against the mandatory 9-field schema, checking for missing or empty required fields.
• Requires Test Case Description, Test Step, and Expected Result to be present and non-empty.
• Runs inside the FR-004 BE-05 pipeline and flags incomplete test cases without rejecting the entire batch.</t>
  </si>
  <si>
    <t>• Must return ERR-005-MISSING-DESCRIPTION when Test Case Description is missing or empty
• Must return ERR-005-MISSING-STEP when Test Step is missing or empty
• Must return ERR-005-MISSING-EXPECTED-RESULT when Expected Result is missing or empty
• Must return ERR-005-INVALID-TEST-TYPE when Test Type value is invalid
• Must treat empty strings the same as missing values
• Must flag TCs inline without blocking the entire generation batch</t>
  </si>
  <si>
    <t>GitHub Copilot — generate Gherkin validator + error registry
Claude — nested step edge cases</t>
  </si>
  <si>
    <t>Spring Boot · Java · OpenAPI 3.0</t>
  </si>
  <si>
    <t>[in-memory pool]</t>
  </si>
  <si>
    <t>INTERNAL — mandatory field validator.
Runs post-generation inside FR-004 BE-05.
Checks: description, test_step, expected_result
  present and non-empty (not whitespace).
ERR-005-* codes:
  MISSING-DESCRIPTION
  MISSING-STEP
  MISSING-EXPECTED-RESULT
  INVALID-TEST-TYPE
Flags TC — does not reject.
Not a standalone HTTP endpoint.</t>
  </si>
  <si>
    <t>INTERNAL — Gherkin structure validator.
Runs post-generation inside FR-004 BE-09.
Checks: Given/When/Then present, non-empty,
  correct keyword order.
Flags TC — does not reject it.
Not a standalone HTTP endpoint.</t>
  </si>
  <si>
    <t>Detects duplicate test cases within the session pool by comparing TC descriptions and step sequences, flagging duplicates for user review.</t>
  </si>
  <si>
    <t>• Flags test cases that fail mandatory field validation inline during generation or import.
• Returns both valid and flagged TCs together in the session pool response.
• Flagged TCs include rowIndex, fieldName, and ERR-005-* reasonCode for traceability.</t>
  </si>
  <si>
    <t>• Must return valid cases with flagged=false
• Must return flagged cases with rowIndex, fieldName, and reasonCode (ERR-005-*)
• Must include validCount and flaggedCount in the response
• Must list all reason codes when multiple fields are missing on the same TC
• Must return all flagged TCs when all TCs are invalid instead of returning an empty success response</t>
  </si>
  <si>
    <t>FR-005 / BE-01</t>
  </si>
  <si>
    <t>GitHub Copilot — generate inline flagging + response builder
Claude — partial success response design</t>
  </si>
  <si>
    <t>Spring Boot · Jackson · OpenAPI 3.0</t>
  </si>
  <si>
    <t>INTERNAL — inline flagging engine.
Adds flagged=true + flag_reason[] to TC
when mandatory field validation fails.
ERR-005-* codes: MISSING-DESCRIPTION,
  MISSING-STEP, MISSING-EXPECTED-RESULT,
  INVALID-TEST-TYPE.
Not a standalone HTTP endpoint.</t>
  </si>
  <si>
    <t>INTERNAL — inline flagging engine.
Adds flagged=true + flag_reason to TC object
when validation fails.
Flag returned in SSE event from FR-004 BE-09.
Not a standalone HTTP endpoint.</t>
  </si>
  <si>
    <t>Assigns a validation status to each TC (valid, flagged-incomplete, flagged-duplicate) and writes the result to the session checkpoint.</t>
  </si>
  <si>
    <t>• Exposes a summary endpoint called after generation completes to provide validation metrics.
• Returns counts and breakdown of which mandatory fields caused flags across all generated TCs.
• Enables the front-end to display aggregate validation status without re-processing the pool.</t>
  </si>
  <si>
    <t>• Must return summary fields even when flaggedCount is 0
• Must list unique ERR-005-* codes in flaggedReasons with counts and field names
• Must ensure the summary flaggedCount matches the actual flagged row count
• Must provide a breakdown showing how many TCs are missing Description, Test Step, and Expected Result respectively</t>
  </si>
  <si>
    <t>FR-005 / BE-02</t>
  </si>
  <si>
    <t>GitHub Copilot — generate summary builder</t>
  </si>
  <si>
    <t>Spring Boot · Jackson · Java Record</t>
  </si>
  <si>
    <t>ENDPOINT YOU CREATE:
GET /api/v1/sessions/{session_id}/validation-summary
Response 200:
  {total: int, valid: int, flagged: int,
   reasons: [{code: ERR-005-*, count: int,
              field: "Test Step" etc.}]}
Errors: 404 session not found</t>
  </si>
  <si>
    <t>ENDPOINT YOU CREATE:
GET /api/v1/sessions/{session_id}/validation-summary
Response 200:
  {total: int, flagged: int, flag_reasons:
   [{tc_id, reason}]}
Called after generation completes.
Errors: 404 session not found</t>
  </si>
  <si>
    <t>→ FR-006 FE-01
session.tcPool[sessionId][].flagged = true/false
session.tcPool[sessionId][].flagReason = string
FR-006 FE-01 renders valid TCs in table; flagged rows shown in amber.</t>
  </si>
  <si>
    <t>Renders validation status badges on each TC row in the pool table, distinguishing valid, incomplete, and duplicate entries visually.</t>
  </si>
  <si>
    <t>• Highlights flagged test case rows with an amber background in the pool table.
• Shows the reason code as a tooltip on hover over the flagged row.
• Provides immediate visual feedback on which TCs require user attention.</t>
  </si>
  <si>
    <t>• Must show flagged test case rows with an amber background in the pool table
• Must display a plain-English reason on hover tooltip (e.g. 'Missing Test Step' instead of ERR-005-MISSING-STEP)
• Must leave valid rows visually unaffected
• Must list all reasons in the tooltip when multiple flags apply to the same TC</t>
  </si>
  <si>
    <t>v0.dev — generate flagged row component
GitHub Copilot — tooltip + reason code mapping</t>
  </si>
  <si>
    <t>React · TypeScript · Tailwind CSS · React Tooltip</t>
  </si>
  <si>
    <t>Reads: generated TC rows from pool. Validates mandatory field completeness. Flags incomplete rows. No DB write.</t>
  </si>
  <si>
    <t>ENDPOINT YOU CALL (defined in FR-004 BE-09 SSE):
Listen for flagged=true in tc_generated event.
Render amber warning row for flagged TCs.
Show flag_reason tooltip on hover.
No separate API call needed — flag is in the
SSE stream from generation.</t>
  </si>
  <si>
    <t>Displays a validation summary card above the pool table showing total TCs, valid count, flagged count, and duplicate count.</t>
  </si>
  <si>
    <t>• Displays a banner above the chat view showing '{validCount} valid, {flaggedCount} flagged'.
• Updates the summary counts automatically on regeneration or edit.
• Provides a quick overview of pool health without scrolling the table.</t>
  </si>
  <si>
    <t>• Must display a banner above the chat view showing '{validCount} valid, {flaggedCount} flagged' after TC generation
• Must update the summary counts automatically whenever a regeneration or edit occurs
• Must show green styling when flaggedCount = 0 and amber styling when flaggedCount &gt; 0
• Must remain visible at all times after initial generation without requiring scroll</t>
  </si>
  <si>
    <t>FR-005 / FE-01</t>
  </si>
  <si>
    <t>v0.dev — generate summary banner component
GitHub Copilot — colour logic</t>
  </si>
  <si>
    <t>Reads: generated TC rows from pool. Validates BDD structure. Flags incomplete rows. No DB write.</t>
  </si>
  <si>
    <t>ENDPOINT YOU CALL (defined in FR-005 BE-03):
GET /api/v1/sessions/{session_id}/validation-summary
Call after generation_complete SSE event.
Show banner: '{N} test cases flagged for review'
with count of flagged TCs.</t>
  </si>
  <si>
    <t>Validates the full validation pipeline: generated TCs processed, mandatory fields checked, duplicates detected, and status badges rendered correctly.</t>
  </si>
  <si>
    <t>• Validates the full validation pipeline from generation through to UI rendering.
• Generates TCs with requirements designed to produce flagged cases.
• Verifies that inline flags and summary counts are correct and consistent.</t>
  </si>
  <si>
    <t>• Must validate the full pipeline from TC generation through UI rendering with requirements designed to produce flagged cases
• Must display flagged rows with amber background and tooltip showing plain-English field name for the violated rule
• Must show banner counts that match the actual flagged row count in the table
• Must render a mix of valid and invalid TCs correctly in their respective categories
• Must return validation summary with correct ERR-005-* code breakdown covering all 4 defined error codes</t>
  </si>
  <si>
    <t>FR-005 / All BE + FE</t>
  </si>
  <si>
    <t>Playwright AI — generate validation E2E tests
Claude — generate requirements triggering specific errors</t>
  </si>
  <si>
    <t>ENDPOINT UNDER TEST:
GET /api/v1/sessions/{session_id}/validation-summary
Also: SSE stream from POST /generate.
Test: requirements that produce flagged TCs
  → flagged=true in SSE events.
  → validation-summary returns correct counts.</t>
  </si>
  <si>
    <t>Rendering of test case pool table</t>
  </si>
  <si>
    <t>FR-006</t>
  </si>
  <si>
    <t>Exposes the GET /api/v1/session/testcases endpoint that returns the full TC pool from the Redis session, supporting pagination and sort parameters.</t>
  </si>
  <si>
    <t>• Exposes GET /api/v1/session/testcases/search?q= for free-text search across TC descriptions, test steps, and expected results.
• Exposes GET /api/v1/session/testcases/filter with query params testType, priority, and others combined with AND logic.
• Supports debounced server-side search; empty q returns the full list.</t>
  </si>
  <si>
    <t>• Must return matches across TC Description, Test Step, and Expected Results fields for GET /api/v1/session/testcases/search?q=
• Must return only Functional rows when testType=Functional filter is applied via GET /api/v1/session/testcases/filter
• Must apply multiple filters with AND logic when testType and priority are both specified
• Must display correct active filter badge count per column in the response metadata
• Must return the full unfiltered pool when all filters are cleared
• Must return an empty result set with 200 status when no TCs match the applied filters</t>
  </si>
  <si>
    <t>GitHub Copilot — filter query param parsing
Claude — combined filter + search logic</t>
  </si>
  <si>
    <t>Spring Boot · Java · Session store (Redis)</t>
  </si>
  <si>
    <t>READ</t>
  </si>
  <si>
    <t>Redis (session pool)</t>
  </si>
  <si>
    <t>session pool — ice.testcases</t>
  </si>
  <si>
    <t>testType, priority, functionality, source, flagged, testCaseDescription, testStep, expectedResults</t>
  </si>
  <si>
    <t>GET /api/v1/session/testcases/search?q={text}
GET /api/v1/session/testcases/filter?testType=&amp;priority=&amp;functionality=&amp;source=&amp;flagged=
Returns: [{tcId, prerequisite, description, stepId, step, expected, testType, functionality, priority, source, flagged}]</t>
  </si>
  <si>
    <t>Exposes the GET /api/v1/session/testcases/search endpoint that performs free-text search across TC descriptions and step content within the session pool.</t>
  </si>
  <si>
    <t>• Exposes DELETE /api/v1/session/testcases/{tcId} to remove a single TC from the session pool in Redis.
• Exposes DELETE /api/v1/session/testcases with body {tcIds: ["TC-001", "TC-002"]} for atomic bulk delete.
• Exposes PUT /api/v1/session/testcases/{tcId} to edit any subset of TC fields in place.
• Returns 204 on success, 404 if tcId not found, and {deleted: N} for bulk operations.</t>
  </si>
  <si>
    <t>• Must remove the TC from the session pool via DELETE /api/v1/session/testcases/{tcId} so it no longer appears in GET responses
• Must remove all specified TCs atomically via DELETE /api/v1/session/testcases with body {tcIds: [...]}
• Must return 404 when DELETE is called on a non-existent tcId
• Must update only the supplied fields via PUT /api/v1/session/testcases and leave unsupplied fields unchanged
• Must return 400 with the field name in the error body when PUT receives an empty value for a mandatory field
• Must mark the edited TC with an editedAt timestamp and editedBy flag in the session pool</t>
  </si>
  <si>
    <t>GitHub Copilot — REST endpoint boilerplate
Claude — atomic bulk delete design</t>
  </si>
  <si>
    <t>Spring Boot · Redis · Jackson</t>
  </si>
  <si>
    <t>READ + WRITE</t>
  </si>
  <si>
    <t>tcId, all 9 TC fields, edited flag, deleted timestamp</t>
  </si>
  <si>
    <t>DELETE /api/v1/session/testcases/{tcId}  → 204
DELETE /api/v1/session/testcases  body:{tcIds[]} → {deleted:N}
PUT    /api/v1/session/testcases/{tcId}  body:{fields} → updated TC</t>
  </si>
  <si>
    <t>Renders the 9-column TC pool table populated from the session, displaying all generated and imported test cases with their validation status badges.</t>
  </si>
  <si>
    <t>• Renders a 9-column TC pool table displaying Checkbox, TC ID, Prerequisite, Test Case Description, Test Step ID, Test Step, Expected Results, Test Type, and Functionality.
• Implements sticky header during vertical scroll, virtual scroll for &gt; 100 rows, and horizontal scroll on narrow viewports.
• Shows a source badge per row: ICE (purple) for generated TCs or Excel (green) for imported TCs.</t>
  </si>
  <si>
    <t>• Must render all 9 columns (Checkbox, TC ID, Prerequisite, Test Case Description, Test Step ID, Test Step, Expected Results, Test Type, Functionality) with correct data from the session pool
• Must keep the header row sticky during vertical scroll
• Must render 500 rows without lag using virtual scroll
• Must display the correct source badge (ICE / Excel / Xray) per row
• Must show flagged rows with amber background and display a tooltip on hover
• Must support horizontal scroll on 1024px viewport without breaking layout</t>
  </si>
  <si>
    <t>Cursor AI — table layout + virtual scroll
Claude — source badge + flagged row styling</t>
  </si>
  <si>
    <t>React · TypeScript · Tailwind CSS · React Virtual / TanStack Virtual</t>
  </si>
  <si>
    <t>Redis (via BE-01)</t>
  </si>
  <si>
    <t>All 9 TC fields + source + flagged + edited</t>
  </si>
  <si>
    <t>Calls: GET /api/v1/session/testcases (initial load)
Reads pool via BE-01 search/filter</t>
  </si>
  <si>
    <t>Renders the column headers and sort controls for the TC pool table, allowing the user to sort by any of the 9 TC fields.</t>
  </si>
  <si>
    <t>• Renders a ▼ icon on every column header that opens a dropdown of unique values for that column.
• Populates dropdown from the current session pool and allows selection of one or more values to filter the table immediately.
• Active filter shows a filled ▼ icon with a count badge on the column header, e.g. 'TEST TYPE ▼ 1'.</t>
  </si>
  <si>
    <t>• Must render a ▼ icon on all 5 filterable column headers that opens a dropdown of unique values from the session pool
• Must filter the table immediately to show only rows matching the selected value (e.g., 'Functional')
• Must apply AND logic correctly when two or more filters are active simultaneously
• Must display the correct active filter badge count on each column header
• Must reset the table to the full unfiltered pool when 'Clear all filters' is clicked</t>
  </si>
  <si>
    <t>FR-006 / BE-03</t>
  </si>
  <si>
    <t>Cursor AI — dropdown filter component
Claude — multi-column AND logic + badge count</t>
  </si>
  <si>
    <t>testType, priority, functionality, source, flagged</t>
  </si>
  <si>
    <t>Calls: GET /api/v1/session/testcases/filter (BE-01)</t>
  </si>
  <si>
    <t>→ FR-008 BE-01
session.tcPool[sessionId] — fully validated, flagged TCs marked.
FR-008 BE-01 serialises this pool to .xlsx on export trigger.</t>
  </si>
  <si>
    <t>Renders the free-text search input above the pool table and filters displayed rows in real time as the user types.</t>
  </si>
  <si>
    <t>• Renders a free-text search input above the pool table with 300ms debounce before firing GET /session/testcases/search?q=.
• Searches across Test Case Description, Test Step, and Expected Results fields.
• Shows result count 'Showing 12 of 47 test cases', a clear button (×) to reset, and works in combination with column filters using AND logic.</t>
  </si>
  <si>
    <t>• Must fire GET /session/testcases/search?q= after 300ms debounce, not on every keypress
• Must search across Test Case Description, Test Step, and Expected Results fields
• Must display the result count as 'Showing X of Y test cases'
• Must reset to the full unfiltered list when the clear button is clicked
• Must apply both search and column filter simultaneously when both are active</t>
  </si>
  <si>
    <t>Cursor AI — search bar with debounce
Claude — combined filter state</t>
  </si>
  <si>
    <t>testCaseDescription, testStep, expectedResults</t>
  </si>
  <si>
    <t>Calls: GET /api/v1/session/testcases/search?q= (BE-01)</t>
  </si>
  <si>
    <t>Renders filter controls for test type, priority, and validation status, allowing the user to narrow the pool table to a specific subset.</t>
  </si>
  <si>
    <t>• Renders a + button in the second column of every TC row to expand inline sub-rows showing test steps.
• Sub-row columns display Step ID (auto-generated as TS-{tcId}-01, TS-{tcId}-02, …), Test Step, and Expected Results.
• The + changes to − when expanded, and multiple rows can be expanded simultaneously without affecting others.</t>
  </si>
  <si>
    <t>• Must render a + button in the second column of every TC row
• Must expand inline sub-rows below the parent row showing Step ID (TS-{tcId}-01, TS-{tcId}-02, ...), Test Step, and Expected Results when + is clicked
• Must change the + icon to − when the row is expanded
• Must allow multiple rows to be expanded simultaneously without overlap or layout breakage
• Must collapse sub-rows correctly when − is clicked
• Must preserve the expand state of rows when a column filter is applied</t>
  </si>
  <si>
    <t>FR-006 / FE-01</t>
  </si>
  <si>
    <t>Cursor AI — expandable row component
Claude — step ID generation + multi-expand state</t>
  </si>
  <si>
    <t>session pool — ice.testcases (steps field)</t>
  </si>
  <si>
    <t>stepId, testStep, expectedResults per step</t>
  </si>
  <si>
    <t>Client-side only — reads steps from already-loaded TC object.</t>
  </si>
  <si>
    <t>Renders the expandable step detail panel for each TC row, showing the full step sequence when the user clicks to expand.</t>
  </si>
  <si>
    <t>• Renders a copy icon on every row that copies all 9 TC fields as formatted plain text to the clipboard.
• Shows a 'Copied!' tooltip that fades after 1.5 seconds.
• Operates purely client-side with no API call required.</t>
  </si>
  <si>
    <t>• Must render a copy icon on every TC row
• Must copy all 9 TC fields as formatted plain text to the clipboard when the icon is clicked
• Must display a 'Copied!' tooltip that fades after 1.5 seconds
• Must operate purely client-side with no API call
• Must work in Chrome, Firefox, Safari, and Edge browsers</t>
  </si>
  <si>
    <t>Cursor AI — clipboard API + tooltip</t>
  </si>
  <si>
    <t>React · TypeScript · Clipboard API</t>
  </si>
  <si>
    <t>Client state</t>
  </si>
  <si>
    <t>None — reads from React component state</t>
  </si>
  <si>
    <t>All 9 TC fields</t>
  </si>
  <si>
    <t>None — pure client-side.</t>
  </si>
  <si>
    <t>Renders the bulk select checkbox column and Select All control, enabling the user to select multiple TCs for bulk operations.</t>
  </si>
  <si>
    <t>• Renders an edit icon (pencil) on every TC row that opens a slide-out panel from the right when clicked.
• Overlay displays TC ID (read-only), Prerequisite (text input), Test Case Description (textarea), Test Step (textarea), Expected Results (textarea), and Test Type (dropdown: Functional, Edge case, Regression).
• Table remains visible behind the panel; changes are sent via PUT /session/testcases/{tcId} on save.</t>
  </si>
  <si>
    <t>• Must open a slide-out panel from the right when the edit (pencil) icon is clicked
• Must pre-populate all editable fields (Prerequisite, Test Case Description, Test Step, Expected Results, Test Type, Functionality) with current TC values
• Must display TC ID as read-only in the overlay
• Must call PUT and update the row in the table without full page reload when Save is clicked
• Must close the overlay without persisting changes when Cancel is clicked
• Must remove the row from the table when Delete is clicked from the overlay
• Must show the edited TC row with italic TC ID and a ✎ indicator after save
• Must return a validation error and prevent save when a mandatory field is left empty
• Must persist the updated TC to session pool in ice.testcases and be retrievable on subsequent reads</t>
  </si>
  <si>
    <t>Cursor AI — slide-out panel + form
Claude — unsaved changes guard + edited indicator</t>
  </si>
  <si>
    <t>Redis (via BE-02)</t>
  </si>
  <si>
    <t>All 9 editable TC fields + edited flag</t>
  </si>
  <si>
    <t>PUT    /api/v1/session/testcases/{tcId}  (BE-02)
DELETE /api/v1/session/testcases/{tcId}  (BE-02)</t>
  </si>
  <si>
    <t>FE-07</t>
  </si>
  <si>
    <t>Renders the per-row delete button that removes a single TC from the session pool without affecting other TCs.</t>
  </si>
  <si>
    <t>• Renders a trash icon on every TC row that triggers an inline confirmation prompt: 'Delete TC-001? This cannot be undone. [Delete] [Cancel]'.
• On confirmation, fires DELETE /session/testcases/{tcId} and removes the row with a fade-out animation.
• Pool count in the header updates immediately after deletion.</t>
  </si>
  <si>
    <t>• Must render a trash icon on every TC row
• Must trigger an inline confirmation prompt 'Delete TC-001? This cannot be undone. [Delete] [Cancel]' when the trash icon is clicked
• Must fire DELETE /session/testcases/{tcId} and remove the row with a fade-out animation on confirmation
• Must decrement the pool count in the header correctly after deletion
• Must remove all selected rows when bulk delete is triggered
• Must display an empty state message when all TCs are deleted from the pool
• Must persist the deletion to session pool in ice.testcases and confirm removal on subsequent reads</t>
  </si>
  <si>
    <t>FR-006 / All BE + FE</t>
  </si>
  <si>
    <t>Cursor AI — delete confirmation + animation
Claude — bulk delete toolbar design</t>
  </si>
  <si>
    <t>WRITE</t>
  </si>
  <si>
    <t>tcId (delete key)</t>
  </si>
  <si>
    <t>DELETE /api/v1/session/testcases/{tcId}  (BE-02)
DELETE /api/v1/session/testcases  body:{tcIds[]}  (BE-02)</t>
  </si>
  <si>
    <t>FE-08</t>
  </si>
  <si>
    <t>Renders the bulk action toolbar that appears when one or more TCs are selected, providing bulk delete and export options.</t>
  </si>
  <si>
    <t>• Renders a checkbox in the first column of every row and a header checkbox to select all visible rows (respects active filters).
• Header checkbox shows indeterminate state when some but not all rows are selected.
• A bulk action toolbar appears below the table header when ≥1 row is selected, displaying 'N selected — [Export to Excel] [Delete]'.</t>
  </si>
  <si>
    <t>• Must render a checkbox in the first column of every row and a header checkbox to select all visible rows
• Must respect active filters when 'select all' is clicked, selecting only visible rows
• Must show the header checkbox in indeterminate state when some but not all rows are selected
• Must display the bulk action toolbar below the table header on first selection and hide it when selection is cleared
• Must pass selected tcIds to FR-008 export handler when the Export button in the toolbar is clicked
• Must pass selected tcIds to FR-009 Xray integration when the Push to Xray button in the toolbar is clicked</t>
  </si>
  <si>
    <t>FR-006 / INT-01</t>
  </si>
  <si>
    <t>Cursor AI — checkbox + indeterminate state
Claude — filter-aware select-all logic</t>
  </si>
  <si>
    <t>Client state (React)</t>
  </si>
  <si>
    <t>None — client-side selection state</t>
  </si>
  <si>
    <t>tcId[] selected set</t>
  </si>
  <si>
    <t>No API call — selection state passed as props to FR-008 and FR-009.</t>
  </si>
  <si>
    <t>FE-09</t>
  </si>
  <si>
    <t>Renders the Push to Xray button in the footer, enabled only when the pool contains at least one valid TC with no unresolved flags.</t>
  </si>
  <si>
    <t>• Renders the Push to Xray button in the footer, enabled only when the pool contains at least one valid TC with no unresolved flags.
• Button is disabled (greyed) when pool is empty or all TCs are flagged, with tooltip 'Add at least one valid test case to continue'.
• On click, reads current pool from session (ice.testcases) and validates gate conditions before proceeding.</t>
  </si>
  <si>
    <t>• Must render the Push to Xray button disabled with tooltip 'Add at least one valid test case' when pool is empty
• Must render the button disabled with tooltip when all TCs in pool are flagged
• Must enable the button when pool contains at least one valid unflagged TC
• Must write ice.enrichment.input to session on click with tcIds[] matching pool contents and correct counts
• Must navigate to the enrichment screen after session write completes</t>
  </si>
  <si>
    <t>Cursor AI — button gate logic + disabled state styling
Claude — handoff key design + mid-generation guard</t>
  </si>
  <si>
    <t>React · TypeScript · Tailwind CSS · Redis (session write)</t>
  </si>
  <si>
    <t>Redis (session)</t>
  </si>
  <si>
    <t>Session key: ice.enrichment.input</t>
  </si>
  <si>
    <t>ice.enrichment.input: {tcIds[], source, poolCount, validCount, flaggedCount, timestamp}</t>
  </si>
  <si>
    <t>INTERNAL — no HTTP endpoint.
Session write:
  POST /api/v1/session/enrichment/init
  Body: {tcIds[], poolCount, validCount, flaggedCount}
  Called by FE on button click before navigation.
  Returns 200 → FE navigates. Returns 400 if pool empty.</t>
  </si>
  <si>
    <t>Validates the full pool table render: TCs loaded from session, displayed with correct validation badges, search and filter working, Push to Xray button state correct.</t>
  </si>
  <si>
    <t>• Validates the full pool table render with TCs loaded from session, displayed with correct validation badges, search and filter working, and Push to Xray button state.
• Test 1 applies column filter (testType=Functional, priority=High) and verifies AND logic and clear all restores full pool.
• Test 2 combines testType=Edge case filter with 'CVV' search and verifies combined result; Test 3 clicks row expand to verify detail display.</t>
  </si>
  <si>
    <t>• Must load all TCs from session pool ice.testcases and display with correct validation badges
• Must apply column filters (testType, priority) and return only matching rows
• Must combine search and filter using AND logic and display correct result set
• Must save edits to session pool and reflect changes immediately in the table
• Must remove deleted TC from pool permanently with no recovery option
• Must support multi-select and correctly feed selected TCs to FR-008 and FR-009</t>
  </si>
  <si>
    <t>Claude — E2E scenario design
Copilot — test automation code</t>
  </si>
  <si>
    <t>TestNG · Selenium · React Testing Library · GitHub Actions</t>
  </si>
  <si>
    <t>All interaction fields verified end-to-end</t>
  </si>
  <si>
    <t>All FR-006 BE-01 + BE-02 endpoints under test.</t>
  </si>
  <si>
    <t>Adding/deleting/modifying test cases in the pool table.</t>
  </si>
  <si>
    <t>FR-007</t>
  </si>
  <si>
    <t>ice.testcases
ice.editoverlay
ice.fileref
Prevent key collisions</t>
  </si>
  <si>
    <t>Exposes the API endpoints for adding, editing, and deleting individual test cases in the Redis session pool, with key collision prevention.</t>
  </si>
  <si>
    <t>• Exposes API endpoints for adding, editing, and deleting individual test cases in the Redis session pool.
• Session key namespacing defined as ice.testcases, ice.editoverlay, ice.fileref to prevent key collisions.
• Constants shared via config across all Design &amp; Author FRs.</t>
  </si>
  <si>
    <t>• Must expose API endpoints for adding, editing, and deleting individual test cases in Redis session pool
• Must resolve each namespace (ice.testcases, ice.editoverlay, ice.fileref) to correct data structure
• Must prevent cross-namespace contamination between concurrent user sessions
• Must share constants via config with no hardcoded strings in endpoint code</t>
  </si>
  <si>
    <t>GitHub Copilot — session namespace constants</t>
  </si>
  <si>
    <t>Spring Boot · Redis</t>
  </si>
  <si>
    <t>Redis</t>
  </si>
  <si>
    <t>Session keys: ice.testcases, ice.editoverlay, ice.fileref</t>
  </si>
  <si>
    <t>Namespace constant definitions</t>
  </si>
  <si>
    <t>INTERNAL — no HTTP endpoint.</t>
  </si>
  <si>
    <t>GET /session/ttl
POST /session/extend
Remaining seconds
TTL reset on extend</t>
  </si>
  <si>
    <t>Exposes the GET /session/ttl and POST /session/extend endpoints that return remaining session time and allow the user to extend the session before it expires.</t>
  </si>
  <si>
    <t>• Exposes GET /api/v1/session/ttl and POST /api/v1/session/extend endpoints that return remaining session time and allow session extension.
• GET /api/v1/session/ttl returns {remainingSeconds, expiresAt}; POST /api/v1/session/extend resets TTL to configured maximum.
• Front end polls GET /session/ttl every 30s (FR-007 FE-02) to track session lifetime.</t>
  </si>
  <si>
    <t>• Must return {remainingSeconds, expiresAt} from GET /api/v1/session/ttl at any point in active session
• Must return remainingSeconds as 0 when session has expired
• Must reset TTL to configured value on POST /api/v1/session/extend for valid sessions
• Must reject POST /api/v1/session/extend with error when session is already expired
• Must return full TTL value on subsequent GET after successful extend</t>
  </si>
  <si>
    <t>GitHub Copilot — TTL endpoint boilerplate</t>
  </si>
  <si>
    <t>Session TTL key</t>
  </si>
  <si>
    <t>remainingSeconds, expiresAt</t>
  </si>
  <si>
    <t>GET  /api/v1/session/ttl      → {remainingSeconds, expiresAt}
POST /api/v1/session/extend   → {newExpiresAt}</t>
  </si>
  <si>
    <t>Global 401 intercept
Redirect to expired screen
Clear session data
Fresh login recovery</t>
  </si>
  <si>
    <t>Intercepts 401 Unauthorized responses globally and redirects the user to the session-expired screen, clearing session data before redirecting to fresh login.</t>
  </si>
  <si>
    <t>• Intercepts 401 Unauthorized responses globally and redirects the user to the session-expired screen.
• Spring Security filter clears Redis session keys (ice.testcases, ice.editoverlay, ice.fileref) on 401 and returns redirect URL.
• Expired screen displays 'Your session has expired. Your work has been saved as a draft.' with [Resume] and [Start fresh] options.</t>
  </si>
  <si>
    <t>• Must intercept any 401 Unauthorized response from Design &amp; Author endpoints and redirect to expired screen within 500ms
• Must clear all Redis session keys (ice.testcases, ice.editoverlay, ice.fileref) on 401 before redirect
• Must provide clean session state with no residual data after fresh login
• Must offer Resume option to restore last auto-saved draft if available</t>
  </si>
  <si>
    <t>GitHub Copilot — Spring Security 401 handler</t>
  </si>
  <si>
    <t>Spring Boot · Spring Security · Redis</t>
  </si>
  <si>
    <t>WRITE (clear)</t>
  </si>
  <si>
    <t>Session keys cleared: ice.testcases, ice.editoverlay, ice.fileref</t>
  </si>
  <si>
    <t>All session keys cleared on 401</t>
  </si>
  <si>
    <t>INTERNAL — Spring Security filter. No HTTP endpoint.</t>
  </si>
  <si>
    <t>Banner at &lt;5 min
Re-shown at &lt;60s
Extend Session button
Web Worker — background tab</t>
  </si>
  <si>
    <t>Renders the session expiry warning banner when fewer than 5 minutes remain, re-showing it at under 60 seconds with an Extend Session button.</t>
  </si>
  <si>
    <t>• Renders the session expiry warning banner when fewer than 5 minutes remain, re-showing it at under 60 seconds with an Extend Session button.
• Polls GET /session/ttl every 30s; banner appears at &lt; 5 min with 'Your session expires in 4:32 — [Extend Session]', dismissed banner re-shows at &lt; 60s.
• Uses Web Worker for accurate countdown in background tabs; Extend Session triggers POST /session/extend and dismisses banner.
• On expiry, triggers 401 interceptor which clears session and redirects to expired screen.</t>
  </si>
  <si>
    <t>• Must poll GET /session/ttl every 30 seconds and display banner when fewer than 5 minutes remain
• Must update countdown timer every second while banner is visible
• Must re-show dismissed banner when fewer than 60 seconds remain
• Must reset TTL and dismiss banner when user clicks Extend Session button
• Must continue polling and firing banner via Web Worker when browser tab is in background</t>
  </si>
  <si>
    <t>Cursor AI — countdown banner + Web Worker
Claude — extension limit logic</t>
  </si>
  <si>
    <t>React · TypeScript · Web Worker API · Tailwind CSS</t>
  </si>
  <si>
    <t>Session TTL</t>
  </si>
  <si>
    <t>remainingSeconds</t>
  </si>
  <si>
    <t>GET  /api/v1/session/ttl     (BE-02) — polled every 30s
POST /api/v1/session/extend  (BE-02) — on Extend Session click</t>
  </si>
  <si>
    <t>Simulate expiry mid-use
Verify banner + extend
Force 401 → redirect
Fresh login = clean state</t>
  </si>
  <si>
    <t>Validates the full session management lifecycle: expiry warning shown, Extend Session button works, forced expiry triggers redirect, fresh login restores clean state.</t>
  </si>
  <si>
    <t>• Validates the full session management lifecycle: expiry warning shown, Extend Session button works, forced expiry triggers redirect, and fresh login restores state.
• Test 1 sets session TTL to 4 min, verifies banner appears, clicks Extend, and verifies TTL reset with banner dismissed.
• Test 2 dismisses banner at 4 min, fast-forwards to 55s, and verifies re-appearance; Test 3 invalidates session server-side and triggers any API call to verify 401 redirect.</t>
  </si>
  <si>
    <t>• Must display session expiry warning banner at correct TTL threshold (&lt; 5 min)
• Must trigger 401 redirect to expired screen within 500ms when session expires
• Must clear all session data from Redis after expiry, confirmed via Redis CLI check
• Must enforce configured extension limit and reject further extensions beyond that limit
• Must restore available state on fresh login if auto-saved draft exists</t>
  </si>
  <si>
    <t>Claude — E2E session scenario design</t>
  </si>
  <si>
    <t>TestNG · Selenium · Redis client · GitHub Actions</t>
  </si>
  <si>
    <t>Session keys verified via Redis CLI in test</t>
  </si>
  <si>
    <t>remainingSeconds, session keys, redirect URL</t>
  </si>
  <si>
    <t>FR-007 BE-02 + BE-03 endpoints under test.</t>
  </si>
  <si>
    <t>Exporting generated test cases to excel</t>
  </si>
  <si>
    <t>FR-008</t>
  </si>
  <si>
    <t>Export Selected to Excel
(FE: footer button)</t>
  </si>
  <si>
    <t>Generates an Excel file from the selected TCs in the session pool, mapping all 9 TC fields to the standard ICE Excel export template columns.</t>
  </si>
  <si>
    <t>• Generates an Excel file from the selected TCs in the session pool, mapping all 9 TC fields to the standard ICE Excel export template columns.
• File named ICE_TestCases_{projectName}_{timestamp}.xlsx with sanitised project name.
• Exports selected test cases with all field mappings intact for downstream use.</t>
  </si>
  <si>
    <t>• Must generate Excel file named ICE_TestCases_{projectName}_{timestamp}.xlsx with sanitised project name
• Must replace special characters in project name with underscores
• Must format timestamp in ISO format
• Must map all 9 TC fields from session pool to standard ICE Excel export template columns
• Must export only selected TCs from the in-memory pool</t>
  </si>
  <si>
    <t>FR-008 / BE-01</t>
  </si>
  <si>
    <t>GitHub Copilot — generate filename sanitiser</t>
  </si>
  <si>
    <t>Spring Boot · Java · Regex</t>
  </si>
  <si>
    <t>Reads: selected TC rows from pool. Serialises to .xlsx. Streamed to browser. No DB read or write.</t>
  </si>
  <si>
    <t>INTERNAL — file name convention.
Format: ICE_TCs_{YYYY-MM-DD}_{session_id_short}.xlsx
Used by: FR-008 BE-01 Content-Disposition header.
Not a standalone HTTP endpoint.</t>
  </si>
  <si>
    <t>Renders the Export Selected to Excel button in the pool table footer and triggers the BE-02 export, prompting the browser to download the generated file.</t>
  </si>
  <si>
    <t>• Renders the Export Selected to Excel button in the pool table footer and triggers the BE-02 export.
• Export button located in chat view triggers POST request to backend.
• Prompts the browser to download the generated file via Blob mechanism.</t>
  </si>
  <si>
    <t>• Must render Export Selected to Excel button in pool table footer
• Must fire exactly one POST request to backend on button click
• Must trigger browser download automatically via Blob mechanism when response arrives
• Must disable button during export operation and re-enable on completion or error</t>
  </si>
  <si>
    <t>v0.dev — generate export button component
GitHub Copilot — download trigger via Blob</t>
  </si>
  <si>
    <t>React · Axios (blob response) · TypeScript · Tailwind CSS</t>
  </si>
  <si>
    <t>ENDPOINT YOU CALL (defined in FR-008 BE-01):
POST /api/v1/sessions/{id}/export/excel
Body: {tc_ids: [selected row IDs]}
Trigger browser download from response blob.
Show loading state on button while in flight.
On 400: show 'No test cases to export' toast.</t>
  </si>
  <si>
    <t>Validates the full Excel export flow: TCs selected, export triggered, file downloaded, and all 9 fields correctly mapped in the output file.</t>
  </si>
  <si>
    <t>• Validates the full Excel export flow: TCs selected, export triggered, file downloaded, and all 9 fields correctly mapped in the output file.
• Generates test cases, exports to Excel, and verifies file structure integrity.
• Confirms content correctness of all mapped fields in the downloaded file.</t>
  </si>
  <si>
    <t>• Must generate downloadable Excel file that opens without error in standard spreadsheet applications
• Must include all 9 columns with correct headers matching ICE standard schema
• Must export row count matching the number of selected test cases from pool
• Must correctly map all 9 TC field values to corresponding Excel columns</t>
  </si>
  <si>
    <t>FR-008 / BE-01,FE-01</t>
  </si>
  <si>
    <t>Playwright AI — generate export E2E test
Claude — generate file content verification scenarios</t>
  </si>
  <si>
    <t>Playwright · openpyxl (verification) · GitHub Actions CI</t>
  </si>
  <si>
    <t>ENDPOINT UNDER TEST:
POST /api/v1/sessions/{id}/export/excel
Test: generate TCs → export → verify .xlsx
  has 9 columns, one row per TC.
Test: export with selection → only selected
  TCs in file.</t>
  </si>
  <si>
    <t>Exporting generated test cases to Xray</t>
  </si>
  <si>
    <t>FR-009</t>
  </si>
  <si>
    <t>Export Selected to Xray
(FE: footer button)</t>
  </si>
  <si>
    <t>Authenticates with the Xray API using the tenant's configured credentials from FR-027, obtaining a bearer token for the export session.</t>
  </si>
  <si>
    <t>• Authenticates with the Xray API using the tenant's configured credentials from FR-027, obtaining a bearer token for the export session.
• Authenticates via OAuth 2.0 client credentials flow with Xray API.
• Token cached with TTL and auto-refresh mechanism for session persistence.</t>
  </si>
  <si>
    <t>• Must authenticate with Xray API via OAuth 2.0 client credentials flow using tenant's configured credentials from xray_config
• Must fetch bearer token on first Xray API call for the session
• Must cache token with TTL and auto-refresh before expiry
• Must never log or expose token value in application logs or error messages</t>
  </si>
  <si>
    <t>GitHub Copilot — generate OAuth client + token cache
Claude — token rotation design</t>
  </si>
  <si>
    <t>Spring Security OAuth2 · Caffeine Cache · Spring Boot</t>
  </si>
  <si>
    <t>READ (session)
+ EXT WRITE</t>
  </si>
  <si>
    <t>Redis + Xray API
+ PostgreSQL (xray_config read)</t>
  </si>
  <si>
    <t>xray_config
[in-memory pool]</t>
  </si>
  <si>
    <t>Reads: pool TCs from session + xray_config (auth) from PostgreSQL.
External: pushes TCs to Xray REST API.
No test_case table write — xray_key returned to UI only.</t>
  </si>
  <si>
    <t>INTERNAL — Xray OAuth2 integration.
Fetches bearer token from Xray:
  POST https://xray.cloud.getxray.app
       /api/v2/authenticate
  Body: {client_id, client_secret}
Token cached in Redis for 1.
Used by: FR-009 BE-04 Xray Issue Creation API.</t>
  </si>
  <si>
    <t>Maps the selected TCs from the ICE 9-field schema to the Xray test case format and calls the Xray bulk import API to create test issues.</t>
  </si>
  <si>
    <t>• Maps the selected TCs from the ICE 9-field schema to the Xray test case format and calls the Xray bulk import API to create test issues.
• Maps ICE 10-field standard schema to Xray Test Issue fields with configurable mapping per tenant.
• Invokes Xray bulk import API to create corresponding test issues in Jira.</t>
  </si>
  <si>
    <t>• Must map all 10 ICE standard fields to Xray Test Issue fields using tenant-specific mapping from xray_config
• Must skip unmapped optional fields gracefully without error
• Must map Test Case Description to Xray summary field
• Must map Test Step and Expected Result to Xray test step rows
• Must invoke Xray bulk import API to create test issues for selected TCs from in-memory pool</t>
  </si>
  <si>
    <t>FR-009 / BE-01</t>
  </si>
  <si>
    <t>GitHub Copilot — generate mapper + config schema
Claude — field mapping design</t>
  </si>
  <si>
    <t>Spring Boot · Jackson · ICE DB (mapping config)</t>
  </si>
  <si>
    <t>INTERNAL — TC to Xray issue mapper.
Maps ICE 9-field TC to Xray Test issue JSON:
  summary = scenario, description = given+when+then
  labels = tags, priority = priority
Not a standalone HTTP endpoint.
Called by: FR-009 BE-04.</t>
  </si>
  <si>
    <t>Handles partial Xray push failures, returning a per-TC success/failure report so the user can identify which TCs were not pushed.</t>
  </si>
  <si>
    <t>• Handles partial Xray push failures, returning a per-TC success/failure report so the user can identify which TCs were not pushed.
• Runs Xray export as background job with main screen unblocked during operation.
• Progress tracked via job ID allowing user to monitor export status.</t>
  </si>
  <si>
    <t>• Must start the Xray export job immediately and return a job ID without blocking the main screen
• Must allow the user to query export progress via GET /api/v1/export/xray/{jobId} while the job runs
• Must return a per-TC success/failure report on completion showing which test cases were pushed and which failed
• Must display a completion notification once all TCs have been processed
• Must handle partial failures by completing the export for successful TCs and listing failed TCs with reasons</t>
  </si>
  <si>
    <t>FR-009 / BE-02</t>
  </si>
  <si>
    <t>GitHub Copilot — generate async job + progress tracker
Claude — job state machine design</t>
  </si>
  <si>
    <t>Spring @Async · Redis (job state) · Spring Boot</t>
  </si>
  <si>
    <t>INTERNAL — background export job.
Spawns async tead for bulk Xray push.
Job status tracked in Redis:
  ice:session:{id}:xray_export_status
Polled by: FR-009 FE-01 modal.
Not a standalone HTTP endpoint.</t>
  </si>
  <si>
    <t>Updates each successfully pushed TC in the session with its Xray issue key (e.g. PAY-1041) and sets xray_pushed_at timestamp.</t>
  </si>
  <si>
    <t>• Updates each successfully pushed TC in the session with its Xray issue key (e.g. PAY-1041) and sets xray_pushed_at timestamp.
• POSTs test cases to Xray /test REST API in batches of 50.
• Handles partial failures by tracking success/failure per TC in batch.</t>
  </si>
  <si>
    <t>• Must POST test cases to the Xray /test REST API in batches of 50
• Must create each test case as an Xray Test issue and return its Xray issue key (e.g. PAY-1041)
• Must update each successfully pushed TC in the session with its Xray issue key and xray_pushed_at timestamp
• Must handle partial failures by committing successful cases and listing failed cases separately
• Must track success/failure status per individual TC in the batch</t>
  </si>
  <si>
    <t>FR-009 / BE-02,BE-03</t>
  </si>
  <si>
    <t>GitHub Copilot — generate batch POST + partial failure handler
Claude — idempotency + rate limit design</t>
  </si>
  <si>
    <t>Xray REST API · Spring Boot · Spring Retry</t>
  </si>
  <si>
    <t>ENDPOINT YOU CREATE:
POST /api/v1/sessions/{id}/export/xray
Request: {tc_ids?: string[]}
Response 202:
  {job_id, status: 'queued',
   poll_url: '/api/v1/jobs/{job_id}/status'}
Poll endpoint:
GET /api/v1/jobs/{job_id}/status
Response: {status, pushed: int, failed: int,
  results: [{tc_id, xray_key, status}]}</t>
  </si>
  <si>
    <t>→ FR-010 / FR-011 / FR-012
ICE DB: test_case.xray_key populated after push.
Downstream import/validation FRs read from ICE DB.</t>
  </si>
  <si>
    <t>Renders the Export Selected to Xray button in the footer and displays push progress and per-TC results on completion.</t>
  </si>
  <si>
    <t>• Renders the Export Selected to Xray button in the footer and displays push progress and per-TC results on completion.
• Background export modal with progress indicator shows operation status.
• Main screen remains interactive behind modal during export operation.</t>
  </si>
  <si>
    <t>• Must render the Export Selected to Xray button in the footer
• Must open a background export modal displaying a progress indicator showing export progress percentage
• Must keep the main screen interactive while the modal is open during export
• Must close the modal and display a summary on completion showing total pushed and failed counts
• Must display per-TC results including which TCs succeeded and which failed</t>
  </si>
  <si>
    <t>v0.dev — generate progress modal component
GitHub Copilot — job polling hook</t>
  </si>
  <si>
    <t>ENDPOINT YOU CALL (defined in FR-009 BE-04):
1. POST /api/v1/sessions/{id}/export/xray
   → get job_id from 202 response
2. Poll GET /api/v1/jobs/{job_id}/status
   every 2s until status=complete|failed.
Show modal with per-row push status.
On complete: show xray_keys in modal.</t>
  </si>
  <si>
    <t>Validates the full Xray export flow: TCs selected, authenticated, pushed to Xray, Xray keys written back to session, and partial failure report shown.</t>
  </si>
  <si>
    <t>• Validates the complete Xray export workflow from test case selection through authentication, push to Xray, and writing Xray keys back to the session.
• Verifies that issues are created in Xray with all correct field mappings and that partial failure reports are displayed to the user.
• Ensures end-to-end integration between ICE session pool, Xray API authentication, and bidirectional synchronization of test case metadata.</t>
  </si>
  <si>
    <t>• Must validate that selected test cases are pushed to Xray and appear as Xray Test issues
• Must verify that all 9 ICE fields are correctly mapped to Xray issue fields according to tenant configuration
• Must write Xray issue keys back to the session for all successfully pushed TCs
• Must keep the main screen interactive during the entire export operation
• Must handle partial failures by completing successful pushes and reporting failed TCs with reasons</t>
  </si>
  <si>
    <t>FR-009 / All BE + FE</t>
  </si>
  <si>
    <t>Playwright AI — generate Xray export E2E
Postman AI — generate Xray API test collection</t>
  </si>
  <si>
    <t>Playwright · Xray API (sandbox) · GitHub Actions CI</t>
  </si>
  <si>
    <t>ENDPOINT UNDER TEST:
POST /api/v1/sessions/{id}/export/xray
GET  /api/v1/jobs/{job_id}/status
Test: push 5 TCs → all get Xray keys.
Test: Xray auth failure → 503 returned.
Test: partial failure → failed rows retryable.</t>
  </si>
  <si>
    <t>Importing module test cases from Excel and adding to the test case pool</t>
  </si>
  <si>
    <t>FR-010</t>
  </si>
  <si>
    <t>Import All &amp; Add to Pool
(FE: Import from Excel panel)</t>
  </si>
  <si>
    <t>Parses the uploaded Excel file using the ICE import template, extracting TC rows and mapping each column to the corresponding ICE 9-field schema field.</t>
  </si>
  <si>
    <t>• Parses uploaded Excel files using the ICE import template and extracts test case rows from the spreadsheet.
• Maps each column to the corresponding field in the ICE 9-field schema by matching header names rather than column positions.
• Transforms raw Excel data into structured test case objects ready for validation and session pool insertion.</t>
  </si>
  <si>
    <t>• Must parse uploaded Excel files using the ICE import template and extract all test case rows
• Must map each column to the corresponding ICE 9-field schema field by matching header names, not column positions
• Must parse all 9 fields correctly for each valid row
• Must ignore unknown columns gracefully without failing the import
• Must return ERR-010-MISSING-COLUMN when a mandatory column header is missing from the template</t>
  </si>
  <si>
    <t>GitHub Copilot — generate Excel parser + header mapper
Claude — column mapping strategy</t>
  </si>
  <si>
    <t>openpyxl / Apache POI · Spring Boot · Jackson</t>
  </si>
  <si>
    <t>Parses .xlsx columns by header. Writes TC rows to in-memory pool. No test_case / test_step write.</t>
  </si>
  <si>
    <t>ENDPOINT YOU CREATE:
POST /api/v1/sessions/{id}/import/excel
Content-Type: multipart/form-data
Body: file (binary .xlsx)
Response 200:
  {imported: int, failed: int,
   tcs: [{tc_id, ...9 fields, valid: bool,
          errors?: [string]}]}
Errors: 400 ERR-010-FORMAT (wrong columns),
  400 ERR-010-EMPTY (no data rows)</t>
  </si>
  <si>
    <t>Importing module test cases from EXCEL and  creating user journeys</t>
  </si>
  <si>
    <t>Validates the imported Excel rows against the 9-field schema before adding them to the session pool, flagging rows with missing mandatory fields.</t>
  </si>
  <si>
    <t>• Validates imported Excel rows against the 9-field schema requirements before allowing them into the session pool.
• Checks that all mandatory fields are present, TC-ID values are unique per tenant, and field formats are correct.
• Flags rows that fail validation with specific error reasons rather than silently discarding them.</t>
  </si>
  <si>
    <t>• Must validate that all mandatory fields are present in each imported row before allowing it into the session pool
• Must return ERR-010-MISSING-TCID when a row is missing the TC-ID field
• Must return ERR-010-DUPLICATE-TCID when a TC-ID value already exists for the tenant
• Must return ERR-010-INVALID-STATUS when the Status field contains a value not in the allowed list
• Must flag and reject rows that fail validation while continuing to process valid rows</t>
  </si>
  <si>
    <t>FR-010 / BE-01</t>
  </si>
  <si>
    <t>GitHub Copilot — generate row validator + error collector
Claude — bulk import error strategy</t>
  </si>
  <si>
    <t>Spring Boot · Java Bean Validation · ICE DB</t>
  </si>
  <si>
    <t>INTERNAL — import validation.
Called inside FR-010 BE-01 after parsing.
Checks: all 9 mandatory fields present,
  no duplicate TC-IDs in batch.
Returns: [{tc_id, valid, errors}] per row.
Not a standalone HTTP endpoint.</t>
  </si>
  <si>
    <t>Adds the validated imported TCs to the Redis session pool, assigning each a unique TC ID and an import source tag for traceability.</t>
  </si>
  <si>
    <t>• Adds validated imported test cases to the Redis session pool after FR-012 validation completes successfully.
• Assigns each test case a unique TC-ID and attaches an import source tag for traceability of origin.
• Processes imports in all-or-nothing batches of 50 rows, with ICE DB persistence deferred until explicit user save or export action.</t>
  </si>
  <si>
    <t>• Must add validated imported test cases to the Redis session pool only after all FR-012 validations pass
• Must assign each imported test case a unique TC-ID if not provided, or use the provided TC-ID if valid
• Must attach an import source tag to each TC for traceability of its origin
• Must write all valid rows to the session pool and make them immediately readable by FR-006 chat view
• Must not write failed rows to the session pool and report each with its row index and failure reason
• Must roll back only the failed batch on batch failure while allowing subsequent batches to continue
• Must write zero rows to any ICE DB table during the import process</t>
  </si>
  <si>
    <t>FR-010 / BE-02</t>
  </si>
  <si>
    <t>GitHub Copilot — generate repository layer + batch save
Claude — transaction boundary design</t>
  </si>
  <si>
    <t>Spring Data JPA · PostgreSQL · Spring Boot · @Transactional</t>
  </si>
  <si>
    <t>INTERNAL — import pool persistence.
Writes validated TCs to in-session pool
(Redis ice:session:{id}:import_pool).
NOTE: only writes to session — NOT to
test_case DB table at this stage.
Not a standalone HTTP endpoint.</t>
  </si>
  <si>
    <t>→ FR-012 BE-01
ICE DB: test_case rows written (7 fields + audit).
FR-012 BE-01 (Schema Validator) reads newly persisted rows for validation.</t>
  </si>
  <si>
    <t>Renders the Import from Excel panel with a file upload dropzone, import summary, and flagged row table after import completes.</t>
  </si>
  <si>
    <t>• Renders the Import from Excel panel featuring a file upload dropzone for .xlsx template files.
• Displays an import summary showing the count of successfully imported test cases, failed row count, and detailed error list.
• Presents a flagged row table after import completes, allowing users to review and correct validation failures.</t>
  </si>
  <si>
    <t>• Must render the Import from Excel panel with a file upload dropzone accepting .xlsx template files
• Must trigger the import process immediately upon file upload
• Must display an import summary showing the count of successfully imported test cases and the count of failed rows
• Must present a flagged row table listing each failed row with its row number and specific error code
• Must show the import summary and flagged row table only after the import completes</t>
  </si>
  <si>
    <t>v0.dev — generate import summary component
GitHub Copilot — error list rendering</t>
  </si>
  <si>
    <t>React · TypeScript · Tailwind CSS · react-dropzone</t>
  </si>
  <si>
    <t>ENDPOINT YOU CALL (defined in FR-010 BE-01):
POST /api/v1/sessions/{id}/import/excel
Send: multipart/form-data with xlsx file.
On 200: render TC rows in pool table.
Show per-row validation errors inline.
On 400 ERR-010-FORMAT: show 'Wrong column
  format' error with column name guidance.</t>
  </si>
  <si>
    <t>Validates the full Excel import happy path: template uploaded, rows parsed, valid TCs added to pool, flagged rows shown with reasons.</t>
  </si>
  <si>
    <t>• Validates the complete Excel import happy path from template upload through row parsing and valid test case insertion into the session pool.
• Verifies that all successfully parsed rows are persisted with correct field values matching the source Excel data.
• Confirms that flagged rows are displayed with specific validation failure reasons for user review.</t>
  </si>
  <si>
    <t>• Must validate that all successfully parsed rows from the Excel template are added to the session pool
• Must verify that the row count in the session pool matches the count of valid rows in the import file
• Must confirm that all 7 persisted fields for each TC match the corresponding values in the source Excel file
• Must display an import summary showing 0 errors when all rows are valid
• Must make all imported TCs immediately readable after the import completes</t>
  </si>
  <si>
    <t>FR-010 / All BE + FE</t>
  </si>
  <si>
    <t>Playwright AI — generate import E2E
Claude — generate import test data (valid + error cases)</t>
  </si>
  <si>
    <t>Playwright · PostgreSQL (verification) · GitHub Actions CI</t>
  </si>
  <si>
    <t>ENDPOINT UNDER TEST:
POST /api/v1/sessions/{id}/import/excel
Test: valid 9-column xlsx → all TCs imported.
Test: missing 'scenario' column → ERR-010-FORMAT.</t>
  </si>
  <si>
    <t>Validates Excel import error handling: wrong template format, missing mandatory columns, and partially valid files all produce appropriate user feedback.</t>
  </si>
  <si>
    <t>• Validates Excel import error handling across multiple failure scenarios including wrong template format and missing mandatory columns.
• Tests the system's handling of partially valid files containing a mix of correct and invalid test case rows.
• Verifies that appropriate user feedback is generated for each error type, including partial success reporting and specific row-level error messages.</t>
  </si>
  <si>
    <t>• Must reject files with wrong template format and return a clear error without writing any rows
• Must return an error when mandatory columns are missing from the template
• Must save valid rows and reject invalid rows when processing partially valid files
• Must display an error list showing correct row numbers for each invalid row
• Must allow re-import of previously failed rows after they are corrected in the file</t>
  </si>
  <si>
    <t>FR-010 / INT-01</t>
  </si>
  <si>
    <t>Playwright AI — generate error scenario import tests</t>
  </si>
  <si>
    <t>Playwright · openpyxl (test file builder) · GitHub Actions CI</t>
  </si>
  <si>
    <t>ENDPOINT UNDER TEST:
POST /api/v1/sessions/{id}/import/excel
Test: duplicate TC-IDs in file → flagged rows.
Test: 500-row file → all rows processed.
Test: empty file → 400 ERR-010-EMPTY.</t>
  </si>
  <si>
    <t>Importing module test cases from Xray and adding to the test case pool</t>
  </si>
  <si>
    <t>FR-011</t>
  </si>
  <si>
    <t>Import &amp; Add to Pool
(FE: Import from Xray panel)</t>
  </si>
  <si>
    <t>Authenticates with the Xray API and retrieves the list of test cases from the configured project, filtered by the user's selected criteria.</t>
  </si>
  <si>
    <t>• Authenticates with the Xray API using configured tenant credentials and retrieves test cases from the specified project.
• Proxies user-selected filter parameters including project, module, type, and status to the Xray API query.
• Returns a filtered list of TC-IDs with their descriptions for user selection before full import.</t>
  </si>
  <si>
    <t>• Must authenticate with the Xray API using the tenant's configured credentials from xray_config
• Must retrieve test cases from the Xray project specified in the tenant configuration
• Must apply user-selected filter parameters (project, module, type, status) using AND logic
• Must return an empty array when no test cases match the selected filters
• Must return ERR-011-XRAY-UNAVAILABLE when the Xray API is unreachable or returns an error</t>
  </si>
  <si>
    <t>GitHub Copilot — generate Xray filter proxy + param builder
Claude — AND/OR filter logic design</t>
  </si>
  <si>
    <t>Xray REST API · Spring Boot · Spring WebClient</t>
  </si>
  <si>
    <t>READ (session)
+ EXT READ</t>
  </si>
  <si>
    <t>Reads: xray_config (auth) from PostgreSQL. Fetches filtered TCs from Xray REST API. Writes to pool. No test_case write.</t>
  </si>
  <si>
    <t>ENDPOINT YOU CREATE:
GET /api/v1/xray/tcs
Query params: project_key, module?, type?,
  status?, label?, page, page_size
Response 200:
  {tcs: [{xray_key, summary, type, status,
          labels}], total, page, pages}
Proxies to Xray REST API with tenant auth.
Errors: 401 Xray auth failed, 404 project
  not found</t>
  </si>
  <si>
    <t>Importing module test cases from Xray and  creating user journeys</t>
  </si>
  <si>
    <t>Maps the retrieved Xray test issues to the ICE 9-field TC schema and adds them to the Redis session pool with an xray-import source tag.</t>
  </si>
  <si>
    <t>• Executes a single batch Xray API call to fetch complete test step details for all user-selected TC-IDs.
• Maps retrieved Xray test issues to the ICE 9-field test case schema according to tenant-specific field mappings.
• Adds the mapped test cases to the Redis session pool with an xray-import source tag for origin tracking.</t>
  </si>
  <si>
    <t>• Must execute a single batch Xray API call to fetch complete test step details for all user-selected TC-IDs when the count is ≤ 100
• Must auto-split into multiple API calls when the TC-ID count exceeds 100
• Must map each retrieved Xray test issue to the ICE 9-field schema using tenant-specific field mappings from xray_config
• Must return a response containing { tcId, steps[] } for each TC
• Must log and skip any TC-IDs that are missing from the Xray API response without failing the entire import
• Must add all successfully mapped test cases to the Redis session pool with an xray-import source tag</t>
  </si>
  <si>
    <t>FR-011 / BE-01</t>
  </si>
  <si>
    <t>GitHub Copilot — generate batch fetch + split logic
Claude — API limit handling strategy</t>
  </si>
  <si>
    <t>ENDPOINT YOU CREATE:
POST /api/v1/xray/tcs/steps
Request: {xray_keys: string[]}
Response 200:
  {steps: [{xray_key, steps: [{step_id,
    action, expected_result, order}]}]}
Batch fetches all steps in one Xray API call.
Errors: 400 empty xray_keys array,
  503 Xray unavailable</t>
  </si>
  <si>
    <t>Handles Xray API pagination, fetching all matching test cases across multiple pages before adding them to the session pool in a single operation.</t>
  </si>
  <si>
    <t>• Handles Xray API pagination to retrieve all matching test cases when result sets exceed single-page limits.
• Maps Xray test step fields to the ICE 10-field standard schema using configurable per-tenant field mappings.
• Adds all fetched and mapped test cases to the session pool in a single atomic operation after pagination completes.</t>
  </si>
  <si>
    <t>• Must handle Xray API pagination and fetch all matching test cases across multiple pages before adding them to the session pool
• Must map Xray test step fields to the ICE 10-field standard schema using configurable per-tenant field mappings from xray_config
• Must store unmapped Xray fields in the 'additional' field
• Must apply tenant-specific mapping configuration retrieved from xray_config
• Must add all fetched and mapped test cases to the in-memory session pool without writing to the ICE database</t>
  </si>
  <si>
    <t>FR-011 / BE-02</t>
  </si>
  <si>
    <t>GitHub Copilot — generate Xray → ICE mapper
Claude — field mapping design</t>
  </si>
  <si>
    <t>Spring Boot · Jackson · ICE DB</t>
  </si>
  <si>
    <t>INTERNAL — Xray to ICE schema mapper.
Maps Xray Test issue fields to ICE 9-field TC.
Called inside FR-011 BE-01 / BE-02 responses.
Not a standalone HTTP endpoint.</t>
  </si>
  <si>
    <t>→ FR-012 BE-01
Mapped TC objects (ICE schema) held in session.
FR-012 BE-01 validates structure before FR-017 persists to DB.</t>
  </si>
  <si>
    <t>Renders the Import from Xray panel with project and filter selectors, an import count preview, and an Import &amp; Add to Pool button.</t>
  </si>
  <si>
    <t>• Renders the Import from Xray panel with project selector and filter controls for module, type, and status.
• Displays an import count preview showing how many test cases match the current filter criteria.
• Provides an Import &amp; Add to Pool button that triggers the batch fetch and schema mapping workflow.</t>
  </si>
  <si>
    <t>• Must render the Import from Xray panel with project selector and all 4 filter controls for module, type, and status
• Must display an import count preview showing how many test cases match the current filter criteria
• Must provide an Import &amp; Add to Pool button that triggers the import process
• Must fire one API call with all selected filters when search is triggered
• Must display result list showing TC-ID + Description for each matching test case</t>
  </si>
  <si>
    <t>v0.dev — generate filter panel + result list
GitHub Copilot — filter state management</t>
  </si>
  <si>
    <t>ENDPOINT YOU CALL (defined in FR-011 BE-01):
GET /api/v1/xray/tcs?project_key=X&amp;type=Y
Render 4-filter panel. On filter change:
  debounce 400ms then call GET /xray/tcs.
Show loading skeleton while in flight.
Paginate results with Load More button.</t>
  </si>
  <si>
    <t>Displays the import result summary after the Xray import completes, showing how many TCs were added and flagging any that failed schema mapping.</t>
  </si>
  <si>
    <t>• Displays checkbox selection interface for TC-IDs returned from Xray filter results.
• Triggers batch step fetch (BE-02), schema mapping (BE-03), and session pool write when the Import button is clicked.
• Shows import result summary after completion with counts of added test cases and any schema mapping failures, with no ICE DB write occurring at this stage.</t>
  </si>
  <si>
    <t>• Must display checkbox selection interface for TC-IDs returned from Xray filter results
• Must implement Select All that selects current page only
• Must disable Import button until at least 1 TC is selected
• Must show spinner on Import button during fetch, map, and write operations
• Must trigger batch step fetch (BE-02), schema mapping (BE-03), and session pool write when Import button is clicked
• Must display import result summary after completion showing how many TCs were added and flagging any that failed validation
• Must make imported TCs visible in session pool after completion</t>
  </si>
  <si>
    <t>FR-011 / FE-01</t>
  </si>
  <si>
    <t>GitHub Copilot — generate checkbox selection + import trigger
Cursor — state sync between filter + selection</t>
  </si>
  <si>
    <t>ENDPOINTS YOU CALL:
1. POST /api/v1/xray/tcs/steps
   (FR-011 BE-02) — fetch steps for selected TCs
2. POST /api/v1/sessions/{id}/import/pool
   (FR-011 internal) — add fetched TCs to pool
On success: show 'N TCs imported' toast and
add rows to pool table.</t>
  </si>
  <si>
    <t>Validates the full Xray import flow: project selected, TCs fetched, mapped to 9-field schema, added to session pool, and result summary shown.</t>
  </si>
  <si>
    <t>• Validates the complete Xray import flow from project selection through TC fetching, 9-field schema mapping, and session pool insertion.
• Verifies that filtered and selected test cases are written correctly to the Redis session pool with proper field mappings.
• Confirms that no ICE DB rows are written at import time, with persistence deferred to explicit save or export actions.</t>
  </si>
  <si>
    <t>• Must validate the complete Xray import flow from project selection through TC fetching, 10-field schema mapping, and session pool insertion
• Must write filtered and selected test cases to the Redis session pool with proper field mapping
• Must display imported TCs in session pool with correct 10-field standard values
• Must write zero rows to ICE DB during import
• Must preserve Xray-specific fields in the mapping
• Must show import summary with count of imported TCs</t>
  </si>
  <si>
    <t>FR-011 / All BE + FE</t>
  </si>
  <si>
    <t>Playwright AI — generate Xray import E2E
Postman AI — generate Xray API test collection</t>
  </si>
  <si>
    <t>ENDPOINTS UNDER TEST:
GET  /api/v1/xray/tcs
POST /api/v1/xray/tcs/steps
Test: filter by module → correct TC subset.
Test: select 5 TCs → steps fetched + in pool.</t>
  </si>
  <si>
    <t>Import Validation service for FR-010 and FR-011</t>
  </si>
  <si>
    <t>FR-012</t>
  </si>
  <si>
    <t>Import All &amp; Add to Pool /
Import &amp; Add to Pool
(BE: validation called on import)</t>
  </si>
  <si>
    <t>Runs the shared import validation service on all incoming TCs from both Excel (FR-010) and Xray (FR-011) imports, checking mandatory fields and detecting duplicates before pool entry.</t>
  </si>
  <si>
    <t>• Runs the shared import validation service on all incoming test cases from both Excel (FR-010) and Xray (FR-011) import sources.
• Provides centralized validation logic that checks the 10-field standard schema requirements consistently across import types.
• Validates mandatory field presence, field format correctness, and schema compliance before allowing test cases into the session pool.</t>
  </si>
  <si>
    <t>• Must run the shared import validation service on all incoming test cases from both Excel (FR-010) and Xray (FR-011) import sources
• Must provide centralized validation logic that checks the 10-field standard schema requirements consistently across import sources
• Must validate mandatory fields: Test Case Id, Test Case Description, Test Step, Expected Result
• Must skip optional fields if absent without flagging as error
• Must return validation result in format { valid, errors[] }</t>
  </si>
  <si>
    <t>GitHub Copilot — generate validator service + error schema
Claude — mandatory vs optional field design</t>
  </si>
  <si>
    <t>Validates mandatory fields + duplicate detection against in-memory pool. No DB write on pass. Flags invalid rows for FE display.</t>
  </si>
  <si>
    <t>INTERNAL — schema validator service.
Called by FR-010 BE-02 and FR-011 FE-02.
Validates all 9 mandatory TC fields present
and non-empty. Returns [{tc_id, valid, errors}].
Not a standalone HTTP endpoint.</t>
  </si>
  <si>
    <t>Import Validation service for FR-009 and FR010</t>
  </si>
  <si>
    <t>Assigns a validation status (valid, flagged-incomplete, flagged-duplicate) to each imported TC and returns a structured validation report to the calling import service.</t>
  </si>
  <si>
    <t>• Assigns a validation status of valid, flagged-incomplete, or flagged-duplicate to each imported test case based on validation results.
• Detects duplicate TC-IDs both within the current import batch and against existing database records for the same project.
• Returns a structured validation report to the calling service containing status assignments and specific error details for flagged test cases.</t>
  </si>
  <si>
    <t>• Must assign validation status of valid, flagged-incomplete, or flagged-duplicate to each imported test case based on validation results
• Must detect duplicate TC-IDs within the current import batch and flag with ERR-012-DUPLICATE
• Must detect duplicate TC-IDs against existing database records for the same tenant and flag with ERR-012-DUPLICATE
• Must list all duplicates with their row index in the error report
• Must return a structured validation summary with status and error details per TC</t>
  </si>
  <si>
    <t>FR-012 / BE-01</t>
  </si>
  <si>
    <t>GitHub Copilot — generate duplicate detector + DB check</t>
  </si>
  <si>
    <t>Spring Boot · Spring Data JPA · PostgreSQL</t>
  </si>
  <si>
    <t>INTERNAL — duplicate detection.
Checks: TC-ID uniqueness within import batch
AND against existing DB records for same tenant.
Returns: [{tc_id, duplicate: bool, source}].
Not a standalone HTTP endpoint.</t>
  </si>
  <si>
    <t>→ FR-017 BE-01
Validated TC list (duplicates removed, schema confirmed).
FR-017 BE-01 (Test Case Entity &amp; Repository) persists to ICE DB.</t>
  </si>
  <si>
    <t>Validates that the import validation service correctly flags incomplete and duplicate TCs from both import paths before they enter the session pool.</t>
  </si>
  <si>
    <t>• Validates that the import validation service correctly flags incomplete and duplicate TCs from both import paths before they enter the session pool.
• Import files are tested with schema violations to trigger validation errors.
• Each ERR-012-* error code must be surfaced correctly during the validation process.</t>
  </si>
  <si>
    <t>• Must flag incomplete and duplicate TCs from both Excel and Xray import paths before they enter the session pool
• Must trigger validation errors when import files contain schema violations
• Must surface each ERR-012-* error code in the UI with clear messaging
• Must allow valid rows in the same batch to be imported even when other rows have errors
• Must match error row numbers to actual file rows for accurate identification</t>
  </si>
  <si>
    <t>FR-012 / All BE</t>
  </si>
  <si>
    <t>Playwright AI — generate validation E2E
Claude — generate import files with specific errors</t>
  </si>
  <si>
    <t>Playwright · openpyxl (file builder) · GitHub Actions CI</t>
  </si>
  <si>
    <t>INTERNAL SERVICE TEST (no direct HTTP endpoint).
Test via: POST /api/v1/sessions/{id}/import/excel
  (FR-010 BE-01) and GET /api/v1/xray/tcs
  (FR-011 BE-01).
Test: duplicate TC-IDs in batch → flagged.
Test: missing 'scenario' field → validation error.</t>
  </si>
  <si>
    <t>CLAP does test case Enrichment</t>
  </si>
  <si>
    <t>FR-013</t>
  </si>
  <si>
    <t>Journey Stitcher</t>
  </si>
  <si>
    <t>Accept all high confidence /
Proceed to Step 2</t>
  </si>
  <si>
    <t>Triggers the CLAP enrichment pipeline when the user enters Phase 1 of the Journey Stitcher, processing all accepted TCs from the session pool.</t>
  </si>
  <si>
    <t>• Triggers the CLAP enrichment pipeline when the user enters Phase 1 of the Journey Stitcher, processing all accepted TCs from the session pool.
• CLAP enriches each TC with normalised precondition, confidence score, and module tag.
• Enrichment results are stored in session-only data with no write to the ICE DB.</t>
  </si>
  <si>
    <t>• Must trigger the CLAP enrichment pipeline when the user enters Phase 1 of the Journey Stitcher
• Must process all accepted TCs from the session pool through CLAP enrichment
• Must enrich each TC with normalised precondition, confidence score (high/medium/low), and module tag
• Must write enrichment results to session.checkpoint_data without writing to the ICE database
• Must return enriched precondition and confidence level for each processed TC</t>
  </si>
  <si>
    <t>Claude API — structured output</t>
  </si>
  <si>
    <t>Spring Boot · CLAP client</t>
  </si>
  <si>
    <t>Redis + PostgreSQL
(session only)</t>
  </si>
  <si>
    <t>session.checkpoint_data</t>
  </si>
  <si>
    <t>enriched_tcs[]: tc_id, precondition, confidence, reviewed, accepted. No test_case write.</t>
  </si>
  <si>
    <t>ENDPOINT YOU CREATE:
POST /api/v1/sessions/{id}/enrich
Request: {} (reads TCs from session)
Response 200 (SSE stream):
  event: tc_enriched
  data: {tc_id, precondition, confidence:
         high|medium|low, module_tag}
  event: enrichment_complete
  data: {total, high, medium, low}
Errors: 400 no TCs in session</t>
  </si>
  <si>
    <t>Journey Stitcher-Enrichment</t>
  </si>
  <si>
    <t>✓ Accept enrichment
✗ Reject
Accept all high confidence</t>
  </si>
  <si>
    <t>Records the user's accept or reject decision for each enriched TC in the session checkpoint, supporting both single and bulk accept operations.</t>
  </si>
  <si>
    <t>• Records the user's accept or reject decision for each enriched TC in the session checkpoint, supporting both single and bulk accept operations.
• PATCH /sessions/{id}/tcs/{tc_id}/review writes reviewed=true and accepted=true/false to session checkpoint_data.
• Bulk endpoint accepts an array of tc_ids for processing multiple decisions at once.</t>
  </si>
  <si>
    <t>• Must record user's accept or reject decision for each enriched TC in session.checkpoint_data
• Must support both single and bulk accept operations
• Must set accepted=true and reviewed=true in session checkpoint for per-TC accept via PATCH /sessions/{id}/tcs/{tc_id}/review
• Must set accepted=false and reviewed=true in session checkpoint for per-TC reject
• Must update all high-confidence TCs in one call for bulk accept operations
• Must write decisions to session.checkpoint_data only without writing to the ICE database</t>
  </si>
  <si>
    <t>FR-013 / BE-01</t>
  </si>
  <si>
    <t>GitHub Copilot — PATCH session state handler</t>
  </si>
  <si>
    <t>Spring Boot · Spring Data JPA · Redis</t>
  </si>
  <si>
    <t>enriched_tcs[]: tc_id, reviewed, accepted updated in session.</t>
  </si>
  <si>
    <t>PATCH /api/v1/sessions/{id}/tcs/{tc_id}/review
Body: {accepted: bool}
Response 200: {tc_id, reviewed, accepted}
POST /api/v1/sessions/{id}/tcs/bulk-accept
Body: {confidence: 'high'}
Response 200: {updated: int}</t>
  </si>
  <si>
    <t>Accept all high confidence</t>
  </si>
  <si>
    <t>Renders the Phase 1 Enrichment review screen showing all enriched TCs with confidence dots, enriched preconditions, and accept/reject controls.</t>
  </si>
  <si>
    <t>• Renders the Phase 1 Enrichment review screen showing all enriched TCs with confidence dots, enriched preconditions, and accept/reject controls.
• TC list displays confidence dot and reviewed badge for each item.
• Detail view shows enriched precondition, step sequence, Accept/Reject buttons, and bulk Accept all high confidence option.</t>
  </si>
  <si>
    <t>• Must render the Phase 1 Enrichment review screen showing all enriched TCs with confidence dots, enriched preconditions, and accept/reject controls
• Must display TC list with confidence indicator and reviewed badge for each item
• Must load detail view on TC click showing enriched precondition and original precondition for comparison
• Must update row badge when Accept or Reject is triggered without full page reload
• Must support bulk accept operation for multiple TCs</t>
  </si>
  <si>
    <t>Cursor AI</t>
  </si>
  <si>
    <t>React · TypeScript</t>
  </si>
  <si>
    <t>UI triggers BE-01 enrichment review. checkpoint_data updated on confirm.</t>
  </si>
  <si>
    <t>ENDPOINT YOU CALL (defined in FR-013B BE-01):
POST /api/v1/sessions/{id}/enrich
Use EventSource (SSE) to stream enrichment.
On tc_enriched: update TC row with confidence
  dot (green/amber/red) and precondition.
On enrichment_complete: enable Proceed btn.</t>
  </si>
  <si>
    <t>✓ Accept enrichment</t>
  </si>
  <si>
    <t>Renders the Accept button per TC row, calling the session write API and updating the row badge to Accepted without a full page reload.</t>
  </si>
  <si>
    <t>• Renders the Accept button per TC row, calling the session write API and updating the row badge to Accepted without a full page reload.
• Calls PATCH /sessions/{id}/tcs/{tc_id}/review with accepted=true on button click.
• Updates confidence dot and reviewed badge on the TC row without requiring a page reload.</t>
  </si>
  <si>
    <t>• Must render the Accept button per TC row
• Must call PATCH /sessions/{id}/tcs/{tc_id}/review with accepted=true on button click
• Must update TC row badge to Accepted without a full page reload
• Must update confidence dot and reviewed status indicator after accept
• Must increment reviewed counter on accept</t>
  </si>
  <si>
    <t>FR-013 / BE-02</t>
  </si>
  <si>
    <t>Cursor AI — component from mockup</t>
  </si>
  <si>
    <t>UI calls BE-02. checkpoint_data.enriched_tcs[tc_id].accepted = true.</t>
  </si>
  <si>
    <t>ENDPOINT YOU CALL (FR-013 BE-02):
PATCH /api/v1/sessions/{id}/tcs/{tc_id}/review
Body: {accepted: true}</t>
  </si>
  <si>
    <t>✗ Reject</t>
  </si>
  <si>
    <t>Renders the Reject button per TC row, restoring the original unenriched precondition on that row and marking it as Rejected.</t>
  </si>
  <si>
    <t>• Renders the Reject button per TC row, restoring the original unenriched precondition on that row and marking it as Rejected.
• Calls PATCH /sessions/{id}/tcs/{tc_id}/review with accepted=false on button click.
• Restores original precondition display on the TC row after rejection.</t>
  </si>
  <si>
    <t>• Must render the Reject button per TC row
• Must call PATCH /sessions/{id}/tcs/{tc_id}/review with accepted=false on button click
• Must restore the original unenriched precondition on that row when rejected
• Must mark the TC row badge as Rejected
• Must increment reviewed counter on reject</t>
  </si>
  <si>
    <t>UI calls BE-02. checkpoint_data.enriched_tcs[tc_id].accepted = false.</t>
  </si>
  <si>
    <t>ENDPOINT YOU CALL (FR-013 BE-02):
PATCH /api/v1/sessions/{id}/tcs/{tc_id}/review
Body: {accepted: false}</t>
  </si>
  <si>
    <t>Renders the Accept All High Confidence button that bulk-accepts all TCs with a high confidence score in a single API call.</t>
  </si>
  <si>
    <t>• Renders the Accept All High Confidence button that bulk-accepts all TCs with a high confidence score in a single API call.
• Calls POST /sessions/{id}/tcs/bulk-accept with confidence=high parameter.
• Updates all high-confidence TC rows to reviewed and accepted status in one action.</t>
  </si>
  <si>
    <t>• Must render the Accept All High Confidence button visible and enabled when high-confidence TCs exist
• Must call POST /sessions/{id}/tcs/bulk-accept with confidence=high parameter on button click
• Must update all high-confidence TC rows to display reviewed badge after successful API response
• Must update the reviewed counter to reflect the total number of accepted TCs
• Must disable or hide the button when zero high-confidence TCs remain unreviewed</t>
  </si>
  <si>
    <t>UI calls BE-02 bulk. All high-confidence tc rows updated in session.</t>
  </si>
  <si>
    <t>ENDPOINT YOU CALL (FR-013 BE-02):
POST /api/v1/sessions/{id}/tcs/bulk-accept
Body: {confidence: 'high'}</t>
  </si>
  <si>
    <t>Proceed to Step 2 →</t>
  </si>
  <si>
    <t>Renders the Proceed to Step 2 button, enabled only after at least one TC has been reviewed, navigating to the Journey Proposal screen.</t>
  </si>
  <si>
    <t>• Renders the Proceed to Step 2 button, enabled only after at least one TC has been reviewed, navigating to the Journey Proposal screen.
• Button is enabled only when at least one TC has been reviewed with accepted or rejected status.
• On click, navigates the user to Phase 2 Journey Review screen.</t>
  </si>
  <si>
    <t>• Must render the Proceed to Step 2 button in a disabled state when zero TCs have been reviewed
• Must enable the button when at least one TC has been reviewed with accepted or rejected status
• Must navigate to the Journey Proposal screen on button click
• Must display a hint label showing the count of reviewed TCs
• Must reject navigation if the session state does not contain at least one reviewed TC</t>
  </si>
  <si>
    <t>FR-013 / FE-01</t>
  </si>
  <si>
    <t>Navigation gate. No new session write — reads reviewed count from checkpoint_data.</t>
  </si>
  <si>
    <t>No API call. Reads session state to gate button.
On click: jsGo(2) — navigate to Phase 2.</t>
  </si>
  <si>
    <t xml:space="preserve">CLAP proposes journeys from the accepted TCs
</t>
  </si>
  <si>
    <t>FR-014</t>
  </si>
  <si>
    <t>Journey Stitcher - Journeys</t>
  </si>
  <si>
    <t>Proceed to Step 2 →
(triggers dependency graph build)</t>
  </si>
  <si>
    <t>Builds a dependency graph from the enriched accepted TCs to determine the natural sequence in which TCs flow into journeys.</t>
  </si>
  <si>
    <t>• Builds a dependency graph from the enriched accepted TCs to determine the natural sequence in which TCs flow into journeys.
• ICE builds a directed TC dependency graph per module from enriched preconditions.
• Dependency graph is stored in session data.</t>
  </si>
  <si>
    <t>• Must build a directed TC dependency graph per module from enriched preconditions of accepted TCs
• Must detect and flag circular dependencies in the graph with a clear error or warning
• Must represent isolated TCs with no dependencies as singleton nodes in the graph
• Must generate correct directed edges from TC preconditions to dependent TCs
• Must store the complete dependency graph in session.checkpoint_data</t>
  </si>
  <si>
    <t>LangGraph</t>
  </si>
  <si>
    <t>Java · JGraphT</t>
  </si>
  <si>
    <t>Dependency graph built from enriched preconditions. Stored in checkpoint_data.graph.</t>
  </si>
  <si>
    <t>ENDPOINT YOU CREATE:
POST /api/v1/sessions/{id}/graph
Request: {} (reads enriched TCs from session)
Response 200:
  {nodes: [{tc_id, module}],
   edges: [{from_tc, to_tc, type}],
   cycles: [{tc_ids}] (warnings)}
Errors: 400 enrichment not completed yet</t>
  </si>
  <si>
    <t>Confirm all journeys /
Proceed to Step 3
(triggers journey naming via CLAP)</t>
  </si>
  <si>
    <t>Calls CLAP to name and group the TCs into proposed journeys based on the dependency graph, assigning each journey a J-NNN ID, name, outcome, and priority.</t>
  </si>
  <si>
    <t>• Calls CLAP to name and group the TCs into proposed journeys based on the dependency graph, assigning each journey a J-NNN ID, name, outcome, and priority.
• CLAP groups graph chains into named journeys and returns structured journey data.
• Each journey includes J-NNN ID, name, outcome, priority, and TC list.</t>
  </si>
  <si>
    <t>• Must call CLAP to name and group TCs into proposed journeys based on the dependency graph
• Must assign each journey a unique J-NNN ID in sequential order
• Must assign each journey a human-readable name, outcome description, and priority level
• Must ensure every accepted TC is included in at least one journey
• Must return structured journey data containing J-NNN, name, outcome, priority, and TC list for each journey</t>
  </si>
  <si>
    <t>Claude API — journey naming prompt</t>
  </si>
  <si>
    <t>Spring Boot · session store</t>
  </si>
  <si>
    <t>journeys[]: journey_id, name, outcome, priority, tc_ids[], confirmed. No journey table write.</t>
  </si>
  <si>
    <t>ENDPOINT YOU CREATE:
POST /api/v1/sessions/{id}/journeys/name
Request: {} (reads graph from session)
Response 200:
  {journeys: [{journey_id (J-NNN), name,
    outcome, priority, tc_ids[]}]}
Errors: 400 graph not built yet</t>
  </si>
  <si>
    <t>+ Add journey manually</t>
  </si>
  <si>
    <t>Exposes the API to manually add a new journey to the session, creating a blank journey record the user can populate.</t>
  </si>
  <si>
    <t>• Exposes the API to manually add a new journey to the session, creating a blank journey record the user can populate.
• POST /api/v1/sessions/{id}/journeys creates a new journey with auto-assigned J-NNN ID, user-supplied name and priority, and empty TC list.
• New journey is stored in session checkpoint_data.journeys[] array.</t>
  </si>
  <si>
    <t>• Must expose POST /api/v1/sessions/{id}/journeys to create a new blank journey
• Must auto-assign a unique J-NNN ID to the new journey
• Must accept user-supplied journey name and priority in the request body
• Must initialize the journey with an empty tc_ids array
• Must store the new journey in session.checkpoint_data with no database writes</t>
  </si>
  <si>
    <t>GitHub Copilot — POST session journey handler</t>
  </si>
  <si>
    <t>journeys[]: {journey_id (J-NNN), name, priority, tc_ids[], confirmed=false} added to checkpoint_data.</t>
  </si>
  <si>
    <t>POST /api/v1/sessions/{id}/journeys
Body: {name: string, priority: critical|high|medium|low}
Response 201: {journey_id, name, priority, tc_ids: [], confirmed: false}</t>
  </si>
  <si>
    <t>Confirm journey (per row)</t>
  </si>
  <si>
    <t>Exposes the API to confirm a single journey, marking it as confirmed in the session checkpoint.</t>
  </si>
  <si>
    <t>• Exposes the API to confirm a single journey, marking it as confirmed in the session checkpoint.
• PATCH /api/v1/sessions/{id}/journeys/{journey_id}/confirm sets confirmed=true in session data.
• Confirmation operation is idempotent and can be called multiple times safely.</t>
  </si>
  <si>
    <t>• Must expose PATCH /api/v1/sessions/{id}/journeys/{journey_id}/confirm to mark a journey as confirmed
• Must set confirmed=true for the specified journey in session.checkpoint_data
• Must be idempotent so re-confirming an already confirmed journey has no side effect
• Must return HTTP 200 with updated journey status on success
• Must perform zero database writes and update session data only</t>
  </si>
  <si>
    <t>GitHub Copilot — PATCH session journey confirm</t>
  </si>
  <si>
    <t>journeys[journey_id].confirmed = true in checkpoint_data.</t>
  </si>
  <si>
    <t>PATCH /api/v1/sessions/{id}/journeys/{journey_id}/confirm
Body: {}
Response 200: {journey_id, confirmed: true}</t>
  </si>
  <si>
    <t>Delete journey (per row)</t>
  </si>
  <si>
    <t>Exposes the API to delete a journey from the session, removing it and its TC memberships from the session checkpoint.</t>
  </si>
  <si>
    <t>• Exposes the API to delete a journey from the session, removing it and its TC memberships from the session checkpoint.
• DELETE /api/v1/sessions/{id}/journeys/{journey_id} removes the journey from session data.
• TCs that belonged to the deleted journey are returned to the unassigned pool.</t>
  </si>
  <si>
    <t>• Must expose DELETE /api/v1/sessions/{id}/journeys/{journey_id} to remove a journey from the session
• Must remove the specified journey from checkpoint_data.journeys[] array
• Must move all TCs that belonged to the deleted journey into unassigned_tcs[] array in session
• Must return HTTP 200 with count of orphaned TCs on success
• Must perform zero database writes and update session data only</t>
  </si>
  <si>
    <t>GitHub Copilot — DELETE session journey + TC reassignment</t>
  </si>
  <si>
    <t>journeys[journey_id] removed. orphaned tc_ids returned to unassigned_tcs[].</t>
  </si>
  <si>
    <t>DELETE /api/v1/sessions/{id}/journeys/{journey_id}
Response 200: {deleted: journey_id, unassigned_tcs: [tc_ids]}</t>
  </si>
  <si>
    <t>Confirm all journeys</t>
  </si>
  <si>
    <t>Exposes the API to confirm all proposed journeys in a single call, marking the entire set as confirmed in the session checkpoint.</t>
  </si>
  <si>
    <t>• Exposes the API to confirm all proposed journeys in a single call, marking the entire set as confirmed in the session checkpoint.
• PATCH /api/v1/sessions/{id}/journeys/confirm-all sets confirmed=true on all journeys in session.
• Bulk confirmation completes in one API call for all journeys.</t>
  </si>
  <si>
    <t>• Must expose PATCH /api/v1/sessions/{id}/journeys/confirm-all to bulk-confirm all journeys
• Must set confirmed=true on all journeys in session.checkpoint_data
• Must return the count of confirmed journeys in the response body
• Must be idempotent so calling again on already confirmed journeys has no side effect
• Must perform zero database writes and update session data only</t>
  </si>
  <si>
    <t>GitHub Copilot — bulk PATCH session journeys</t>
  </si>
  <si>
    <t>All journeys[].confirmed = true in checkpoint_data.</t>
  </si>
  <si>
    <t>PATCH /api/v1/sessions/{id}/journeys/confirm-all
Body: {}
Response 200: {confirmed: int}</t>
  </si>
  <si>
    <t>Confirm all journeys /
+ Add journey manually</t>
  </si>
  <si>
    <t>Renders the Phase 2 Journey review screen displaying CLAP-proposed journeys with their TC lists, confirmation badges, and action buttons.</t>
  </si>
  <si>
    <t>• Renders the Phase 2 Journey review screen displaying CLAP-proposed journeys with their TC lists, confirmation badges, and action buttons.
• Journey list displays priority badge and confirmed or pending status for each journey.
• Detail view includes editable name, TC sequence, Confirm and Delete buttons, and manual add journey option.</t>
  </si>
  <si>
    <t>• Must render the Phase 2 Journey review screen with a list of CLAP-proposed journeys
• Must display priority badge and confirmed or pending status for each journey in the list
• Must show TC sequence in the detail view for each journey
• Must update the journey badge from Pending to Confirmed when user confirms a journey
• Must render the Add Journey Manually button and allow creation of new journeys</t>
  </si>
  <si>
    <t>checkpoint_data.journeys updated. No journey table write.</t>
  </si>
  <si>
    <t>ENDPOINTS YOU CALL:
POST /api/v1/sessions/{id}/graph
  (FR-013B BE-02) — get dependency graph
POST /api/v1/sessions/{id}/journeys/name
  (FR-013B BE-03) — get named journeys
Render journey list with TC sequence diagram.
PATCH /api/v1/sessions/{id}/journeys/{id}/name
  (FR-025 BE-03) — rename journey</t>
  </si>
  <si>
    <t>Renders the Add Journey Manually form that allows the user to create a new journey by entering a name and selecting TCs from the pool.</t>
  </si>
  <si>
    <t>• Renders the Add Journey Manually form that allows the user to create a new journey by entering a name and selecting test cases from the pool.
• The form displays a journey name input field and a priority dropdown, appearing on user click.
• On submit, the form calls BE-03 POST endpoint and the new journey card appears immediately in the left panel.</t>
  </si>
  <si>
    <t>• Must render the Add Journey Manually form inline on user button click
• Must display a journey name input field and a priority dropdown in the form
• Must call BE-03 POST /api/v1/sessions/{id}/journeys on form submit with name and priority
• Must display the new journey card with auto-assigned J-NNN ID in the journey list after successful creation
• Must clear the form fields after a successful journey add</t>
  </si>
  <si>
    <t>FR-014 / BE-03</t>
  </si>
  <si>
    <t>Calls BE-03. New journey card rendered in left panel.</t>
  </si>
  <si>
    <t>ENDPOINT YOU CALL (FR-014 BE-03):
POST /api/v1/sessions/{id}/journeys
Body: {name, priority}</t>
  </si>
  <si>
    <t>Renders the Confirm Journey button per journey row, calling BE-04 and updating the row badge to Confirmed.</t>
  </si>
  <si>
    <t>• Renders the Confirm Journey button for each journey row, allowing users to confirm individual journeys.
• On click, the button calls BE-04 PATCH endpoint to update the journey status.
• Updates the journey card badge from Pending to Confirmed and increments the confirmation counter.</t>
  </si>
  <si>
    <t>• Must render the Confirm Journey button for each journey row
• Must call BE-04 PATCH /api/v1/sessions/{id}/journeys/{journey_id}/confirm on button click
• Must update the journey card badge from Pending to Confirmed after successful API response
• Must increment the confirmed journey counter in the UI
• Must disable or hide the button if the journey is already confirmed</t>
  </si>
  <si>
    <t>FR-014 / BE-04</t>
  </si>
  <si>
    <t>Calls BE-04. journey card status badge updated.</t>
  </si>
  <si>
    <t>ENDPOINT YOU CALL (FR-014 BE-04):
PATCH /api/v1/sessions/{id}/journeys/{journey_id}/confirm</t>
  </si>
  <si>
    <t>Delete (per row)</t>
  </si>
  <si>
    <t>Renders the Delete Journey button per row, calling BE-05 and removing the journey card from the display.</t>
  </si>
  <si>
    <t>• Renders the Delete Journey button for each journey row, allowing users to remove journeys from the session.
• On click, the button calls BE-05 DELETE endpoint to remove the journey.
• Removes the journey card from the left panel and displays a toast notification showing the unassigned TC count.</t>
  </si>
  <si>
    <t>• Must render the Delete Journey button for each journey row
• Must call BE-05 DELETE /api/v1/sessions/{id}/journeys/{journey_id} on button click
• Must remove the journey card from the left panel after successful API response
• Must display a toast notification showing the count of TCs returned to unassigned
• Must refresh the unassigned TC list to reflect newly orphaned TCs</t>
  </si>
  <si>
    <t>FR-014 / BE-05</t>
  </si>
  <si>
    <t>Calls BE-05. Journey card removed from panel.</t>
  </si>
  <si>
    <t>ENDPOINT YOU CALL (FR-014 BE-05):
DELETE /api/v1/sessions/{id}/journeys/{journey_id}</t>
  </si>
  <si>
    <t>Renders the Confirm All Journeys button, calling BE-06 and updating all journey row badges to Confirmed in a single action.</t>
  </si>
  <si>
    <t>• Renders the Confirm All Journeys button that confirms all pending journeys in a single action.
• On click, the button calls BE-06 endpoint to batch-confirm all journeys.
• Updates all journey cards to display the Confirmed badge simultaneously.</t>
  </si>
  <si>
    <t>• Must render the Confirm All Journeys button that calls BE-06 on click
• Must update all journey row badges to Confirmed simultaneously after successful BE-06 response
• Must update the confirmation counter to N/N format after batch confirmation
• Must disable the button if no journeys are pending confirmation
• Must handle BE-06 errors gracefully and display a clear error message without updating badges</t>
  </si>
  <si>
    <t>FR-014 / BE-06</t>
  </si>
  <si>
    <t>Calls BE-06. All journey cards updated.</t>
  </si>
  <si>
    <t>ENDPOINT YOU CALL (FR-014 BE-06):
PATCH /api/v1/sessions/{id}/journeys/confirm-all</t>
  </si>
  <si>
    <t>Proceed to Step 3 →</t>
  </si>
  <si>
    <t>Renders the Proceed to Step 3 button, enabled once at least one journey is confirmed, navigating to the Gap Review screen.</t>
  </si>
  <si>
    <t>• Renders the Proceed to Step 3 button that navigates users to the Gap Review screen.
• The button is enabled only when at least one journey has been confirmed.
• On click, the button navigates the user to Phase 3 Gap Review.</t>
  </si>
  <si>
    <t>• Must render the Proceed to Step 3 button in a disabled state by default
• Must enable the button once at least one journey has been confirmed
• Must navigate to Phase 3 Gap Review screen on click when enabled
• Must display a hint showing N/N confirmed count
• Must prevent navigation if clicked while disabled</t>
  </si>
  <si>
    <t>FR-014 / FE-01</t>
  </si>
  <si>
    <t>Navigation gate. Reads confirmed count from session.</t>
  </si>
  <si>
    <t>No API call. On click: jsGo(3).</t>
  </si>
  <si>
    <t>CLAP identifies gaps in between steps in a journey and gives it for user review</t>
  </si>
  <si>
    <t>FR-015</t>
  </si>
  <si>
    <t>Journey Stitcher - Gaps</t>
  </si>
  <si>
    <t>Approve all gaps /
Proceed to Step 4</t>
  </si>
  <si>
    <t>Analyses the TC sequences within each confirmed journey to detect missing coverage between consecutive TCs, then calls CLAP to generate a Given/When/Then gap TC for each gap found.</t>
  </si>
  <si>
    <t>• Analyses the test case sequences within each confirmed journey to detect missing coverage between consecutive TCs.
• ICE detects gaps in TC coverage by examining the sequence of test cases in each journey.
• Calls CLAP to generate a Given/When/Then specification for each detected gap.</t>
  </si>
  <si>
    <t>• Must detect gaps in TC coverage between consecutive test cases within each confirmed journey
• Must call CLAP to generate a Given/When/Then scenario for each detected gap
• Must assign each gap a unique gap ID and associate it with the correct journey ID
• Must include between label, GWT fields, and confidence score for each gap
• Must exclude gaps already approved in Step 4 from detection results
• Must return an empty gap list if no coverage gaps are detected</t>
  </si>
  <si>
    <t>Claude API — gap GWT generation</t>
  </si>
  <si>
    <t>Spring Boot · graph traversal</t>
  </si>
  <si>
    <t>gaps[]: gap_id, journey_id, between, given, when, then, confidence, approved.</t>
  </si>
  <si>
    <t>ENDPOINT YOU CREATE:
POST /api/v1/sessions/{id}/gaps/detect
Request: {} (reads journeys from session)
Response 200:
  {gaps: [{gap_id, journey_id, between:
    {from_tc, to_tc}, given, when, then,
    confidence}]}
Errors: 400 journeys not confirmed yet</t>
  </si>
  <si>
    <t>Approve gap TC (per gap)
Reject (per gap)</t>
  </si>
  <si>
    <t>Records the user's approve or reject decision for each gap TC in the session checkpoint, preserving any user edits to the CLAP-generated GWT text.</t>
  </si>
  <si>
    <t>• Records the user's approve or reject decision for each gap TC in the session checkpoint.
• Uses PATCH /sessions/{id}/gaps/{gap_id}/approve and /reject endpoints to write the approved or rejected status.
• Preserves any user edits to the CLAP-generated GWT text, storing the modified version over the original.</t>
  </si>
  <si>
    <t>• Must set approved=true and rejected=false in session.checkpoint_data when PATCH /sessions/{id}/gaps/{gap_id}/approve is called
• Must set rejected=true and approved=false in session.checkpoint_data when PATCH /sessions/{id}/gaps/{gap_id}/reject is called
• Must preserve any user edits to the CLAP-generated GWT fields when approving a gap
• Must return HTTP 404 if the gap_id does not exist in the session
• Must return HTTP 400 if the session is not in the correct phase for gap review</t>
  </si>
  <si>
    <t>GitHub Copilot — PATCH gap session state</t>
  </si>
  <si>
    <t>gaps[gap_id]: approved, rejected, given, when, then (user-edited or CLAP) updated.</t>
  </si>
  <si>
    <t>PATCH /api/v1/sessions/{id}/gaps/{gap_id}/approve
Body: {given?, when?, then?}
Response 200: {gap_id, approved: true}
PATCH /api/v1/sessions/{id}/gaps/{gap_id}/reject
Response 200: {gap_id, rejected: true}</t>
  </si>
  <si>
    <t>Approve all gaps</t>
  </si>
  <si>
    <t>Approves all pending gap TCs in a single session write, marking every unreviewed gap as approved in the session checkpoint.</t>
  </si>
  <si>
    <t>• Approves all pending gap TCs in a single session write operation.
• Uses PATCH /api/v1/sessions/{id}/gaps/approve-all endpoint to batch-approve all gaps.
• Sets approved=true on all pending gaps in the session checkpoint.</t>
  </si>
  <si>
    <t>• Must set approved=true on all pending gaps in session.checkpoint_data when PATCH /api/v1/sessions/{id}/gaps/approve-all is called
• Must return the count of approved gaps in the response body
• Must skip gaps that are already approved or rejected
• Must return HTTP 404 if the session does not exist
• Must return HTTP 400 if no gaps exist in the session</t>
  </si>
  <si>
    <t>GitHub Copilot — bulk PATCH gap session state</t>
  </si>
  <si>
    <t>All gaps[].approved = true in checkpoint_data.</t>
  </si>
  <si>
    <t>PATCH /api/v1/sessions/{id}/gaps/approve-all
Body: {}
Response 200: {approved: int}</t>
  </si>
  <si>
    <t>Approve all gaps
/ Approve (per gap)
/ Reject (per gap)
/ Proceed to Step 4 →</t>
  </si>
  <si>
    <t>Renders the Phase 3 Gap Review screen with a two-panel layout: a scrollable gap list on the left and the GWT detail panel on the right.</t>
  </si>
  <si>
    <t>• Renders the Phase 3 Gap Review screen with a two-panel layout matching Phases 1 and 2 design patterns.
• The left panel displays a scrollable gap list with cards showing journey ID badge, between label, confidence badge, and status icon.
• Each gap card uses an amber dashed border with the .gap-card class and displays confidence as green for high, amber for medium, and red for low.</t>
  </si>
  <si>
    <t>• Must render a two-panel layout with a scrollable gap list on the left and a GWT detail pane on the right
• Must display all detected gaps in the left panel with journey ID badge, between label, confidence badge, and status icon
• Must load the selected gap's CLAP-generated GWT fields in the detail panel on gap card click
• Must allow user edits to GWT fields via contenteditable and preserve edits in session state on blur
• Must update the gap badge to Approved with a green checkmark when the Approve button is clicked
• Must update the reviewed counter after each approve or reject action</t>
  </si>
  <si>
    <t>FR-017/013/014/015/016 BE-04</t>
  </si>
  <si>
    <t>Cursor AI — Gap Review UI component from mockup screenshot
GitHub Copilot — contenteditable GWT field wiring</t>
  </si>
  <si>
    <t>React · TypeScript · Tailwind CSS · contenteditable API</t>
  </si>
  <si>
    <t>Redis
+ PostgreSQL
(session only)</t>
  </si>
  <si>
    <t>checkpoint_data.gaps[]: gap_id, journey_id, between, given, when, then (user-edited or CLAP original), confidence, approved (bool), rejected (bool), user_edited (bool).
last_checkpoint_at = now() on each approve/reject/edit.
No write to any permanent table — gap data is session-scoped until Phase 5.</t>
  </si>
  <si>
    <t>ENDPOINT YOU CALL (defined in FR-013B BE-04):
POST /api/v1/sessions/{id}/gaps/detect
Render gap list with amber dashed cards.
Per-gap edit: PATCH /sessions/{id}/gaps/{gap_id}
  Request: {given?, when?, then?}
  Response 200: {gap_id, updated: bool}
Approve: PATCH /sessions/{id}/gaps/{id}/approve
Reject:  PATCH /sessions/{id}/gaps/{id}/reject</t>
  </si>
  <si>
    <t>Approve gap TC (per gap)</t>
  </si>
  <si>
    <t>Renders the Approve Gap TC button per gap card, calling BE-02 and updating the gap badge to Approved.</t>
  </si>
  <si>
    <t>• Renders the Approve Gap TC button for each gap card, allowing users to approve individual gap test cases.
• On click, the button calls BE-02 PATCH approve endpoint to update the gap status.
• Updates the gap card badge to Approved with a green checkmark and increments the approved counter.</t>
  </si>
  <si>
    <t>• Must render the Approve Gap TC button for each gap card
• Must call BE-02 PATCH /sessions/{id}/gaps/{gap_id}/approve on button click
• Must update the gap card badge to Approved with a green checkmark after successful response
• Must increment the reviewed counter by 1 after approval
• Must handle BE-02 errors gracefully and display a clear error message without updating the badge</t>
  </si>
  <si>
    <t>FR-015 / BE-02</t>
  </si>
  <si>
    <t>Calls BE-02 approve. gap card status updated.</t>
  </si>
  <si>
    <t>ENDPOINT YOU CALL (FR-015 BE-02):
PATCH /api/v1/sessions/{id}/gaps/{gap_id}/approve
Body: {given?, when?, then?}</t>
  </si>
  <si>
    <t>Reject (per gap)</t>
  </si>
  <si>
    <t>Renders the Reject Gap button per gap card, calling BE-02 with rejected status and updating the gap badge to Rejected.</t>
  </si>
  <si>
    <t>• Renders the Reject Gap button for each gap card, allowing users to reject individual gap test cases.
• On click, the button calls BE-02 PATCH reject endpoint with rejected status.
• Updates the gap card badge to Rejected with a grey X symbol.</t>
  </si>
  <si>
    <t>• Must render the Reject Gap button for each gap card
• Must call BE-02 PATCH /sessions/{id}/gaps/{gap_id}/reject on button click
• Must update the gap card badge to Rejected with a grey X symbol after successful response
• Must increment the reviewed counter by 1 after rejection
• Must handle BE-02 errors gracefully and display a clear error message without updating the badge</t>
  </si>
  <si>
    <t>Calls BE-02 reject. gap card status updated.</t>
  </si>
  <si>
    <t>ENDPOINT YOU CALL (FR-015 BE-02):
PATCH /api/v1/sessions/{id}/gaps/{gap_id}/reject</t>
  </si>
  <si>
    <t>Renders the Approve All Gaps button, calling BE-03 and updating all gap card badges to Approved in a single action.</t>
  </si>
  <si>
    <t>• Renders the Approve All Gaps button that approves all pending gap TCs in a single action.
• On click, the button calls BE-03 endpoint to batch-approve all gaps.
• Updates all gap cards to display the Approved badge simultaneously.</t>
  </si>
  <si>
    <t>• Must render the Approve All Gaps button that calls BE-03 on click
• Must update all gap card badges to Approved with green checkmarks simultaneously after successful BE-03 response
• Must update the reviewed counter to N/N format after batch approval
• Must disable the button if no gaps are pending review
• Must handle BE-03 errors gracefully and display a clear error message without updating badges</t>
  </si>
  <si>
    <t>FR-015 / BE-03</t>
  </si>
  <si>
    <t>Calls BE-03. All gap cards updated.</t>
  </si>
  <si>
    <t>ENDPOINT YOU CALL (FR-015 BE-03):
PATCH /api/v1/sessions/{id}/gaps/approve-all</t>
  </si>
  <si>
    <t>Proceed to Step 4 →</t>
  </si>
  <si>
    <t>Renders the Proceed to Step 4 button, enabled once at least one gap has been reviewed (approved or rejected), navigating to the Generate screen.</t>
  </si>
  <si>
    <t>• Renders the Proceed to Step 4 button that navigates users to the Generate screen.
• The button is enabled when at least one gap has been reviewed, either approved or rejected.
• Zero approved gaps is a valid state, allowing users to reject all gaps and still proceed.</t>
  </si>
  <si>
    <t>• Must render the Proceed to Step 4 button in a disabled state by default
• Must enable the button once at least one gap has been reviewed (approved or rejected)
• Must remain enabled when zero gaps are approved but at least one is rejected
• Must navigate to Phase 4 Generate screen on click when enabled
• Must prevent navigation if clicked while disabled</t>
  </si>
  <si>
    <t>FR-015 / FE-01</t>
  </si>
  <si>
    <t>Navigation gate. Reads reviewed count from session.</t>
  </si>
  <si>
    <t>No API call. On click: jsGo(4).</t>
  </si>
  <si>
    <t>Journey tests are converted into standard test cases template</t>
  </si>
  <si>
    <t>FR-016</t>
  </si>
  <si>
    <t>Journey Stitcher - Generate</t>
  </si>
  <si>
    <t>Generate Journey TCs</t>
  </si>
  <si>
    <t>Calls CLAP to produce the final 9-field journey TC table from the confirmed TC-journey assignments and approved gap TCs, weaving gap TCs inline at the correct sequence positions.</t>
  </si>
  <si>
    <t>• Calls CLAP to produce the final 9-field journey TC table from confirmed TC-journey assignments and approved gap TCs.
• Uses POST /api/v1/sessions/{id}/generate endpoint to invoke CLAP generation.
• Weaves approved gap TCs inline at the correct sequence positions and stores the result in session.checkpoint_data.generated_tcs[].</t>
  </si>
  <si>
    <t>• Must call CLAP via POST /api/v1/sessions/{id}/generate to produce the final 9-field journey TC table
• Must weave approved gap TCs inline at the correct sequence position within each confirmed journey
• Must exclude rejected gap TCs from the final generated table
• Must generate a complete 9-field TC entry for each confirmed TC and each approved gap TC
• Must return HTTP 400 if no journeys are confirmed or if generation prerequisites are not met
• Must return HTTP 500 if CLAP generation fails</t>
  </si>
  <si>
    <t>FR-014 / BE-02</t>
  </si>
  <si>
    <t>Claude API — journey TC generation prompt</t>
  </si>
  <si>
    <t>Spring Boot · Spring Data JPA · CLAP client</t>
  </si>
  <si>
    <t>generated_tcs[]: {journey_id, tc_id, prerequisite, description, step_id, first_step, expected_outcome, test_type, functionality}</t>
  </si>
  <si>
    <t>POST /api/v1/sessions/{id}/generate
Body: {} (reads journeys + gaps from session)
Response 200: {generated: int, tcs: [{journey_id, tc_id, ...9 fields}]}</t>
  </si>
  <si>
    <t>Exposes GET /sessions/{id}/generated-tcs that returns the full generated TC table from the session for display in the Phase 4 matrix and Phase 5 review.</t>
  </si>
  <si>
    <t>• Exposes GET /sessions/{id}/generated-tcs endpoint that returns the full generated TC table from the session.
• Uses GET /api/v1/sessions/{id}/generated-tcs to retrieve the complete generated_tcs[] array.
• Returns data for display in both the Phase 4 matrix view and the Phase 5 review screen.</t>
  </si>
  <si>
    <t>• Must return all generated TCs in journey order via GET /api/v1/sessions/{id}/generated-tcs
• Must include journey_id, source, and all 9 fields for each TC in the response
• Must return an empty array if generate has not yet been run
• Must return HTTP 404 if the session does not exist
• Must support display in both Phase 4 and downstream phases</t>
  </si>
  <si>
    <t>FR-016 / BE-01</t>
  </si>
  <si>
    <t>GitHub Copilot — GET session generated TCs</t>
  </si>
  <si>
    <t>Reads generated_tcs[] from checkpoint_data. No write.</t>
  </si>
  <si>
    <t>GET /api/v1/sessions/{id}/generated-tcs
Response 200: {tcs: [{journey_id, tc_id, ...9 fields}]}</t>
  </si>
  <si>
    <t>Phase 4 footer state (Generate/Step5/Automate enabled flags)</t>
  </si>
  <si>
    <t>Exposes GET /session/{id}/phase4-state that returns the current enabled/disabled state for the Generate, Proceed to Step 5, and Automate footer buttons.</t>
  </si>
  <si>
    <t>• Exposes GET /session/{id}/phase4-state that returns the current enabled/disabled state for the Generate, Proceed to Step 5, and Automate footer buttons.
• The API returns a JSON object containing generate_enabled (true when at least one non-empty journey exists), step5_enabled (true after generate completes), automate_enabled (true when pushed), plus generated_count, pushed_count, and failed_count integers.
• Button state logic evaluates journey assignment completeness and generation completion to control Phase 4 and Phase 5 navigation flow.</t>
  </si>
  <si>
    <t>• Must return generate_enabled=false when all journeys have zero TCs
• Must return step5_enabled=false before generate is called
• Must return automate_enabled=false until all rows pushed with zero failures
• Must return a JSON object containing generate_enabled, step5_enabled, and automate_enabled boolean fields
• Must be called on every action that could change button states and reflect the current session.checkpoint_data state</t>
  </si>
  <si>
    <t>FR-043 Generate BE-01</t>
  </si>
  <si>
    <t>GitHub Copilot — state endpoint</t>
  </si>
  <si>
    <t>Spring Boot · REST · Redis session</t>
  </si>
  <si>
    <t>Reads: generated_tcs count, push status per row. Returns button enable/disable states. No write.</t>
  </si>
  <si>
    <t>ENDPOINT YOU CREATE:
GET /api/v1/sessions/{id}/phase4-state
Response 200:
  {generate_enabled: bool,
   step5_enabled: bool,
   automate_enabled: bool,
   generated_count: int,
   pushed_count: int, failed_count: int}</t>
  </si>
  <si>
    <t>Generate Journey TCs
(Phase 4 screen)</t>
  </si>
  <si>
    <t>Renders the Phase 4 Generate screen with the TC x Journey membership matrix and the generated TC table below it.</t>
  </si>
  <si>
    <t>• Renders the Phase 4 Generate screen with the TC x Journey membership matrix and the generated TC table below it.
• Calls GET /sessions/{id}/phase4 to load the matrix state including TC-journey assignments and existing journey definitions.
• The upper split pane displays the matrix; the lower pane displays the 9-field generated TC table after Generate has been run.</t>
  </si>
  <si>
    <t>• Must render the TC x Journey membership matrix with correct TCs and journeys from GET /sessions/{id}/phase4
• Must display ● for TC assigned to journey and ○ for unassigned TC in matrix cells
• Must render the generated TC table below the matrix
• Must provide a resizable split pane between the matrix and TC table that works correctly
• Must persist matrix state and journey definitions to session.checkpoint_data and be retrievable on subsequent reads</t>
  </si>
  <si>
    <t>React · TypeScript · split-pane</t>
  </si>
  <si>
    <t>generated_tcs[] stored in session. No DB write. Unlocks Step 5 button.</t>
  </si>
  <si>
    <t>ENDPOINTS YOU CALL:
GET /api/v1/sessions/{id}/phase4
  (FR-025 BE-01) — matrix state
PATCH /sessions/{id}/journey/{id}/membership
  (FR-025 BE-02) — toggle TC in/out
POST /sessions/{id}/generate
  (FR-025 Generate BE-01) — generate TCs
GET /sessions/{id}/generated-tcs
  (FR-025 Generate BE-02) — fetch table</t>
  </si>
  <si>
    <t>Toggle TC membership (●/○)</t>
  </si>
  <si>
    <t>Renders the TC membership toggle cells in the matrix, allowing the user to add or remove a TC from a journey by clicking the cell.</t>
  </si>
  <si>
    <t>• Renders the TC membership toggle cells in the matrix, allowing the user to add or remove a TC from a journey by clicking the cell.
• Calls PATCH /sessions/{id}/journey/{id}/membership to add or remove a TC from a journey when the user clicks a matrix cell.
• Updates the cell state immediately without reload, providing instant visual feedback of TC-journey assignment changes.</t>
  </si>
  <si>
    <t>• Must toggle TC membership by calling PATCH /sessions/{id}/journey/{id}/membership when user clicks a matrix cell
• Must change ● to ○ when clicking to remove a TC from a journey
• Must change ○ to ● when clicking to add a TC to a journey
• Must prevent removal of the last TC in a journey and show a warning message
• Must persist TC-journey membership changes to session.checkpoint_data and be retrievable on subsequent reads</t>
  </si>
  <si>
    <t>Calls PATCH membership endpoint. journey tc_ids[] updated in session.</t>
  </si>
  <si>
    <t>ENDPOINT YOU CALL:
PATCH /api/v1/sessions/{id}/journey/{id}/membership
Body: {tc_id, action: add|remove}</t>
  </si>
  <si>
    <t>✎ Edit journeys
+ Add journey
🗑 Delete journey</t>
  </si>
  <si>
    <t>Renders the Edit, Add, and Delete journey controls above the matrix columns, enabling the user to rename, add, or remove journeys before generation.</t>
  </si>
  <si>
    <t>• Renders the Edit, Add, and Delete journey controls above the matrix columns, enabling the user to rename, add, or remove journeys before generation.
• The ✎ Edit journeys button toggles edit mode and enables inline journey rename; the + Add journey button adds a blank journey column to the matrix.
• The 🗑 Delete journey button removes the selected journey column and returns all assigned TCs to the unassigned state.</t>
  </si>
  <si>
    <t>• Must enable inline rename of journey name when Edit mode is activated via the ✎ Edit journeys button
• Must create a new column in the matrix when + Add journey is clicked
• Must remove the journey column when Delete is clicked and display orphaned TCs as unassigned
• Must persist renamed journey name to session when Save is clicked
• Must persist journey add/delete operations to session.checkpoint_data and be retrievable on subsequent reads</t>
  </si>
  <si>
    <t>Calls journey add/delete/rename endpoints. Matrix re-renders after each action.</t>
  </si>
  <si>
    <t>ENDPOINTS YOU CALL:
POST /api/v1/sessions/{id}/journeys (add)
DELETE /api/v1/sessions/{id}/journeys/{id} (delete)
PATCH /api/v1/sessions/{id}/journeys/{id}/name (rename)</t>
  </si>
  <si>
    <t>Generate Journey TCs Button</t>
  </si>
  <si>
    <t>Renders the Finalise and Generate 9-field TC Output button that calls BE-01, shows a progress indicator, and renders the TC table on completion.</t>
  </si>
  <si>
    <t>• Renders the Finalise and Generate 9-field TC Output button that calls BE-01, shows a progress indicator, and renders the TC table on completion.
• Calls POST /generate (BE-01) to send finalised TC-journey assignments and approved gap TCs to CLAP, which produces the formal 9-field journey TC table with gap TCs woven inline.
• Shows a progress indicator during generation; on completion renders the TC table below the matrix and enables the Proceed to Step 5 button.</t>
  </si>
  <si>
    <t>• Must call POST /generate (BE-01) when the Finalise and Generate 9-field TC Output button is clicked
• Must display a progress indicator during generation
• Must render the TC table on completion of generation
• Must enable the Proceed to Step 5 button after generation completes successfully
• Must persist generated TC data to session.checkpoint_data and be retrievable on subsequent reads</t>
  </si>
  <si>
    <t>Calls BE-01. generated_tcs[] rendered in table.</t>
  </si>
  <si>
    <t>ENDPOINT YOU CALL (FR-016 BE-01):
POST /api/v1/sessions/{id}/generate
Then: GET /api/v1/sessions/{id}/generated-tcs (FR-016 BE-02)</t>
  </si>
  <si>
    <t>Step 5 · Review &amp; Export →</t>
  </si>
  <si>
    <t>Saves the confirmed journey assignments to the session checkpoint and navigates to the Phase 5 Review and Export screen.</t>
  </si>
  <si>
    <t>• Saves the confirmed journey assignments to the session checkpoint and navigates to the Phase 5 Review and Export screen.
• Stores the confirmed journey assignments and approved gap TCs in the session checkpoint without writing to the ICE database (that happens on Phase 5 Save and Proceed).
• The button is enabled only after Generate has been run and the 9-field TC table is populated.</t>
  </si>
  <si>
    <t>• Must keep button disabled until generation is complete
• Must navigate to Phase 5 Review and Export screen when clicked after generation
• Must display generated TC count in hint label
• Must store confirmed journey assignments and approved gap TCs in session checkpoint without writing to ICE database
• Must persist journey assignments to session.checkpoint_data and be retrievable on subsequent reads</t>
  </si>
  <si>
    <t>FR-016 / FE-02</t>
  </si>
  <si>
    <t>Navigation gate. Reads generated_tcs count from session.</t>
  </si>
  <si>
    <t>No API call. On click: jsGo(5).</t>
  </si>
  <si>
    <t>Phase 4/5 footer bar — Generate/Step5/Automate/Back buttons + state</t>
  </si>
  <si>
    <t>Renders the Phase 4 and Phase 5 shared footer bar and manages the enabled/disabled state of all footer buttons based on BE-03 phase state.</t>
  </si>
  <si>
    <t>• Renders the Phase 4 and Phase 5 shared footer bar and manages the enabled/disabled state of all footer buttons based on BE-03 phase state.
• Manages button states: Back (always enabled), Finalise and Generate 9-field TC Output (enabled once ≥1 TC assigned to journey), Proceed to Step 5 (enabled after Generate completes), and Automate (enabled after Phase 5 Save and Proceed).
• Button states are retrieved from the BE-03 GET /session/{id}/phase4-state API to ensure consistent enablement logic across Phase 4 and Phase 5.</t>
  </si>
  <si>
    <t>• Must enable ← Back button at all times and navigate to Phase 3 without losing Phase 4 state
• Must show spinner and 'Generating...' text on Generate Journey TCs button while CLAP runs
• Must display Step 5 · Push to Xray → button in disabled state (greyed, not clickable) until prerequisites met
• Must display Proceed to Automate → button in Phase 4 header as disabled until generate is done
• Must query BE-03 phase state to determine enabled/disabled state of all footer buttons</t>
  </si>
  <si>
    <t>Cursor AI — footer component from mockup</t>
  </si>
  <si>
    <t>FE polls BE-01 phase4-state after each action to update button states. No direct DB write.</t>
  </si>
  <si>
    <t>ENDPOINTS YOU CALL (see BE tasks in this FR
for exact paths and schemas):
Matrix: GET /sessions/{id}/phase4
Toggle: PATCH .../journey/{id}/membership
Generate: POST /sessions/{id}/generate
Table: GET /sessions/{id}/generated-tcs
Push: POST /sessions/{id}/push-xray
State: GET /sessions/{id}/phase4-state</t>
  </si>
  <si>
    <t>Ability to add/modify the Journey tests and exporting them excel/xray/Save in ICE</t>
  </si>
  <si>
    <t>FR-017</t>
  </si>
  <si>
    <t>Journey Stitcher - Review and Export</t>
  </si>
  <si>
    <t>Save &amp; Proceed</t>
  </si>
  <si>
    <t>Persists the confirmed journey TCs from the session to the ICE database on Save and Proceed, writing journey and TC records and unlocking the Automate screen.</t>
  </si>
  <si>
    <t>• Persists the confirmed journey TCs from the session to the ICE database on Save and Proceed, writing journey and TC records and unlocking the Automate button.
• Defines a TestCase JPA entity with 7 persisted fields and uses a Spring Data repository with batch save for efficient database writes.
• On successful save, the Automate button is enabled and the session transitions from checkpoint-only state to database-persisted state.</t>
  </si>
  <si>
    <t>• Must map TestCase JPA entity to ICE DB table correctly with 7 persisted fields
• Must complete batch save of 50 records in less than 2 seconds
• Must not roll back successful batch records when a single record fails
• Must unlock the Automate button after journey and TC records are written
• Must persist journey TCs to test_case and test_step tables and be retrievable on subsequent reads</t>
  </si>
  <si>
    <t>GitHub Copilot — generate JPA entity + repository
Claude — batch save + transaction boundary design</t>
  </si>
  <si>
    <t>Spring Data JPA · PostgreSQL · Flyway / Liquibase · Spring Boot</t>
  </si>
  <si>
    <t>PostgreSQL</t>
  </si>
  <si>
    <t>test_case
test_step</t>
  </si>
  <si>
    <t>test_case: tc_id, tenant_id, module_id, tc_display_id, prerequisite, description, test_type, functionality, priority, source, created_by, created_at
test_step: step_id, tc_id, step_display_id, step_order, action, expected_result</t>
  </si>
  <si>
    <t>ENDPOINT YOU CREATE:
POST /api/v1/tcs/save
Request: {tc_ids: string[], source: string}
Response 201:
  {saved: int, tcs: [{tc_id, created_at}]}
Persists validated TCs from session pool
to test_case DB table.
Errors: 400 empty tc_ids, 404 tc_id not in pool</t>
  </si>
  <si>
    <t>Validates the journey TC set before Save and Proceed, checking that all mandatory 9-field values are present and no journeys are empty.</t>
  </si>
  <si>
    <t>• Validates the journey TC set before Save and Proceed, checking that all mandatory 9-field values are present and no journeys are empty.
• Adds createdBy, createdAt, updatedBy, and updatedAt audit fields to the TestCase entity, which are auto-populated on save.
• Validation ensures data integrity before database persistence and prevents incomplete or invalid journey TC sets from being written.</t>
  </si>
  <si>
    <t>• Must validate that all mandatory 9-field values are present before Save and Proceed
• Must reject Save and Proceed if any journeys are empty
• Must set createdAt timestamp on insert
• Must update updatedAt timestamp on every save
• Must set createdBy to authenticated user ID
• Must persist audit fields to test_case table and be retrievable on subsequent reads</t>
  </si>
  <si>
    <t>FR-017 / BE-01</t>
  </si>
  <si>
    <t>GitHub Copilot — generate @CreatedDate / @LastModifiedDate hooks</t>
  </si>
  <si>
    <t>Spring Data JPA · @EntityListeners · Spring Security</t>
  </si>
  <si>
    <t>INTERNAL — audit fields added on DB write.
Automatically sets: created_by, created_at,
  updated_by, updated_at via JPA @PrePersist.
Not a standalone HTTP endpoint.</t>
  </si>
  <si>
    <t>Import Journey TCs
(Journey Stitcher — import path)</t>
  </si>
  <si>
    <t>Accepts an Excel file import on the Phase 5 screen, parsing journey TC rows and merging them into the existing generated TC set.</t>
  </si>
  <si>
    <t>• Accepts an Excel file import on the Phase 5 screen, parsing journey TC rows and merging them into the existing generated TC set.
• Exposes POST /api/v1/sessions/{id}/import-journey-tcs to accept .xlsx upload and validates against the ICE 10-field standard schema (Journey ID, Prerequisite, Description, Step ID, First Step, Expected Outcome, Test Type, Functionality).
• Validation rules enforce Journey ID and Description as mandatory; all other fields are flagged if empty but not rejected; duplicate Journey IDs trigger an error response.</t>
  </si>
  <si>
    <t>• Must accept .xlsx file with 9-column header row matching ICE schema exactly via POST /api/v1/sessions/{id}/import-journey-tcs
• Must flag rows missing Journey ID or Description as invalid
• Must flag rows with empty cells in the other 6 optional fields with warning but still import the row
• Must flag duplicate Journey IDs within file and warn user but continue with import
• Must merge imported journey TC rows into the existing generated TC set
• Must persist imported journey TCs to session.checkpoint_data and be retrievable on subsequent reads</t>
  </si>
  <si>
    <t>FR-017/013/014/015/016 BE-06</t>
  </si>
  <si>
    <t>GitHub Copilot — Excel import validation service
Claude — 9-field schema validator</t>
  </si>
  <si>
    <t>Spring Boot · Apache POI · Spring MVC (MultipartFile) · JPA · Redis session</t>
  </si>
  <si>
    <t>session.checkpoint_data.imported_tcs[]: {journey_id, prerequisite, description, step_id, first_step, expected_outcome, test_type, functionality, flagged: bool, flag_reasons: []}.
No write to journey or journey_tc_membership — those are written at Phase 5 push.</t>
  </si>
  <si>
    <t>ENDPOINT YOU CREATE:
POST /api/v1/sessions/{id}/import-journey-tcs
Content-Type: multipart/form-data
Body: file (.xlsx)
Response 200:
  {total, valid, flagged,
   errors: [{row, journey_id,
     field, reason}]}
Errors:
  400 ERR-SCHEMA-MISMATCH
    — wrong column headers
  400 ERR-FILE-TOO-LARGE
    — &gt; 500 rows
  400 ERR-EMPTY-FILE</t>
  </si>
  <si>
    <t>→ Push to Xray
(Phase 5 header — top right)</t>
  </si>
  <si>
    <t>Calls the Xray API to push the Phase 5 journey TCs as test issues, updating each TC with its Xray key on success.</t>
  </si>
  <si>
    <t>• Calls the Xray API to push the Phase 5 journey TCs as test issues, updating each TC with its Xray key on success.
• Pushes journey TCs to the Xray REST API with per-row status tracking to monitor success and failure for each TC.
• On successful push, writes journey_id, xray_key, and pushed_at timestamp to the ICE database to record integration state.</t>
  </si>
  <si>
    <t>• Must push each journey TC as one Xray Test issue via Xray REST API
• Must include Journey ID as Xray custom field
• Must track per-row status to monitor success and failure for each TC push
• Must allow failed rows to be retryable
• Must update each TC with its Xray key on successful push
• Must persist Xray keys and push status to journey, journey_tc_membership, and session tables and be retrievable on subsequent reads</t>
  </si>
  <si>
    <t>BE-06, FR-009</t>
  </si>
  <si>
    <t>None — Xray REST API</t>
  </si>
  <si>
    <t>Spring Boot · Xray REST · OAuth2</t>
  </si>
  <si>
    <t>PostgreSQL
+ Xray API + Redis</t>
  </si>
  <si>
    <t>journey
journey_tc_membership
session</t>
  </si>
  <si>
    <t>★ FIRST PERMANENT WRITE.
journey: journey_id, tenant_id, xray_key, name, outcome, priority, prerequisite, xray_pushed_at, automated_flag=false
journey_tc_membership: journey_id, tc_id, step_order, is_gap_tc
session.status = completed</t>
  </si>
  <si>
    <t>ENDPOINT YOU CREATE:
POST /api/v1/sessions/{id}/push-xray
Request: {journey_ids?: string[]}
Response 200:
  {pushed: int, failed: int,
   results: [{journey_id, xray_key,
     status: pushed|failed}]}
★ First permanent DB write — creates journey
  + journey_tc_membership rows.
Errors: 503 Xray unavailable</t>
  </si>
  <si>
    <t>→ FR-019 BE-01
ICE DB: journey record written { journey_id, xray_key, pushed_at }.
FR-019 BE-01 joins Xray journey list with ICE DB on journey_id.</t>
  </si>
  <si>
    <t>Export to Excel</t>
  </si>
  <si>
    <t>Generates an Excel export of the Phase 5 journey TC table, using the ICE journey export template with all 9 fields and journey grouping.</t>
  </si>
  <si>
    <t>• Generates an Excel export of the Phase 5 journey TC table, using the ICE journey export template with all 9 fields and journey grouping.
• Exposes GET /api/v1/sessions/{id}/export/excel to generate a .xlsx file from session generated_tcs[] using the 9-field schema.
• Returns the generated Excel file as a binary download with correct headers and journey grouping formatting.</t>
  </si>
  <si>
    <t>• Must generate .xlsx file via GET /api/v1/sessions/{id}/export/excel with correct 9-column header row
• Must include all generated TCs from session generated_tcs[] in the export
• Must use ICE journey export template with all 9 fields and journey grouping
• Must name the file ICE_Journey_TCs_{session_id}.xlsx</t>
  </si>
  <si>
    <t>FR-016 / BE-02</t>
  </si>
  <si>
    <t>GitHub Copilot — openpyxl/Apache POI export</t>
  </si>
  <si>
    <t>Spring Boot · Spring Data JPA · Apache POI</t>
  </si>
  <si>
    <t>Reads generated_tcs[] from session. No DB write.</t>
  </si>
  <si>
    <t>GET /api/v1/sessions/{id}/export/excel
Response 200: binary .xlsx file
Content-Disposition: attachment; filename=ICE_Journey_TCs_{id}.xlsx</t>
  </si>
  <si>
    <t>Download template</t>
  </si>
  <si>
    <t>Generates and serves the ICE journey TC import template as a downloadable Excel file for users who want to import journey TCs from Excel.</t>
  </si>
  <si>
    <t>• Generates and serves the ICE journey TC import template as a downloadable Excel file for users who want to import journey TCs from Excel.
• Exposes GET /api/v1/templates/journey-tc-import.xlsx to return a static template file with correct headers and a sample row.
• The template file conforms to the ICE 10-field standard schema to ensure user imports match the expected format.</t>
  </si>
  <si>
    <t>• Must expose GET /api/v1/templates/journey-tc-import.xlsx to return a static Excel template file
• Must include exactly 9 header columns matching the ICE journey TC schema
• Must include at least one sample row for user guidance
• Must be available without authentication or active session
• Must return HTTP 200 with correct MIME type for Excel downloads</t>
  </si>
  <si>
    <t>GitHub Copilot — static template generation</t>
  </si>
  <si>
    <t>Static file / S3</t>
  </si>
  <si>
    <t>journey_tc_import_template.xlsx</t>
  </si>
  <si>
    <t>Static 9-column headers: Journey ID, Prerequisite, Description, Step ID, First Step, Expected Outcome, Test Type, Functionality.</t>
  </si>
  <si>
    <t>GET /api/v1/templates/journey-tc-import.xlsx
Response 200: binary .xlsx
Content-Disposition: attachment; filename=journey-tc-import-template.xlsx</t>
  </si>
  <si>
    <t>Journey Stitcher › Phase 4 · Generate</t>
  </si>
  <si>
    <t>× Delete row (Phase 5 generated TC table)</t>
  </si>
  <si>
    <t>Exposes the API to delete a single TC row from the Phase 5 generated TC table, updating the session and the rendered table.</t>
  </si>
  <si>
    <t>• Exposes the API to delete a single TC row from the Phase 5 generated TC table, updating the session and the rendered table.
• Exposes DELETE /session/{id}/generated-tcs/{journey_id} to remove a single generated TC row from checkpoint_data.generated_tcs.
• Validates that journey_id exists in generated_tcs before deletion and updates the session checkpoint to reflect the removal.</t>
  </si>
  <si>
    <t>• Must accept DELETE /session/{id}/generated-tcs/{journey_id} and remove the specified TC row from checkpoint_data.generated_tcs
• Must update the session checkpoint_data immediately after deletion
• Must return an empty generated_tcs array if all rows are deleted
• Must return HTTP 404 if the session or journey_id does not exist
• Must allow the front-end to re-evaluate Step 5 button state after the delete</t>
  </si>
  <si>
    <t>GitHub Copilot — delete endpoint</t>
  </si>
  <si>
    <t>checkpoint_data.generated_tcs[]: row with journey_id removed. last_checkpoint_at=now().</t>
  </si>
  <si>
    <t>Review table display</t>
  </si>
  <si>
    <t>Renders the Phase 5 Review and Export screen with the full generated journey TC table, showing all 9 fields and journey grouping headers.</t>
  </si>
  <si>
    <t>• Renders the Phase 5 Review and Export screen with the full generated journey TC table, showing all 9 fields and journey grouping headers.
• Displays generated_tcs[] from the session in a table with columns: Journey ID, Prerequisite, Description, Step ID, First Step, Expected Outcome, Test Type, Functionality, and Source.
• The Source column shows a dot indicator to distinguish CLAP-generated TCs from Excel-imported TCs for traceability.</t>
  </si>
  <si>
    <t>• Must render all generated TCs from session.checkpoint_data.generated_tcs in a table with 9 columns
• Must display Journey ID, Prerequisite, Description, Steps, Expected Result, Priority, Status, Source, and Tags columns
• Must visually group rows by Journey ID with journey grouping headers
• Must display a source dot indicator per row reflecting the TC origin
• Must support scrolling for large datasets without pagination loss</t>
  </si>
  <si>
    <t>Reads generated_tcs[] via BE-02 GET endpoint.</t>
  </si>
  <si>
    <t>ENDPOINT YOU CALL (FR-016 BE-02):
GET /api/v1/sessions/{id}/generated-tcs</t>
  </si>
  <si>
    <t>Renders the Save and Proceed button that calls BE-01 to write journeys to the ICE DB and unlock the Automate screen.</t>
  </si>
  <si>
    <t>• Renders the Save and Proceed button that writes journeys to the ICE DB and unlocks the Automate screen.
• Calls POST /api/v1/tcs/save and on success sets JS_SAVED=true in client state.
• Shows success toast and enables Automate screen in navigation after successful save.</t>
  </si>
  <si>
    <t>• Must render a Save and Proceed button that calls POST /api/v1/tcs/save on click
• Must set JS_SAVED=true in client state on successful save response
• Must display a success toast and enable the Automate navigation item on success
• Must display an error toast with retry option on failure without losing user data
• Must keep the button enabled and allow retry if the save fails</t>
  </si>
  <si>
    <t>test_case, test_step</t>
  </si>
  <si>
    <t>Calls BE-01. JS_SAVED=true on success.</t>
  </si>
  <si>
    <t>ENDPOINT YOU CALL (FR-017 BE-01):
POST /api/v1/tcs/save
Body: {tc_ids: [], source: 'journey_stitcher'}</t>
  </si>
  <si>
    <t>Renders the Push to Xray button in the Phase 5 header, calling BE-04 and displaying per-TC push results on completion.</t>
  </si>
  <si>
    <t>• Renders the Push to Xray button in the Phase 5 header that calls BE-04 and displays per-TC push results.
• Displays a 10-field standard table with per-row push status, Push Selected button, and per-row Retry.
• Enables the Automate button only after all rows are pushed with zero failures.</t>
  </si>
  <si>
    <t>• Must render a Push to Xray button in the Phase 5 header that calls BE-04 on click
• Must display a 10-field table showing per-TC push status after the push completes
• Must render a Push Selected button to initiate batch push for selected rows
• Must display a per-row Retry button for any rows that failed to push
• Must keep the Automate button locked until all TCs are successfully pushed</t>
  </si>
  <si>
    <t>★ FE triggers push API. Same permanent write as BE-06.</t>
  </si>
  <si>
    <t>ENDPOINT YOU CALL (defined in FR-013B BE-06):
POST /api/v1/sessions/{id}/push-xray
Body: {journey_ids: [selected J-NNN IDs]}
Show per-row status (Pending→Pushed|Failed).
On all pushed: enable Proceed to Automate btn.
Also:
GET /sessions/{id}/generated-tcs (table data)
POST /sessions/{id}/export/excel (Export btn)</t>
  </si>
  <si>
    <t>Import Journey TCs
/ Download template
/ Proceed with valid rows →</t>
  </si>
  <si>
    <t>Renders the Import Journey TCs panel with a dropzone, template download link, and Proceed with Valid Rows button.</t>
  </si>
  <si>
    <t>• Renders the Import Journey TCs panel with a dropzone, template download link, and Proceed with Valid Rows button.
• Provides two entry paths at the top of the Journey Stitcher screen: Generate new journey TCs and Import existing journey TCs.
• The import path UI includes a file dropzone accepting .xlsx files and a Download template link for the pre-formatted 10-field standard Excel template.</t>
  </si>
  <si>
    <t>• Must render two entry paths at the top of the Journey Stitcher screen: Generate and Import
• Must display a .xlsx file dropzone and a Download template link in the Import panel
• Must call BE-05 on file upload and display an import summary with total, valid, and flagged counts
• Must show a per-row error table for flagged rows with specific validation messages
• Must render a Proceed with Valid Rows button that is enabled only when at least one valid row exists
• Must persist the uploaded valid rows to session.checkpoint_data and be retrievable on subsequent reads</t>
  </si>
  <si>
    <t>BE-05, FR-017/013/014/015/016 FE-05</t>
  </si>
  <si>
    <t>Cursor AI — import entry path + summary panel from mockup
GitHub Copilot — file dropzone + error table</t>
  </si>
  <si>
    <t>React · TypeScript · Tailwind CSS · react-dropzone · Apache POI (template generation)</t>
  </si>
  <si>
    <t>FE calls BE-05 on upload → receives import summary.
On proceed: reads session.checkpoint_data.imported_tcs[] to populate Phase 5 table.
No direct DB write from FE.</t>
  </si>
  <si>
    <t>ENDPOINTS YOU CALL:
POST /api/v1/sessions/{id}/
  import-journey-tcs
  (FR-013B BE-05)
  → on Upload click
  → shows import summary
GET /api/v1/sessions/{id}/
  generated-tcs
  (FR-025 Generate BE-02)
  → pre-populate Phase 5 table
    with imported_tcs[]
Template download:
GET /api/v1/templates/
  journey-tc-import.xlsx</t>
  </si>
  <si>
    <t>Renders the Export to Excel button that calls BE-05 and triggers a browser download of the journey TC export file.</t>
  </si>
  <si>
    <t>• Renders the Export to Excel button that triggers a browser download of the journey TC export file.
• Calls GET /sessions/{id}/export/excel to generate the .xlsx file.
• Triggers browser file download of generated journey TCs as .xlsx format.</t>
  </si>
  <si>
    <t>• Must render an Export to Excel button that calls GET /sessions/{id}/export/excel on click
• Must trigger a browser file download of the journey TC export in .xlsx format
• Must display the correct filename in the browser download prompt
• Must return HTTP 404 if the session does not exist or has no generated TCs</t>
  </si>
  <si>
    <t>FR-017 / BE-05</t>
  </si>
  <si>
    <t>Calls BE-05. File download triggered.</t>
  </si>
  <si>
    <t>ENDPOINT YOU CALL (FR-017 BE-05):
GET /api/v1/sessions/{id}/export/excel</t>
  </si>
  <si>
    <t>Renders the Download Template button that calls BE-06 and triggers a browser download of the blank import template.</t>
  </si>
  <si>
    <t>• Renders the Download Template button that triggers a browser download of the blank import template.
• Calls GET /api/v1/templates/journey-tc-import.xlsx to fetch the template file.
• Triggers browser download of the pre-formatted import template in .xlsx format.</t>
  </si>
  <si>
    <t>• Must render a Download Template button that calls GET /api/v1/templates/journey-tc-import.xlsx on click
• Must trigger a browser download of the pre-formatted 9-column import template
• Must work without an active session or authentication
• Must display the correct template filename in the browser download prompt</t>
  </si>
  <si>
    <t>FR-017 / BE-06</t>
  </si>
  <si>
    <t>Calls BE-06. Browser download triggered.</t>
  </si>
  <si>
    <t>ENDPOINT YOU CALL (FR-017 BE-06):
GET /api/v1/templates/journey-tc-import.xlsx</t>
  </si>
  <si>
    <t>Automate</t>
  </si>
  <si>
    <t>Renders the Automate button in the Phase 5 footer, enabled only after Save and Proceed has been clicked, navigating to the Automate screen.</t>
  </si>
  <si>
    <t>• Renders the Automate button in the Phase 5 footer that navigates to the Automate screen.
• Enables the Automate navigation item and shows a Proceed to Automate button only after JS_SAVED=true is set following successful Save &amp; Proceed.
• Prior to JS_SAVED=true the Automate nav item remains disabled and greyed out.</t>
  </si>
  <si>
    <t>• Must render the Automate navigation item as disabled and greyed out before Save &amp; Proceed is clicked
• Must enable and activate the Automate navigation item after JS_SAVED=true is set by a successful save
• Must display a Proceed to Automate button in the Phase 5 footer only after save success
• Must navigate to the Automate screen when either the nav item or the footer button is clicked
• Must preserve the enabled state across page refresh if JS_SAVED remains true</t>
  </si>
  <si>
    <t>FR-017 / FE-02</t>
  </si>
  <si>
    <t>Cursor AI — nav state management</t>
  </si>
  <si>
    <t>session.JS_SAVED flag</t>
  </si>
  <si>
    <t>JS_SAVED=true triggers Automate unlock.</t>
  </si>
  <si>
    <t>No API call. Reads JS_SAVED from client state after FE-02 Save &amp; Proceed success. On JS_SAVED=true: enable Automate nav item, show 'Proceed to Automate →' button.</t>
  </si>
  <si>
    <t>Save &amp; Proceed
(Journey Stitcher — Step 5: Review &amp; Export)</t>
  </si>
  <si>
    <t>Validates the full Save and Proceed flow: journey TCs written to ICE DB, Automate screen unlocked, and session checkpoint updated.</t>
  </si>
  <si>
    <t>• Validates the full Save and Proceed flow including journey TCs written to ICE DB, Automate screen unlocked, and session checkpoint updated.
• Imports test cases and verifies all 7 fields plus audit fields are persisted correctly.
• Confirms end-to-end integration of the save operation and navigation state changes.</t>
  </si>
  <si>
    <t>• Must persist all 7 journey TC fields plus audit fields to test_case and test_step tables on Save and Proceed
• Must populate all audit fields with correct timestamps and user IDs
• Must not violate any DB constraints during the write operation
• Must match all field values to the import source data
• Must unlock the Automate screen and update the session checkpoint on successful write
• Must persist all journey TCs to test_case and test_step and be retrievable on subsequent reads</t>
  </si>
  <si>
    <t>FR-017 / All BE</t>
  </si>
  <si>
    <t>Playwright AI — generate persistence E2E
Claude — generate concurrent import scenarios</t>
  </si>
  <si>
    <t>ENDPOINT UNDER TEST:
POST /api/v1/tcs/save
Test: save 5 TCs → verify rows in test_case
  table with audit fields populated.
Test: invalid tc_id → 404 returned.</t>
  </si>
  <si>
    <t>★ Push Selected to Xray
(Phase 5 — E2E)</t>
  </si>
  <si>
    <t>Validates the full Push to Xray flow from Phase 5: TCs pushed, Xray keys written back, and partial failure report shown.</t>
  </si>
  <si>
    <t>• Validates the full Push to Xray flow from Phase 5 including TCs pushed, Xray keys written back, and partial failure report shown.
• Executes end-to-end workflow: upload TCs, enrich, accept all, confirm all journeys, approve all gaps, generate, and push all to Xray.
• Verifies Journey IDs in Xray match ICE DB after successful push operation.</t>
  </si>
  <si>
    <t>• Must complete all 5 phases: upload, enrich, accept, confirm journeys, and approve gaps before push
• Must push all journey TCs to Xray and write back the returned Xray keys to the journey table
• Must display a partial failure report if some TCs fail to push
• Must create corresponding records in journey and journey_tc_membership tables on successful push
• Must match all pushed Xray journey TCs to the ICE DB records
• Must persist Xray keys and membership records to journey and journey_tc_membership and be retrievable on subsequent reads</t>
  </si>
  <si>
    <t>FR-013 to FR-017 all tasks</t>
  </si>
  <si>
    <t>None</t>
  </si>
  <si>
    <t>Playwright · TestNG · Xray REST</t>
  </si>
  <si>
    <t>★ E2E validates journey + journey_tc_membership rows created. session.status=completed.</t>
  </si>
  <si>
    <t>ENDPOINTS UNDER TEST (full Phase 1-5 chain):
POST /sessions/{id}/enrich
POST /sessions/{id}/graph
POST /sessions/{id}/journeys/name
POST /sessions/{id}/gaps/detect
POST /sessions/{id}/generate (FR-025)
POST /sessions/{id}/push-xray
Test: all 5 phases complete → journey rows
  in DB with correct xray_keys.</t>
  </si>
  <si>
    <t>ICE-Git Bridge — Git provider adapter layer (push / pull / webhook / encrypted credentials)</t>
  </si>
  <si>
    <t>FR-018</t>
  </si>
  <si>
    <t>ICE-Git Bridge</t>
  </si>
  <si>
    <t>All Git operations
(internal — no direct user action)</t>
  </si>
  <si>
    <t>Defines the IGitProvider Java interface that all Git provider adapters must implement, establishing a single contract for push, pull, webhook, and test-connection operations.</t>
  </si>
  <si>
    <t>• Defines the IGitProvider Java interface that all Git provider adapters must implement, establishing a single contract for push, pull, webhook, and test operations.
• Interface lives in the ice-git-bridge module and includes methods: push, pull, testConnection, and constructUrl.
• Methods accept parameters such as git_config_ref, file_content, branch, script_path, and commit_message to enable uniform adapter implementation.</t>
  </si>
  <si>
    <t>• Must define the IGitProvider interface in the ice-git-bridge module with method signatures for push, pull, testConnection, and webhook handling
• Must implement GitProviderFactory to instantiate the correct adapter based on the provider enum from git_config
• Must ensure no ICE component outside ice-git-bridge imports any provider-specific class directly
• Must allow adding a new Git provider by creating only a new adapter class without modifying the interface or factory logic
• Must enforce that all adapter implementations return consistent response structures across providers</t>
  </si>
  <si>
    <t>GitHub Copilot — interface + factory boilerplate
Claude — interface design review</t>
  </si>
  <si>
    <t>Spring Boot · Java · Spring @Service · Maven module (ice-git-bridge)</t>
  </si>
  <si>
    <t>git_config</t>
  </si>
  <si>
    <t>Reads: git_config.provider to determine adapter.
No write — factory pattern only.</t>
  </si>
  <si>
    <t>INTERNAL — interface definition, no HTTP endpoint.
Interface: IGitProvider {
  push(ref, content, branch, path, msg)
  pull(ref, branch, path)
  testConnection(config_id)
  constructUrl(ref, branch, path)
}
Factory: GitProviderFactory.get(provider)
  → GitHubAdapter | GitLabAdapter
  | BitbucketAdapter | AzureDevOpsAdapter</t>
  </si>
  <si>
    <t>Commits to Automation repo updates the automated flag as true in ICE DB</t>
  </si>
  <si>
    <t>Push (CLAP) / Pull (ScriptBridge)
(internal — triggered by parent operations)</t>
  </si>
  <si>
    <t>Implements the GitHub adapter (cloud and self-hosted) using the GitHub Contents API, supporting push, pull, and file existence check operations.</t>
  </si>
  <si>
    <t>• Implements the GitHub adapter for cloud and self-hosted instances supporting push, pull, and file existence check operations.
• Push uses GitHub Contents API PUT /repos/{owner}/{repo}/contents/{path} with base64-encoded file content, commit message, and branch.
• Pull fetches raw file via GitHub Contents API GET or raw URL, with PAT passed as Authorization: token {pat} header and SSH using private key for clone/push.</t>
  </si>
  <si>
    <t>• Must create or update file in correct repo/branch/path using GitHub Contents API PUT /repos/{owner}/{repo}/contents/{path} with base64-encoded file content
• Must return raw file bytes from correct branch and path on pull operation
• Must authenticate using PAT for cloud GitHub (github.com) and SSH for self-hosted instances without transmitting private key
• Must support self-hosted GitHub Enterprise with custom host field
• Must set commit message correctly on push operation
• Must persist git_config to git_config table and be retrievable on subsequent reads</t>
  </si>
  <si>
    <t>GitHub Copilot — GitHub REST API client
Claude — SHA fetch for update flow</t>
  </si>
  <si>
    <t>Spring Boot · Java · OkHttp · GitHub REST API v3 · JGit (SSH) · Base64</t>
  </si>
  <si>
    <t>Git (GitHub)
+ PostgreSQL</t>
  </si>
  <si>
    <t>git_config
[Git repo: file committed / fetched]</t>
  </si>
  <si>
    <t>Reads: git_config (host, owner, repo, auth_value decrypted).
Write: file committed to GitHub repo at specified branch + path.
Read: raw file bytes fetched from GitHub.</t>
  </si>
  <si>
    <t>INTERNAL — adapter, no HTTP endpoint.
Push: GitHub Contents API
  PUT /repos/{owner}/{repo}/contents/{path}
  Headers: Authorization: token {pat}
  Body: {message, content (base64), branch}
Pull: GET /repos/{owner}/{repo}/contents/{path}
  ?ref={branch}</t>
  </si>
  <si>
    <t>Push (CLAP) / Pull (ScriptBridge)
(internal)</t>
  </si>
  <si>
    <t>Implements the GitLab adapter (cloud and self-hosted) using the GitLab Files API, supporting push, pull, and file existence check operations.</t>
  </si>
  <si>
    <t>• Implements the GitLab adapter for cloud and self-hosted instances supporting push, pull, and file existence check operations.
• Push uses GitLab Files API POST/PUT /projects/{id}/repository/files/{path} with file content, commit message, and branch.
• Pull fetches raw file via Files API GET with raw=true, with PAT passed as PRIVATE-TOKEN header, SSH via JGit with private key, and self-hosted using custom host field.</t>
  </si>
  <si>
    <t>• Must create or update file in correct GitLab repo/branch/path using GitLab Files API POST/PUT /projects/{id}/repository/files/{path}
• Must return raw file bytes on pull operation
• Must use PAT auth header PRIVATE-TOKEN correctly for authentication
• Must support self-hosted GitLab with custom domain
• Must resolve project ID from owner/repo as GitLab API requires numeric ID for endpoints
• Must persist git_config to git_config table and be retrievable on subsequent reads</t>
  </si>
  <si>
    <t>GitHub Copilot — GitLab REST API client
Claude — project ID resolution logic</t>
  </si>
  <si>
    <t>Spring Boot · Java · OkHttp · GitLab REST API v4 · JGit (SSH) · URL encoding</t>
  </si>
  <si>
    <t>Git (GitLab)
+ PostgreSQL</t>
  </si>
  <si>
    <t>Reads: git_config (host, owner, repo, auth_value decrypted).
Write: file committed to GitLab at specified branch + path.
Read: raw file bytes fetched from GitLab.</t>
  </si>
  <si>
    <t>INTERNAL — adapter, no HTTP endpoint.
Push: GitLab Files API
  POST /projects/{id}/repository/files/{path}
  Headers: PRIVATE-TOKEN: {pat}
  Body: {branch, content, commit_message}
Pull: GET /projects/{id}/repository/files/{path}/raw
  ?ref={branch}</t>
  </si>
  <si>
    <t>↑ Push (Commit to Git)
/ CLAP artefact generation</t>
  </si>
  <si>
    <t>Implements the push operation used after code generation, calling the active Git provider adapter to commit the generated script file to the configured branch.</t>
  </si>
  <si>
    <t>• Implements the push operation used after code generation to commit the generated script file to the configured Git repository.
• GitBridgeService.push fetches git_config by ref, decrypts credential in memory, and delegates to the correct provider adapter via GitProviderFactory.
• The adapter commits the file to repo/branch/path with commit message and returns PushResult containing success status, commit SHA, and repository URL.</t>
  </si>
  <si>
    <t>• Must commit file to correct repo/branch/path for all supported providers after code generation
• Must return commit_sha and stamp it on journey.script_path by caller
• Must decrypt credential in-memory only within push scope and not assign outside push scope
• Must create branch if it does not exist via adapter
• Must update existing file at path via adapter if file already exists
• Must persist script_path to journey and artefact commit details to artefact table and be retrievable on subsequent reads</t>
  </si>
  <si>
    <t>BE-01 to BE-10</t>
  </si>
  <si>
    <t>GitHub Copilot — push service orchestration
Claude — large file fallback strategy</t>
  </si>
  <si>
    <t>Spring Boot · Java · IGitProvider · GitProviderFactory · AES-256 decrypt</t>
  </si>
  <si>
    <t>PostgreSQL
+ Git</t>
  </si>
  <si>
    <t>git_config
[Git repo: file committed]
artefact
journey (script_path)</t>
  </si>
  <si>
    <t>Reads: git_config (provider, host, owner, repo, auth_value → decrypted in-scope).
Writes: file to Git repo at branch + script_path.
Returns: {commit_sha} → caller stamps journey.script_path + artefact.pushed_to_git=true.</t>
  </si>
  <si>
    <t>INTERNAL — called by FR-019 BE-03 and FR-042 BE-09.
GitBridgeService.push(
  git_config_ref, file_content,
  branch, script_path, commit_message
) → Pusesult {success, commit_sha,
  script_path, committed_at}
No standalone HTTP endpoint.</t>
  </si>
  <si>
    <t>▶ Run Locally / ⚙ Run From Jenkins
(BE: ScriptBridge calls pull per journey)</t>
  </si>
  <si>
    <t>Implements the pull operation used by ScriptBridge at runtime, fetching the journey script file from Git using the journey's stored git_config_id and script_path.</t>
  </si>
  <si>
    <t>• Implements the pull operation used by ScriptBridge at runtime to fetch the journey script file from Git using the journey's stored git_config_id and script_path.
• GitBridgeService.pull fetches git_config by ref, decrypts credential in memory, and delegates to the correct adapter to fetch raw file bytes from repo/branch/path.
• Returns PullResult containing success status, file_bytes, and fetched_at timestamp for caller FR-042 BE-01 to execute.</t>
  </si>
  <si>
    <t>• Must return raw file bytes correctly for all supported providers using journey's stored git_config_id and script_path
• Must decrypt credential in-memory only within pull scope
• Must return PullResult {success: false, error: BRANCH_NOT_FOUND} for non-existent branch
• Must return PullResult {success: false, error: SCRIPT_NOT_FOUND} for non-existent script_path
• Must return PullResult with auth failure error on authentication failure</t>
  </si>
  <si>
    <t>GitHub Copilot — pull service + error handling
Claude — retry logic + error code mapping</t>
  </si>
  <si>
    <t>git_config
[Git repo: file fetched]</t>
  </si>
  <si>
    <t>Reads: git_config (provider, host, owner, repo, auth_value → decrypted in-scope).
Reads: raw file bytes from Git repo at branch + script_path.
No DB write — returns file_bytes to caller.</t>
  </si>
  <si>
    <t>INTERNAL — called by FR-042 BE-10 (ScriptBridge runtime).
GitBridgeService.pull(
  git_config_ref, branch, script_path
) → PullResult {success, file_bytes,
  fetched_at, error_code?}
Error codes: BRANCH_NOT_FOUND,
  SCRIPT_NOT_FOUND, AUTH_FAILURE,
  NETWORK_ERROR</t>
  </si>
  <si>
    <t>Git push event
(Git provider → ICE webhook)</t>
  </si>
  <si>
    <t>Exposes the POST /api/webhooks/git endpoint that receives push event notifications from all four Git providers, validating the HMAC-SHA256 signature on every request.</t>
  </si>
  <si>
    <t>• Exposes the POST /api/webhooks/git endpoint that receives push event notifications from all four Git providers.
• Validates the HMAC-SHA256 signature on every request using the signature in X-Hub-Signature-256 or X-Gitlab-Token header computed from request body and webhook_secret from git_config.
• Rejects requests with 401 if signatures do not match to ensure only authorized Git provider events are processed.</t>
  </si>
  <si>
    <t>• Must return 200 and process payload for valid HMAC signature verified using X-Hub-Signature-256 or X-Gitlab-Token header
• Must return 401 and not process payload for invalid HMAC signature
• Must return 401 for missing signature header
• Must parse payload correctly extracting repo, branch, and changed_files[]
• Must identify tenant correctly from webhook_secret
• Must be idempotent by rejecting or safely handling duplicate push event delivery</t>
  </si>
  <si>
    <t>GitHub Copilot — webhook receiver + HMAC validation</t>
  </si>
  <si>
    <t>Spring Boot · Spring MVC · javax.crypto (HMAC-SHA256) · Jackson</t>
  </si>
  <si>
    <t>PostgreSQL
+ Git (inbound)</t>
  </si>
  <si>
    <t>git_config
(webhook_secret lookup)</t>
  </si>
  <si>
    <t>Reads: git_config.webhook_secret to validate HMAC.
Passes parsed payload to BE-11 for flag update.
No write in this task — write handled by BE-11.</t>
  </si>
  <si>
    <t>ENDPOINT YOU CREATE:
POST /api/v1/webhooks/git
Headers: X-Hub-Signature-256 or
  X-Gitlab-Token
Body: Git provider push payload
Response 200: {received: true}
Response 401: {error: invalid_signature}
Validated via HMAC-SHA256(body, webhook_secret)</t>
  </si>
  <si>
    <t>Save Changes
(Settings › Git Config)</t>
  </si>
  <si>
    <t>Implements AES-256 encryption for Git credentials (PAT and SSH private key) stored in the git_config table, with the encryption key managed via AWS SSM.</t>
  </si>
  <si>
    <t>• Implements AES-256 encryption for Git credentials (PAT and SSH private key) stored in the git_config.auth_value column.
• Encryption key is managed via AWS SSM Parameter Store or HashiCorp Vault and never hardcoded in the application.
• On save auth_value is encrypted before DB write, and on use it is decrypted in memory only within the adapter call without persisting to any variable that outlives the operation.</t>
  </si>
  <si>
    <t>• Must encrypt auth_value using AES-256 at rest in git_config table
• Must fetch encryption key from AWS SSM Parameter Store or HashiCorp Vault and never hardcode in application or application.yml
• Must decrypt credential in-memory only within adapter call scope
• Must store SSH private key encrypted and only use public key for provider registration
• Must never log credential in plaintext or expose in API responses
• Must persist encrypted auth_value to git_config and be retrievable on subsequent reads</t>
  </si>
  <si>
    <t>GitHub Copilot — AES-256 encrypt/decrypt service
Claude — key rotation migration strategy</t>
  </si>
  <si>
    <t>Spring Boot · Java · AES-256 (javax.crypto) · AWS SSM Parameter Store · HashiCorp Vault</t>
  </si>
  <si>
    <t>git_config.auth_value: stored AES-256 encrypted.
Decrypted in-memory only during adapter operations.
Never returned in API response.</t>
  </si>
  <si>
    <t>INTERNAL — encryption service, no HTTP endpoint.
CredentialEncryptionService:
  encrypt(plaintext) → encrypted bytes
  decrypt(encrypted) → plaintext (in-scope only)
Key source: AWS SSM /ice/git/encryption-key
  or Vault secret/ice/git
Called by: Git Config CRUD API (FR-022 BE-01)</t>
  </si>
  <si>
    <t>Implements the Bitbucket adapter using the Bitbucket Repositories API, supporting push, pull, and file existence check operations.</t>
  </si>
  <si>
    <t>• Implements BitbucketAdapter with IGitProvider interface to integrate Bitbucket Repositories API for push, pull, and file existence operations.
• Push uses PUT /repositories/{workspace}/{repo}/src with multipart file upload; pull fetches raw file via GET /repositories/{workspace}/{repo}/raw/{branch}/{path}.
• Authentication uses Basic Auth with username and app_password credentials.</t>
  </si>
  <si>
    <t>• Must commit file correctly to Bitbucket repo/branch/path using PUT /repositories/{workspace}/{repo}/src
• Must return raw file bytes on pull operation
• Must authenticate using Basic Auth with workspace username and App Password
• Must handle multipart upload correctly for push operation
• Must persist git_config to git_config table and be retrievable on subsequent reads</t>
  </si>
  <si>
    <t>GitHub Copilot — Bitbucket REST API client</t>
  </si>
  <si>
    <t>Spring Boot · Java · OkHttp · Bitbucket REST API 2.0 · Basic Auth</t>
  </si>
  <si>
    <t>Git (Bitbucket)
+ PostgreSQL</t>
  </si>
  <si>
    <t>Reads: git_config (host, owner, repo, auth_value decrypted).
Write: file committed to Bitbucket at branch + path.
Read: raw file bytes fetched from Bitbucket.</t>
  </si>
  <si>
    <t>INTERNAL — adapter, no HTTP endpoint.
Push: Bitbucket Repositories API
  PUT /repositories/{workspace}/{repo}/src
  Auth: Basic {base64(user:app_password)}
Pull: GET /repositories/{workspace}/{repo}
  /raw/{branch}/{path}</t>
  </si>
  <si>
    <t>Implements the Azure DevOps adapter using the Azure DevOps Git Pushes API, supporting push, pull, and file existence check operations.</t>
  </si>
  <si>
    <t>• Implements AzureDevOpsAdapter with IGitProvider interface to integrate Azure DevOps Git Pushes API for push, pull, and file existence operations.
• Push uses POST /pushes with commit tree; pull fetches raw item via GET /items?path={path}&amp;version={branch}.
• Authentication uses PAT via Basic Auth with empty username and PAT as password.</t>
  </si>
  <si>
    <t>• Must commit file to correct Azure DevOps org/project/repo/branch using POST /pushes with commit tree
• Must return raw file bytes on pull via GET /items?path={path}&amp;version={branch}
• Must handle PAT Basic Auth with empty username correctly
• Must include project field in all Azure DevOps URL constructions
• Must add GB prefix to branch in version parameter
• Must persist git_config to git_config table and be retrievable on subsequent reads</t>
  </si>
  <si>
    <t>GitHub Copilot — Azure DevOps REST API client
Claude — commit tree structure for push</t>
  </si>
  <si>
    <t>Spring Boot · Java · OkHttp · Azure DevOps REST API · Basic Auth</t>
  </si>
  <si>
    <t>Git (Azure DevOps)
+ PostgreSQL</t>
  </si>
  <si>
    <t>Reads: git_config (owner, project, repo, auth_value decrypted).
Write: file committed to Azure DevOps at branch + path.
Read: raw file bytes fetched from Azure DevOps.</t>
  </si>
  <si>
    <t>INTERNAL — adapter, no HTTP endpoint.
Push: Azure DevOps Git Pushes API
  POST /{org}/{project}/_apis/git/
    repositories/{repo}/pushes
Pull: GET /_apis/git/repositories/{repo}
  /items?path={path}&amp;version=GB{branch}</t>
  </si>
  <si>
    <t>All Git operations
(preventive — always active)</t>
  </si>
  <si>
    <t>Implements credential masking across all Git operations, ensuring PATs and SSH keys never appear in application logs, API responses, or CI/CD outputs.</t>
  </si>
  <si>
    <t>• Implements credential masking safeguards ensuring Git credentials (PATs, SSH keys) never appear in logs, API responses, URLs, or CI/CD outputs.
• CredentialMaskingFilter is a Spring logging filter that replaces credential patterns with '***MASKED***' in all log output.
• API response serialisation always sets auth_value to masked placeholder in git_config serialiser.</t>
  </si>
  <si>
    <t>• Must mask credentials in all log levels (DEBUG, INFO, WARN, ERROR) using CredentialMaskingFilter
• Must return auth_value as '••••••••' in GET git_config API response
• Must pass Git auth via headers and never in URL
• Must verify CI/CD pipeline logs contain no credential strings
• Must pass automated test where injected known credential string is masked in logs and API responses</t>
  </si>
  <si>
    <t>GitHub Copilot — logging filter + serialiser
Claude — credential pattern detection regex</t>
  </si>
  <si>
    <t>Spring Boot · Logback (TurboFilter) · Jackson (custom serialiser) · Java</t>
  </si>
  <si>
    <t>Reads: git_config.auth_value (always masked in responses).
No write — prevention-only.</t>
  </si>
  <si>
    <t>INTERNAL — logging filter + serialiser, no HTTP endpoint.
CredentialMaskingFilter extends TurboFilter:
  replaces credential patterns → "***MASKED***"
AuthValueSerializer extends JsonSerializer:
  always writes "••••••••" regardless of value
URL builder: never includes auth in URL string.</t>
  </si>
  <si>
    <t>Git push event
(BE: flag update after webhook)</t>
  </si>
  <si>
    <t>BE-11</t>
  </si>
  <si>
    <t>After a validated webhook is received, matches the changed file paths in the push payload to journey.script_path records and sets automated_flag=true for each match.</t>
  </si>
  <si>
    <t>• Matches changed file paths from validated webhook push payload to journey.script_path records and sets automated_flag=true for matched journeys.
• Matching logic compares changed_files[] from payload with journey.script_path values using exact string match (case-sensitive).
• Branch from payload is compared to journey's configured branch before setting the flag.</t>
  </si>
  <si>
    <t>• Must match changed_files[] from webhook payload to journey.script_path using exact string comparison
• Must set journey.automated_flag = true for all matched journeys
• Must leave non-matched journeys unaffected
• Must only fire flag update for tracked branches (regression/smoke) and not feature branches
• Must be idempotent where setting true when already true causes no error or duplicate writes
• Must persist automated_flag to journey and be retrievable on subsequent reads</t>
  </si>
  <si>
    <t>BE-06, BE-08 (FR-023)</t>
  </si>
  <si>
    <t>GitHub Copilot — path matching + flag update
Claude — branch filter logic</t>
  </si>
  <si>
    <t>Spring Boot · Java · JPA · PostgreSQL</t>
  </si>
  <si>
    <t>journey</t>
  </si>
  <si>
    <t>journey.automated_flag = true for journeys where script_path matches a changed file path in the webhook payload AND branch is tracked.</t>
  </si>
  <si>
    <t>INTERNAL — called by BE-06 after signature validation.
Input: {repo, branch, changed_files[]}
Process:
  1. Filter: branch in tracked_branches?
  2. Match: journey.script_path IN changed_files
  3. Update: journey.automated_flag = true
No HTTP endpoint — internal to webhook handler.</t>
  </si>
  <si>
    <t>Settings › Git Config</t>
  </si>
  <si>
    <t>Test Connection
(Settings › Git Config)</t>
  </si>
  <si>
    <t>BE-12</t>
  </si>
  <si>
    <t>Implements the POST /api/v1/settings/git-configs/{id}/test endpoint that runs four sequential checks (host reachable, auth valid, repo accessible, write permission) and returns a structured result.</t>
  </si>
  <si>
    <t>• POST /api/v1/settings/git-configs/{id}/test endpoint executes 4 sequential validation checks against the Git provider.
• Check 1: Host reachable (HTTP response received); Check 2: Credentials valid (authentication accepted); Check 3: Repo exists (repo found under owner/project); Check 4: Read access (file listing returned).
• Returns validation results for each sequential check.</t>
  </si>
  <si>
    <t>• Must execute all 4 checks in sequence (host reachable, credentials valid, repo exists, branch exists) and report partial failure if any check fails
• Must return response including per-check {check, status, message}
• Must never include credentials in error messages or logs
• Must apply 10s timeout per check and report partial failure if check times out
• Must persist last_tested_at and last_test_status to git_config and be retrievable on subsequent reads</t>
  </si>
  <si>
    <t>BE-01 to BE-10; surfaced via FR-024 FE-06 (Re-test Button)</t>
  </si>
  <si>
    <t>GitHub Copilot — validation chain + per-check error messages</t>
  </si>
  <si>
    <t>Spring Boot · Java · IGitProvider · OkHttp · PostgreSQL</t>
  </si>
  <si>
    <t>PostgreSQL
+ Git (test call)</t>
  </si>
  <si>
    <t>Reads: git_config (all fields, auth_value decrypted in-scope).
Makes test API call to Git provider.
Writes: git_config.last_tested_at=now(), last_test_status=pass|fail.</t>
  </si>
  <si>
    <t>ENDPOINT YOU CREATE:
POST /api/v1/settings/git-configs/{id}/test
Response 200:
  {status: pass|fail,
   checks: [{check: host|credentials
     |repo|access,
     status: pass|fail,
     message: string}]}
Errors: 404 config not found</t>
  </si>
  <si>
    <t>Full pipeline E2E
(push → pull → webhook)</t>
  </si>
  <si>
    <t>Validates the full Git Bridge pipeline end-to-end: push a generated script, pull it back, trigger a webhook, and verify automated_flag is set correctly.</t>
  </si>
  <si>
    <t>• Validates full Git Bridge pipeline end-to-end including push generated script, pull it back, trigger webhook, and verify automated_flag.
• Test 1 (Push): Trigger CLAP generation, verify file committed to GitHub/GitLab at correct branch and path, verify commit_sha returned and journey.script_path stamped.
• Test 2 (Pull): Trigger ScriptBridge run and verify file fetched from Git correctly.</t>
  </si>
  <si>
    <t>• Must push file to Git repo at correct branch/path with ICE commit message after CLAP generation
• Must pull script from Git and execute it with results stored in InfluxDB
• Must set automated_flag = true within 5s after webhook push event is received
• Must test all 4 providers where applicable with GitHub and GitLab mandatory
• Must test self-hosted GitLab with custom host field
• Must persist script_path and automated_flag to journey, pushed_to_git to artefact, and test results to test_r table and be retrievable on subsequent reads</t>
  </si>
  <si>
    <t>BE-01 to BE-12</t>
  </si>
  <si>
    <t>None — E2E validation against real providers</t>
  </si>
  <si>
    <t>Playwright · TestNG · InfluxDB test client · GitHub API · GitLab API · PostgreSQL</t>
  </si>
  <si>
    <t>PostgreSQL
+ Git
+ InfluxDB</t>
  </si>
  <si>
    <t>git_config
journey (script_path, automated_flag)
artefact (pushed_to_git)
test_result (InfluxDB)</t>
  </si>
  <si>
    <t>E2E validates: file in Git repo, journey.script_path stamped, script executed, InfluxDB results present, journey.automated_flag=true after webhook.</t>
  </si>
  <si>
    <t>ENDPOINTS UNDER TEST:
POST /api/v1/settings/git-configs/{id}/test
Internal: GitBridgeService.push()
Internal: GitBridgeService.pull()
POST /api/v1/webhooks/git
Assert: Git repo state, DB fields,
  InfluxDB results, automated_flag.</t>
  </si>
  <si>
    <t>All Git operations
(security audit)</t>
  </si>
  <si>
    <t>Runs a security audit across all Git Bridge operations to confirm credentials never appear in logs, API responses, URLs, or CI/CD outputs.</t>
  </si>
  <si>
    <t>• Runs security audit to verify credentials never appear in logs, API responses, URLs, or CI/CD outputs across all ICE-Git Bridge operations.
• Test 1: Run push/pull/test-connection with DEBUG logging and scan full log output for PAT and SSH key substrings (expect zero matches).
• Test 2: GET git_config and verify auth_value equals '••••••••'; Test 3: Verify Git URLs contain no credential substrings.</t>
  </si>
  <si>
    <t>• Must return zero credential substrings in application logs at all log levels during push/pull/test-connection with DEBUG logging enabled
• Must return auth_value as '••••••••' in all GET git_config API responses
• Must construct Git URLs with no credential strings visible in the URL itself
• Must produce zero credential matches in CI/CD build log scans
• Must display auth failure error messages with no credential substring included</t>
  </si>
  <si>
    <t>BE-07, BE-10, INT-01</t>
  </si>
  <si>
    <t>None — security audit + log analysis</t>
  </si>
  <si>
    <t>Java · Logback · log grep tooling · REST Assured · CI/CD pipeline (GitHub Actions)</t>
  </si>
  <si>
    <t>Reads: git_config via API (verify masking).
Scans: application logs, HTTP call logs, CI/CD outputs.
Zero credential strings in any output.</t>
  </si>
  <si>
    <t>INTERNAL SECURITY TEST — no HTTP endpoint.
Test 1: grep logs for PAT/SSH substrings
Test 2: GET /settings/git-configs
  assert auth_value = "••••••••"
Test 3: HTTP interceptor logs
  assert no credentials in URLs
Test 4: CI/CD log scan
Test 5: trigger auth failure, check msg</t>
  </si>
  <si>
    <t>Generate BDD scripts for the journeys tests</t>
  </si>
  <si>
    <t>FR-019</t>
  </si>
  <si>
    <t>Generate code for selected
/ Generate per row
(BE: code generation pipeline)</t>
  </si>
  <si>
    <t>Orchestrates the BDD code generation pipeline for a selected set of journey TCs, coordinating CLAP calls for Gherkin, step definition, and class file generation.</t>
  </si>
  <si>
    <t>• Orchestrates BDD code generation pipeline for selected journey TCs, coordinating CLAP calls for Gherkin, step definition, and class file generation.
• Defines Artefact JPA entity with fields TC-ID, artefactType (GHERKIN/STEPDEF/CLASS), content, and pushedToGit (default NO).
• Coordinates the full generation workflow across multiple artefact types.</t>
  </si>
  <si>
    <t>• Must create exactly 3 artefact records per TC with artefactType values GHERKIN, STEPDEF, and CLASS
• Must default pushedToGit to NO on artefact insert
• Must complete batch save of 50 artefact sets in under 5 seconds
• Must populate TC-ID, artefactType, and content fields for each artefact
• Must persist all artefact records to artefact table and be retrievable on subsequent reads</t>
  </si>
  <si>
    <t>GitHub Copilot — generate entity + repository + batch save
Claude — all-or-nothing constraint design</t>
  </si>
  <si>
    <t>Spring Data JPA · PostgreSQL · @Transactional · Spring Boot</t>
  </si>
  <si>
    <t>artefact</t>
  </si>
  <si>
    <t>artefact: artefact_id, journey_id, tenant_id, artefact_type, file_name, content, ice_generated_at=now(), pushed_to_git=false, generated_by. Sets pushed_to_git=false on initial store.</t>
  </si>
  <si>
    <t>INTERNAL — artefact entity &amp; repository.
JPA entity: artefact table.
Called by: FR-017 BE-03 (saves artefact rows).
Also exposed via:
GET /api/v1/artefacts/{journey_id}
Response: {artefacts: [{artefact_id, type,
  file_name, content, ice_generated_at,
  pushed_to_git}]}</t>
  </si>
  <si>
    <t>Calls CLAP to generate the Gherkin .feature file for a journey TC, using the 9-field TC content as the generation context.</t>
  </si>
  <si>
    <t>• Calls CLAP to generate Gherkin .feature file for a journey TC using the 9-field TC content as generation context.
• pushedToGit flag is set to NO on artefact creation.
• Flag is updated to YES only on successful Git push (FR-019).</t>
  </si>
  <si>
    <t>• Must set pushedToGit flag to NO immediately after Gherkin artefact generation
• Must update pushedToGit flag to YES only after successful Git push confirmation
• Must update all 3 artefacts (GHERKIN, STEPDEF, CLASS) atomically when flag changes to YES
• Must reject partial updates if any of the 3 artefacts fails to update
• Must persist pushedToGit flag state to artefact table and be retrievable on subsequent reads</t>
  </si>
  <si>
    <t>FR-019 / BE-01</t>
  </si>
  <si>
    <t>GitHub Copilot — generate flag update service
Claude — atomic flag update design</t>
  </si>
  <si>
    <t>Spring Data JPA · @Transactional · PostgreSQL</t>
  </si>
  <si>
    <t>ENDPOINT YOU CREATE:
PATCH /api/v1/artefacts/{journey_id}/push-flag
Request: {pushed_to_git: bool,
  branch_name?, git_commit_sha?}
Response 200: {journey_id, pushed_to_git,
  pushed_at, automated_flag}
Called by: FR-019 BE-08 after Git push.
Sets automated_flag=true when all 3 artefacts
have pushed_to_git=true.</t>
  </si>
  <si>
    <t>→ FR-020 BE-01
ICE DB: artefact records written per tcId.
FR-020 BE-01 fetches artefacts for display + Git push.</t>
  </si>
  <si>
    <t>↻ Sync (Xray + ICE DB join)
(on Automate screen load)</t>
  </si>
  <si>
    <t>Syncs the Automate screen on load by joining journey data from Xray and the ICE DB to produce the combined journey list with automation status.</t>
  </si>
  <si>
    <t>• Syncs Automate screen on load by joining journey data from Xray and ICE DB to produce combined journey list with automation status.
• Proxies filter params to Xray API including project, module, type, status, and label.
• Supports selection of named Test Set as filter alternative to fetch TCs for selected suite.</t>
  </si>
  <si>
    <t>• Must apply all 5 filter parameters (project, module, type, status, label) individually and in combination
• Must return all TCs for the project when filter parameters are empty
• Must return ERR-015-XRAY-FILTER-FAILED when Xray API returns an error during filtering
• Must proxy all filter params to Xray API without modification
• Must join journey data from Xray and ICE DB artefact table to produce combined list with automation status</t>
  </si>
  <si>
    <t>GitHub Copilot — generate filter proxy + param builder</t>
  </si>
  <si>
    <t>READ
+ EXT READ</t>
  </si>
  <si>
    <t>PostgreSQL
+ Xray API</t>
  </si>
  <si>
    <t>journey
artefact
xray_config</t>
  </si>
  <si>
    <t>Reads: journey.xray_updated_at, artefact.ice_generated_at, artefact.pushed_to_git. Calls Xray API to refresh xray_updated_at. Computes status: Generated/Stale/Needs code.</t>
  </si>
  <si>
    <t>ENDPOINT YOU CREATE:
GET /api/v1/automate/journeys
Query params: project_key, module?, type?,
  status?, label?
Response 200:
  {journeys: [{journey_id, xray_key, name,
    type, status, labels}], total}
Proxies to Xray with tenant auth.</t>
  </si>
  <si>
    <t>↻ Sync / Generate code</t>
  </si>
  <si>
    <t>Resolves the automation status (Needs Code / Stale / Generated / Committed) for each journey based on artefact state and git push history.</t>
  </si>
  <si>
    <t>• Resolves automation status (Needs Code / Stale / Generated / Committed) for each journey based on artefact state and git push history.
• Compares xray_updated_at vs ice_generated_at per Journey ID to determine staleness.
• Status is recalculated as Stale if Xray updated after last code generation, recalculated on every sync.</t>
  </si>
  <si>
    <t>• Must return all TC-IDs in the suite when a Test Set is selected
• Must treat individual TC selection and Test Set selection as mutually exclusive in the same panel
• Must allow both individual TC and Test Set selection mechanisms to work within the same UI panel
• Must compare xray_updated_at vs ice_generated_at per Journey ID to determine staleness
• Must recalculate automation status (Needs Code / Stale / Generated / Committed) based on artefact state and git push history</t>
  </si>
  <si>
    <t>GitHub Copilot — generate Test Set lookup + TC fetch</t>
  </si>
  <si>
    <t>Spring Boot · ICE DB · Spring Data JPA</t>
  </si>
  <si>
    <t>Xray + ICE DB join on Journey ID. Code status computed at query time.</t>
  </si>
  <si>
    <t>ENDPOINT YOU CREATE:
POST /api/v1/automate/journeys/select
Request: {journey_ids: string[]}
Response 200:
  {selected: int, journeys: [{journey_id,
    name, xray_updated_at}]}
Stores selection in session for code gen.</t>
  </si>
  <si>
    <t>↻ Sync</t>
  </si>
  <si>
    <t>Calls Xray to pull the latest journey list and status for the tenant, refreshing the Automate screen data on demand.</t>
  </si>
  <si>
    <t>• Calls Xray to pull latest journey list and status for the tenant, refreshing Automate screen data on demand.
• REST endpoint triggers fresh Xray pull and ICE DB re-join operation.
• Called on page load and manual ↻ Sync action.</t>
  </si>
  <si>
    <t>• Must trigger a fresh Xray pull and ICE DB re-join operation when the REST endpoint is called
• Must execute Xray pull on Automate screen page load
• Must execute Xray pull on manual ↻ Sync action
• Must mark journey as Stale when xray_updated &gt; ice_generated
• Must block Stale rows from appearing on the Commit to Git screen
• Must clear Stale status on regeneration</t>
  </si>
  <si>
    <t>Spring Boot · timestamp comparison</t>
  </si>
  <si>
    <t>journey
artefact</t>
  </si>
  <si>
    <t>Stale detection: xray_updated_at &gt; ice_generated_at computed at query time. No stored flag.</t>
  </si>
  <si>
    <t>INTERNAL — stale detection logic.
Computes: xray_updated_at &gt; ice_generated_at
per Journey ID at query time.
Returns: code_status: Generated|Stale|Needs code
Called by: FR-015 BE-04 Sync Endpoint.
Not a standalone HTTP endpoint.</t>
  </si>
  <si>
    <t>Calls the ICE DB to pull the stored journey and artefact records, merging them with the Xray data for the Automate screen display.</t>
  </si>
  <si>
    <t>• Calls ICE DB to pull stored journey and artefact records, merging them with Xray data for Automate screen display.
• Single Xray API call fetches full test steps for all selected TC-IDs with auto-split at 100.
• Normalises Xray step fields to ICE internal format while preserving original step order.</t>
  </si>
  <si>
    <t>• Must return the updated journey list within 3 seconds of sync completion
• Must display sync timestamp after successful merge
• Must provide a manual sync action available to the user
• Must fetch full test steps for all selected TC-IDs with a single Xray API call when TC count is 100 or fewer
• Must auto-split Xray API calls at 100 TC-IDs when selection exceeds 100
• Must normalise Xray step fields to ICE internal format before merge
• Must persist merged journey records to journey table and be retrievable on subsequent reads</t>
  </si>
  <si>
    <t>Spring Boot · REST</t>
  </si>
  <si>
    <t>journey.xray_updated_at updated if Xray returns newer timestamp.</t>
  </si>
  <si>
    <t>ENDPOINT YOU CREATE:
POST /api/v1/automate/sync
Request: {}
Response 200:
  {journeys: [{journey_id, name, xray_key,
    xray_updated_at, ice_generated_at,
    code_status: Generated|Stale|Needs_code,
    artefact_count}], synced_at}
Errors: 503 Xray unavailable (return cached)</t>
  </si>
  <si>
    <t>Calls CLAP to generate the step definition file for a journey TC, using the generated Gherkin as the generation context.</t>
  </si>
  <si>
    <t>• Calls CLAP to generate step definition file for a journey TC using the generated Gherkin as generation context.
• Uses Gherkin artefact content as input to produce corresponding step definitions.
• Step definition generation follows Gherkin structure and scenario steps.</t>
  </si>
  <si>
    <t>• Must make one Xray API call for 100 or fewer TC-IDs
• Must auto-split into multiple API calls when TC-ID count exceeds 100
• Must return response in format { tcId, steps[] } per TC
• Must preserve step order from Xray in the returned steps array
• Must return ERR-016-EMPTY-STEP when any step has empty step text</t>
  </si>
  <si>
    <t>GitHub Copilot — generate batch fetch + split + merge logic
Claude — API limit strategy</t>
  </si>
  <si>
    <t>Xray REST API · Spring Boot · Spring WebClient · Spring Retry</t>
  </si>
  <si>
    <t>EXT READ</t>
  </si>
  <si>
    <t>Xray API</t>
  </si>
  <si>
    <t>[in-memory — step data
passed to FR-016]</t>
  </si>
  <si>
    <t>Fetches full test step details for selected Journey IDs from Xray in a single batched API call. Result passed to CLAP for code generation. No DB write.</t>
  </si>
  <si>
    <t>ENDPOINT YOU CREATE:
POST /api/v1/automate/steps/fetch
Request: {journey_ids: string[]}
Response 200:
  {steps: [{journey_id, steps: [{step_id,
    action, expected_result, order}]}]}
Batch fetches all steps from Xray in one call.
Errors: 400 empty journey_ids,
  503 Xray unavailable</t>
  </si>
  <si>
    <t>Calls CLAP to generate the page object class file for a journey TC, using the step definitions as the generation context.</t>
  </si>
  <si>
    <t>• Calls CLAP to generate page object class file for a journey TC using the step definitions as generation context.
• Uses step definition artefact content as input to produce corresponding page object classes.
• Page object generation maps step definitions to reusable UI interaction methods.</t>
  </si>
  <si>
    <t>• Must map all Xray step fields to ICE internal format
• Must preserve step order from Xray during mapping
• Must return ERR-016-EMPTY-STEP when step text is empty
• Must pass normalised step data in-memory to FR-016 without database write</t>
  </si>
  <si>
    <t>FR-020 / BE-01</t>
  </si>
  <si>
    <t>GitHub Copilot — generate step normaliser
Claude — empty step detection design</t>
  </si>
  <si>
    <t>Spring Boot · Jackson · Java</t>
  </si>
  <si>
    <t>INTERNAL — step data normaliser.
Normalises Xray step format to ICE step format.
Removes HTML tags from action/expected fields.
Called inside FR-016 BE-01 before returning.
Not a standalone HTTP endpoint.</t>
  </si>
  <si>
    <t>→ FR-019 BE-01
session.tcSteps[tcId] = [ { stepOrder, action, expectedResult } ]
FR-019 BE-01 (Test Step Validator) reads and validates before generation.</t>
  </si>
  <si>
    <t>Stores the generated Gherkin, step definition, and class file as artefact records in the ICE DB, keyed by journey ID.</t>
  </si>
  <si>
    <t>• Validates normalised Xray steps before prompt construction to ensure completeness.
• Flags any missing or empty steps in the normalised test case data.
• Prevents malformed prompts from being sent to the LLM generation pipeline.</t>
  </si>
  <si>
    <t>• Must validate normalised Xray steps for completeness before prompt construction
• Must return ERR-017-EMPTY-STEP when any step is empty
• Must return ERR-017-MISSING-PRECONDITION when precondition is missing
• Must allow valid steps to pass through validation
• Must flag missing or empty steps in the normalised test case data to prevent malformed prompts
• Must persist generated artefacts (Gherkin, step definition, class file) to artefact table keyed by journey ID and be retrievable on subsequent reads</t>
  </si>
  <si>
    <t>GitHub Copilot — generate step validator
Claude — validation rule design</t>
  </si>
  <si>
    <t>artefact: artefact_id, journey_id, tenant_id, artefact_type (gherkin/step_def/class_file), file_name, content, ice_generated_at=now(), pushed_to_git=false, generated_by.
3 rows per journey.</t>
  </si>
  <si>
    <t>INTERNAL — test step validator.
Validates steps before CLAP prompt build:
  min 1 step per journey, no empty actions.
Returns: {valid, errors}.
Called by: FR-017 BE-02.
Not a standalone HTTP endpoint.</t>
  </si>
  <si>
    <t>Marks generated artefacts as stale when the source TC content changes after generation, flagging them for regeneration.</t>
  </si>
  <si>
    <t>• Builds the LLM prompt by combining test steps, target framework, language, and project configuration.
• Sources project config from tenant settings stored in the ICE DB.
• Formats the prompt according to the selected automation framework and programming language.</t>
  </si>
  <si>
    <t>• Must include test steps, framework, language, and page object pattern in the constructed LLM prompt
• Must source project configuration from tenant settings stored in the ICE DB
• Must format the prompt according to the selected automation framework and programming language
• Must allow prompt template to be admin-configurable
• Must log the constructed prompt for audit purposes
• Must persist artefact records to artefact table and be retrievable on subsequent reads</t>
  </si>
  <si>
    <t>GitHub Copilot — generate prompt builder
Claude — framework-specific prompt template design</t>
  </si>
  <si>
    <t>Spring Boot · Mustache · AWS SSM</t>
  </si>
  <si>
    <t>INTERNAL — automation prompt builder.
Builds CLAP prompt from: journey steps +
  target framework (Selenium/Playwright) +
  language (Java/JS) + page object config.
Called by: FR-017 BE-03/BE-08/BE-09.
Not a standalone HTTP endpoint.</t>
  </si>
  <si>
    <t>Handles parallel code generation for multiple selected journeys, managing concurrency within the tenant's agent pool limit.</t>
  </si>
  <si>
    <t>• Generates a Gherkin .feature file from test steps via the LLM.
• Validates the generated Gherkin for structural completeness including scenarios and steps.
• Outputs a syntactically valid Gherkin file ready for storage as an artefact.</t>
  </si>
  <si>
    <t>• Must return syntactically valid Gherkin with Feature and Scenario elements for each TC
• Must validate generated Gherkin for structural completeness including scenarios and steps
• Must trigger a nudge retry when Feature or Scenario is missing from generated Gherkin
• Must allow a maximum of 2 nudge retries before failing
• Must return ERR-017-GHERKIN-FAILED after 2 failed nudge retries
• Must persist generated Gherkin artefact to artefact table and be retrievable on subsequent reads</t>
  </si>
  <si>
    <t>FR-019 / BE-02</t>
  </si>
  <si>
    <t>GitHub Copilot — generate Gherkin parser + validator
Claude — nudge prompt design</t>
  </si>
  <si>
    <t>Spring AI · Spring Boot · Spring Retry</t>
  </si>
  <si>
    <t>ENDPOINT YOU CREATE:
POST /api/v1/automate/generate
Request: {journey_ids: string[]}
Response 200 (SSE stream):
  event: artefact_generated
  data: {journey_id, artefact_type:
         gherkin|step_def|class_file,
         file_name, content}
  event: generation_complete
  data: {total, generated, failed}
Errors: 400 no journeys selected</t>
  </si>
  <si>
    <t>Validates that all three artefacts (Gherkin, step definition, class file) are generated and stored before marking a journey as Ready to Push.</t>
  </si>
  <si>
    <t>• Generates a Step Definition file from the Gherkin steps using the LLM.
• Matches the framework and language settings from the project configuration.
• Produces step definitions that map to each Given/When/Then statement in the Gherkin.</t>
  </si>
  <si>
    <t>• Must generate a step definition for every Given/When/Then statement in the Gherkin file
• Must apply correct annotations matching the target framework specified in project configuration
• Must map each step definition method to its corresponding Gherkin statement with matching text and parameters
• Must return ERR-017-UNMATCHED-STEP when a Gherkin step cannot be mapped to a valid step definition
• Must reject step definitions with missing or malformed annotations for the selected framework
• Must persist the generated step definition file to artefact and be retrievable on subsequent reads</t>
  </si>
  <si>
    <t>FR-019 / BE-03</t>
  </si>
  <si>
    <t>GitHub Copilot — generate step def stubs
Claude — regex step parameter design</t>
  </si>
  <si>
    <t>Spring AI · Spring Boot · Java / TypeScript</t>
  </si>
  <si>
    <t>INTERNAL — step definition generator.
Generates Java/JS step def file from Gherkin.
Called inside FR-017 BE-03 generate handler.
Output stored as artefact_type=step_def.
Not a standalone HTTP endpoint.</t>
  </si>
  <si>
    <t>BE-13</t>
  </si>
  <si>
    <t>Resolves naming conflicts when generated class or step definition names clash with existing files in the Git repository.</t>
  </si>
  <si>
    <t>• Generates a test runner class file per test case, one file per TC-ID.
• Uses the project framework and language settings to format the class file.
• Outputs a complete class file ready to execute the generated test scenario.</t>
  </si>
  <si>
    <t>• Must generate one test runner class file per TC-ID
• Must include correct imports and annotations matching the project framework and language settings
• Must produce a class file that compiles without modification or syntax errors
• Must format the class file according to the conventions of the selected framework and language
• Must reject generation if framework or language configuration is missing or invalid
• Must persist the generated runner class file to artefact and be retrievable on subsequent reads</t>
  </si>
  <si>
    <t>FR-019 / BE-08</t>
  </si>
  <si>
    <t>GitHub Copilot — generate class file stubs
Claude — base class integration design</t>
  </si>
  <si>
    <t>INTERNAL — class file generator.
Generates Page Object class file.
Called inside FR-017 BE-03 generate handler.
Output stored as artefact_type=class_file.
Not a standalone HTTP endpoint.</t>
  </si>
  <si>
    <t>→ FR-019 BE-01
session.artefacts[tcId] = {
  gherkin (.feature text),
  stepDef (.java text),
  classFile (.java text)
}
FR-019 BE-01 validates Gherkin structure of generated artefacts.</t>
  </si>
  <si>
    <t>BE-14</t>
  </si>
  <si>
    <t>Supports regeneration of individual artefact types without regenerating all three, allowing targeted updates to Gherkin, step defs, or class files.</t>
  </si>
  <si>
    <t>• Validates that every Given/When/Then statement in the Gherkin has a matching step definition.
• Checks for orphaned Gherkin steps without corresponding step definition methods.
• Flags validation errors when step definitions are incomplete or missing.</t>
  </si>
  <si>
    <t>• Must validate that every Given/When/Then statement in the Gherkin has a matching step definition method
• Must flag orphaned Gherkin steps that lack corresponding step definition methods
• Must return ERR-018-UNMATCHED-STEP when one or more steps cannot be matched
• Must include the unmatched step text in the validation report when validation fails
• Must pass validation when all Gherkin steps have corresponding step definitions</t>
  </si>
  <si>
    <t>GitHub Copilot — generate step matcher
Claude — whitespace normalisation design</t>
  </si>
  <si>
    <t>Spring Boot · Java · regex</t>
  </si>
  <si>
    <t>PostgreSQL
(in-memory)</t>
  </si>
  <si>
    <t>[generated artefact content
before write]</t>
  </si>
  <si>
    <t>Validates Gherkin structure, step def completeness, class file syntax before artefact rows are written. On fail: generation error returned to FE; no artefact write.</t>
  </si>
  <si>
    <t>INTERNAL — step def completeness validator.
Checks: all Gherkin steps have matching
  @Given/@When/@Then annotations in step def.
Called after FR-017 BE-08 generates step def.
Returns: {valid, missing_steps: [string]}.
Not a standalone HTTP endpoint.</t>
  </si>
  <si>
    <t>BE-15</t>
  </si>
  <si>
    <t>Tracks generation history per journey, storing each generation event with timestamp, CLAP model used, and output size for audit purposes.</t>
  </si>
  <si>
    <t>• Performs a basic syntax check on the generated class file including balanced braces and valid imports.
• Ensures the class file is syntactically correct before storage.
• Flags syntax errors if braces are unbalanced or imports are malformed.</t>
  </si>
  <si>
    <t>• Must perform a syntax check on the generated class file before storage
• Must validate that all braces are balanced in the class file
• Must validate that all imports in the class file are syntactically correct
• Must return ERR-018-SYNTAX-ERROR when braces are unbalanced
• Must return ERR-018-INVALID-IMPORT when an import statement is malformed
• Must pass validation when the class file is syntactically correct</t>
  </si>
  <si>
    <t>GitHub Copilot — generate syntax checker
Claude — comment-aware parsing strategy</t>
  </si>
  <si>
    <t>Spring Boot · Java · JavaParser / regex</t>
  </si>
  <si>
    <t>INTERNAL — class file syntax checker.
Basic check: balanced braces {}, valid imports.
Called after FR-017 BE-09 generates class file.
Returns: {valid, errors: [string]}.
Not a standalone HTTP endpoint.</t>
  </si>
  <si>
    <t>→ FR-019 BE-01
Validated artefact set { gherkin, stepDef, classFile } per tcId.
FR-019 BE-01 persists to ICE DB with pushedToGit = NO.</t>
  </si>
  <si>
    <t>Automate screen display</t>
  </si>
  <si>
    <t>Renders the Automate screen with the journey list, automation status badges, and generation action buttons.</t>
  </si>
  <si>
    <t>• Renders the full Automate screen layout including stats row, journey table, and action buttons.
• Displays stats: Total journeys, Code generated, Needs code, and Stale counts.
• Shows the empty state when no source is selected and the result notice bar after code generation.</t>
  </si>
  <si>
    <t>• Must render the stats row with accurate counts for Total journeys, Code generated, Needs code, and Stale after a source is selected
• Must render the journey table with correct columns and code_status badges reflecting current generation state
• Must display the empty state with instructional text when no source is selected
• Must show the legend bar with correct status definitions for Needs code, Generated, and Stale
• Must display the result notice bar after generation completes showing success or error count</t>
  </si>
  <si>
    <t>v0.dev — generate filter panel + result list
GitHub Copilot — filter state + Test Set dropdown</t>
  </si>
  <si>
    <t>Renders merged Xray+ICE DB table. Stats: Total/Generated/Needs code/Stale. Filter toggles.</t>
  </si>
  <si>
    <t>ENDPOINT YOU CALL (defined in FR-015 BE-01):
GET /api/v1/automate/journeys
Render 5-filter panel. On filter change:
  debounce 400ms → call GET /automate/journeys.
Also call after journey selection:
POST /api/v1/automate/journeys/select
  (FR-015 BE-02)</t>
  </si>
  <si>
    <t>Pull from Xray</t>
  </si>
  <si>
    <t>Renders the Pull from Xray filter pill, loading journeys sourced from the Xray connection when selected.</t>
  </si>
  <si>
    <t>• Renders the 'Pull from Xray' pill button in the source selector bar.
• On click sets source=xray and calls the Sync endpoint (BE-04) to fetch journeys from Xray.
• Populates the journey table with Xray-sourced journeys after the sync completes.</t>
  </si>
  <si>
    <t>• Must render the 'Pull from Xray' pill button in the source selector bar
• Must set source=xray and trigger a sync via BE-04 when the pill is clicked
• Must populate the journey table with Xray-sourced journeys after the sync completes
• Must update the count badge to reflect the total number of journeys fetched from Xray
• Must deselect the 'Pull from ICE' pill when 'Pull from Xray' becomes the active source</t>
  </si>
  <si>
    <t>FR-019 / BE-04</t>
  </si>
  <si>
    <t>READ + EXT READ</t>
  </si>
  <si>
    <t>PostgreSQL + Xray API</t>
  </si>
  <si>
    <t>journey · artefact</t>
  </si>
  <si>
    <t>journey_id, xray_key, code_status</t>
  </si>
  <si>
    <t>ENDPOINT YOU CALL (FR-019 BE-04):
POST /api/v1/automate/sync
On success: render journey rows with code_status badges.</t>
  </si>
  <si>
    <t>Pull from ICE</t>
  </si>
  <si>
    <t>Renders the Pull from ICE filter pill, loading journeys sourced from the ICE DB when selected.</t>
  </si>
  <si>
    <t>• Renders the 'Pull from ICE' pill button in the source selector bar.
• On click sets source=ice and fetches journeys saved to ICE DB via Save &amp; Proceed where JS_SAVED=true.
• Populates the journey table with ICE-sourced journeys without requiring a push to Xray.</t>
  </si>
  <si>
    <t>• Must render the 'Pull from ICE' pill button in the source selector bar
• Must set source=ice and fetch journeys saved to ICE DB where JS_SAVED=true when the pill is clicked
• Must populate the journey table with ICE-sourced journeys displaying the ICE badge
• Must deselect the 'Pull from Xray' pill when 'Pull from ICE' becomes the active source
• Must update the count badge to show the number of ICE journeys
• Must function correctly without requiring an active Xray connection</t>
  </si>
  <si>
    <t>journey_id, code_status, ice_generated_at</t>
  </si>
  <si>
    <t>ENDPOINT YOU CALL (FR-019 BE-04):
POST /api/v1/automate/sync
Filter: source=ice
Render journey rows with ICE badge.</t>
  </si>
  <si>
    <t>Needs code (filter pill)</t>
  </si>
  <si>
    <t>Renders the Needs Code filter pill that narrows the journey list to journeys without any generated artefacts.</t>
  </si>
  <si>
    <t>• Renders the 'Needs code' filter pill in the status filter bar.
• On click filters the journey table to show only journeys where code_status=Needs_code.
• Displays a count badge showing the number of journeys matching the filter.</t>
  </si>
  <si>
    <t>• Must render the 'Needs code' filter pill in the status filter bar with an accurate count badge
• Must filter the journey table to show only journeys where code_status=Needs_code when the pill is clicked
• Must display the pill in a visually active state when selected
• Must deselect the filter and show all journeys when the pill is clicked again
• Must work correctly in combination with the active source selector (Xray or ICE)</t>
  </si>
  <si>
    <t>code_status filter: Needs_code</t>
  </si>
  <si>
    <t>Client-side filter on loaded journey data.
No separate API call — filters in-memory result from sync.</t>
  </si>
  <si>
    <t>Stale (filter pill)</t>
  </si>
  <si>
    <t>Renders the Stale filter pill that narrows the journey list to journeys with generated artefacts that have become stale due to TC changes.</t>
  </si>
  <si>
    <t>• Renders the 'Stale' filter pill in the status filter bar.
• On click filters the journey table to show only journeys where code_status=Stale.
• Displays a count badge showing the number of stale journeys with outdated artefacts.</t>
  </si>
  <si>
    <t>• Must render the 'Stale' filter pill in the status filter bar with an accurate count badge
• Must filter the journey table to show only journeys where code_status=Stale when the pill is clicked
• Must display the pill in a visually active amber state when selected
• Must deselect the filter and show all journeys when the pill is clicked again
• Must work correctly in combination with the active source selector (Xray or ICE)
• Must persist updated stale status to artefact and be retrievable on subsequent reads</t>
  </si>
  <si>
    <t>Cursor AI — mockup scaffold</t>
  </si>
  <si>
    <t>FE calls generate code API. 3 artefact rows written per journey. On regen: content + ice_generated_at updated, pushed_to_git reset to false.</t>
  </si>
  <si>
    <t>ENDPOINT YOU CALL (defined in FR-015 BE-04):
POST /api/v1/automate/sync
Call on screen load and on ↻ Sync click.
Show source bar with synced_at timestamp.
Render merged table with code_status badges:
  Generated=green, Stale=amber, Needs_code=grey.
Stale rows: show Regen action.
Needs_code rows: show Generate action.</t>
  </si>
  <si>
    <t>Renders the Sync button that triggers BE-03 to refresh the Automate screen data from both Xray and the ICE DB.</t>
  </si>
  <si>
    <t>• Renders the '↻ Sync' button in the Automate screen header.
• On click triggers a fresh Xray pull and ICE DB re-join via the Sync endpoint (BE-04).
• Updates the sync timestamp label and refreshes the journey table with latest data.</t>
  </si>
  <si>
    <t>• Must render the '↻ Sync' button in the Automate screen header
• Must trigger POST /automate/sync to refresh data from both Xray and ICE DB when the button is clicked
• Must update the sync timestamp label to the current time after sync completes
• Must refresh the journey table with updated code_status values after sync
• Must flag stale journeys with amber status when Xray data has been updated since last generation
• Must display a spinner or loading indicator during the sync operation</t>
  </si>
  <si>
    <t>xray_updated_at, ice_generated_at, code_status</t>
  </si>
  <si>
    <t>ENDPOINT YOU CALL (FR-019 BE-04):
POST /api/v1/automate/sync
On success: re-render table + update sync timestamp label.</t>
  </si>
  <si>
    <t>Select all</t>
  </si>
  <si>
    <t>Renders the Select All checkbox that selects all visible journeys in the current filter view for bulk generation.</t>
  </si>
  <si>
    <t>• Renders the 'Select all' button in the bulk action bar.
• On click selects all visible journey checkboxes in the current filtered view.
• Enables the 'Generate code for selected' button when one or more rows are selected.</t>
  </si>
  <si>
    <t>• Must render the 'Select all' button in the bulk action bar
• Must select all visible journey checkboxes in the current filtered view when clicked
• Must enable the 'Generate code for selected' button when one or more rows are selected
• Must update the selected count when any individual row is deselected
• Must deselect all rows when 'Select all' is clicked again while all rows are already selected
• Must work correctly when active filters are applied to the journey table</t>
  </si>
  <si>
    <t>session journey selection</t>
  </si>
  <si>
    <t>selected journey_ids[]</t>
  </si>
  <si>
    <t>No API call. Client-side checkbox state management.
Updates selected journey_ids[] in component state.</t>
  </si>
  <si>
    <t>Generate code for selected</t>
  </si>
  <si>
    <t>Renders the Generate Code for Selected button that calls BE-01 for all selected journeys and shows a per-journey progress indicator.</t>
  </si>
  <si>
    <t>• Renders the 'Generate code for selected' button in the bulk action bar.
• On click sends all selected journey IDs to the code generation pipeline via FR-020 batch step fetch and FR-019 BE validators.
• Shows progress per journey as CLAP generation processes each selected test case.</t>
  </si>
  <si>
    <t>• Must render the 'Generate code for selected' button in the bulk action bar
• Must enable the button only when one or more journeys are selected
• Must send all selected journey IDs to the code generation pipeline via FR-020 batch step fetch and FR-019 BE validators when clicked
• Must display per-journey progress as CLAP generation executes for each selected journey
• Must update code_status to Generated for each journey that completes successfully
• Must display error messages with retry option for journeys that fail generation
• Must persist generated artefacts to artefact and be retrievable on subsequent reads</t>
  </si>
  <si>
    <t>FR-019 / FE-07, FR-020 / BE-01, FR-019 / BE-01</t>
  </si>
  <si>
    <t>Cursor AI — progress indicator component</t>
  </si>
  <si>
    <t>artefact: gherkin, step_def, class_file written per journey</t>
  </si>
  <si>
    <t>ENDPOINTS YOU CALL:
1. POST /api/v1/automate/steps/fetch (FR-020 BE-01)
   Body: {journey_ids: [selected IDs]}
2. POST /api/v1/automate/generate (FR-019 BE-03)
   Body: {journey_ids, framework}
On complete: refresh table rows to Generated status.</t>
  </si>
  <si>
    <t>Generate / Regen (per row in table)</t>
  </si>
  <si>
    <t>Renders the per-row Generate and Regenerate buttons that trigger code generation for a single journey from the table row.</t>
  </si>
  <si>
    <t>• Renders a per-row 'Generate' or 'Regen' button in the journey table based on code_status.
• 'Generate' is shown for Needs_code rows, 'Regen' is shown for Stale rows, and a disabled 'Generate' button is shown for Generated rows.
• Both 'Generate' and 'Regen' trigger single-journey code generation via the same pipeline.</t>
  </si>
  <si>
    <t>• Must render a 'Generate' button for rows where code_status = Needs_code
• Must render an amber 'Regen' button for rows where code_status = Stale
• Must render a disabled 'Generate' button for rows where code_status = Generated
• Must call the same generation pipeline for both 'Generate' and 'Regen' actions for the single journey
• Must update row code_status to Generated on successful generation
• Must re-enable the button with error state on generation failure
• Must persist the updated code_status to artefact and be retrievable on subsequent reads</t>
  </si>
  <si>
    <t>FR-019 / FE-01</t>
  </si>
  <si>
    <t>ENDPOINTS YOU CALL:
1. POST /api/v1/automate/steps/fetch (FR-020 BE-01)
   Body: {journey_ids: [single ID]}
2. POST /api/v1/automate/generate (FR-019 BE-03)
   Body: {journey_ids: [single ID], framework}
On complete: update single row to Generated.</t>
  </si>
  <si>
    <t>🔀 Commit to Git →</t>
  </si>
  <si>
    <t>FE-10</t>
  </si>
  <si>
    <t>Renders the Commit to Git navigation button in the Automate screen footer, navigating to the Commit to Git screen.</t>
  </si>
  <si>
    <t>• Renders the 'Commit to Git →' navigation button in the Automate screen footer.
• The button is enabled only when ≥1 journey has code_status=Generated.
• On click, the button navigates the user to the Commit to Git screen.</t>
  </si>
  <si>
    <t>• Must render the 'Commit to Git →' navigation button in the Automate screen footer
• Must disable and grey the button when no journeys have code_status = Generated
• Must enable the button when ≥1 journey has code_status = Generated
• Must not enable the button for journeys with code_status = Needs_code or Stale
• Must navigate to the Commit to Git screen on click when enabled</t>
  </si>
  <si>
    <t>code_status=Generated gate check</t>
  </si>
  <si>
    <t>No API call. Reads code_status from loaded journey data.
On click: go(3) — navigate to Commit to Git screen.</t>
  </si>
  <si>
    <t>↻ Sync + Generate code</t>
  </si>
  <si>
    <t>Validates the Sync flow: Xray and ICE DB data joined, journey list rendered with correct automation status badges.</t>
  </si>
  <si>
    <t>• Validates the Sync flow by joining Xray and ICE DB data to render the journey list with correct automation status badges.
• Applies various filter combinations to verify correct TC lists are returned.
• Confirms that the journey table displays accurate code_status and automation badges after sync.</t>
  </si>
  <si>
    <t>• Must join Xray and ICE DB data to render the journey list with correct automation status badges
• Must return correct TC subsets for all filter combinations
• Must load correct TCs when a Test Set is selected
• Must handle empty result sets gracefully without error
• Must persist the joined journey data to journey and be retrievable on subsequent reads</t>
  </si>
  <si>
    <t>FR-019 / All BE + FE</t>
  </si>
  <si>
    <t>Playwright AI — generate filter E2E scenarios
Postman AI — generate Xray filter API tests</t>
  </si>
  <si>
    <t>E2E: edit in Xray → sync → verify Stale → regen → verify Generated. Timestamps correct in ICE DB.</t>
  </si>
  <si>
    <t>ENDPOINTS UNDER TEST:
GET  /api/v1/automate/journeys
POST /api/v1/automate/journeys/select
Test: filter by module → correct journeys.
Test: select journeys → stored in session.</t>
  </si>
  <si>
    <t>Generate code E2E</t>
  </si>
  <si>
    <t>Validates the Generate Code flow: journeys selected, CLAP called for all three artefact types, artefacts stored, and status updated to Ready to Push.</t>
  </si>
  <si>
    <t>• Validates the Generate Code flow end-to-end: journeys selected, CLAP called for all three artefact types, artefacts stored, and status updated to Ready to Push.
• Tests regeneration by editing J-001 in Xray, syncing to verify Stale status, regenerating code, and verifying Generated status.
• Verifies ICE DB timestamps are correctly updated throughout the generation and regeneration lifecycle.</t>
  </si>
  <si>
    <t>• Must call CLAP for all three artefact types when journeys are selected for generation
• Must store all generated artefacts and update status to Ready to Push
• Must detect Stale status after a journey is edited in Xray and synced
• Must clear Stale status on successful regeneration
• Must record correct timestamps for generation and regeneration events
• Must persist all generated artefacts to artefact and be retrievable on subsequent reads</t>
  </si>
  <si>
    <t>FE-02,BE-03 to BE-04</t>
  </si>
  <si>
    <t>Playwright · TestNG</t>
  </si>
  <si>
    <t>3 artefact rows per journey: gherkin, step_def, class_file. ice_generated_at set. pushed_to_git=false.</t>
  </si>
  <si>
    <t>ENDPOINT UNDER TEST:
POST /api/v1/automate/sync
Test: edit journey in Xray → sync → code_status
  = Stale for that journey.
Test: regen → code_status = Generated.</t>
  </si>
  <si>
    <t>Generate code for selected
/ Generate per row
(INT: code generation pipeline)</t>
  </si>
  <si>
    <t>INT-03</t>
  </si>
  <si>
    <t>Validates parallel generation for multiple journeys within the agent pool concurrency limit.</t>
  </si>
  <si>
    <t>• Validates parallel generation for multiple journeys within the agent pool concurrency limit.
• Selects 150 TCs and verifies automatic split into batches.
• Confirms all steps are returned correctly for each journey in the batch.</t>
  </si>
  <si>
    <t>• Must split 150 selected TCs into 2 API calls with batch sizes of 100 and 50
• Must return all steps correctly for each journey in the batch
• Must normalise all returned steps for consistent structure
• Must preserve step order per TC across batches
• Must respect agent pool concurrency limits during parallel generation</t>
  </si>
  <si>
    <t>FR-020 / All BE</t>
  </si>
  <si>
    <t>Playwright AI — generate batch fetch E2E
Postman AI — generate Xray step API tests</t>
  </si>
  <si>
    <t>ENDPOINT UNDER TEST:
POST /api/v1/automate/steps/fetch
Test: 5 journey_ids → all steps returned.
Test: Xray unavailable → 503 with message.
Test: HTML in step text → stripped correctly.</t>
  </si>
  <si>
    <t>INT-04</t>
  </si>
  <si>
    <t>Validates stale detection: TC content changed after generation, artefacts marked stale, Stale filter shows them correctly.</t>
  </si>
  <si>
    <t>• Validates stale detection when TC content is changed after code generation.
• Confirms artefacts are marked as stale in the ICE DB when upstream Xray content changes.
• Verifies the Stale filter correctly displays journeys with stale artefacts.</t>
  </si>
  <si>
    <t>• Must generate all 3 artefact types per TC
• Must produce structurally valid Gherkin for each TC
• Must generate Step Defs that match all Gherkin steps
• Must mark artefacts as stale in the ICE DB when upstream Xray content changes after generation
• Must display journeys with stale artefacts correctly when the Stale filter is applied
• Must set pushed_to_git flag to NO for all generated artefacts
• Must persist stale flags and pushed_to_git status to artefact and be retrievable on subsequent reads</t>
  </si>
  <si>
    <t>FR-019 / All BE</t>
  </si>
  <si>
    <t>Playwright AI — generate script gen E2E
Claude — generate TC inputs exercising all step types</t>
  </si>
  <si>
    <t>ENDPOINT UNDER TEST:
POST /api/v1/automate/generate
Test: 3 journeys → 9 artefact files (3×3)
  streamed via SSE events.
Test: all 3 artefact types present per journey.</t>
  </si>
  <si>
    <t>INT-05</t>
  </si>
  <si>
    <t>Validates regeneration: individual artefact type regenerated without affecting the other two artefact types for the same journey.</t>
  </si>
  <si>
    <t>• Validates regeneration of individual artefact types without affecting the other two artefact types for the same journey.
• Simulates LLM failures, empty steps, and unmatched steps during artefact generation.
• Verifies ERR-017-* error codes are surfaced correctly in the UI and logs.</t>
  </si>
  <si>
    <t>• Must allow regeneration of a single artefact type without affecting the other two artefact types for the same journey
• Must surface each ERR-017-* error code correctly for LLM failures, empty steps, and unmatched steps
• Must not persist failed TCs to the artefact table
• Must allow nudge retry to succeed on the 2nd attempt after initial failure
• Must persist only successfully regenerated artefacts to artefact and be retrievable on subsequent reads</t>
  </si>
  <si>
    <t>FR-019 / INT-01</t>
  </si>
  <si>
    <t>Playwright AI — generate error scenario E2E
WireMock — simulate LLM responses</t>
  </si>
  <si>
    <t>ENDPOINT UNDER TEST:
POST /api/v1/automate/generate
Test: journey with empty steps → ERR-017-*
  error code in artefact_generated event.
Test: CLAP timeout → generation_complete with
  failed &gt; 0.</t>
  </si>
  <si>
    <t>INT-06</t>
  </si>
  <si>
    <t>Validates error handling: CLAP generation failure for one journey does not block generation of other selected journeys.</t>
  </si>
  <si>
    <t>• Validates error handling to ensure CLAP generation failure for one journey does not block generation of other selected journeys.
• Generates artefacts with deliberate errors to trigger specific failure scenarios.
• Verifies each ERR-018-* code is surfaced and confirms failed TCs are not stored in the ICE DB.</t>
  </si>
  <si>
    <t>• Must ensure CLAP generation failure for one journey does not block generation of other selected journeys in the batch
• Must surface each ERR-018-* error code correctly for deliberate failure scenarios
• Must not persist the failed TC to the DB
• Must store valid TCs in the same batch correctly even when one TC fails</t>
  </si>
  <si>
    <t>Playwright AI — generate validation E2E
Claude — generate deliberately malformed artefacts</t>
  </si>
  <si>
    <t>INTERNAL SERVICE TEST.
Tested via: POST /api/v1/automate/generate
  (FR-017 BE-03).
Test: generated gherkin has correct structure.
Test: step def has annotations for all steps.
Test: class file has balanced braces.</t>
  </si>
  <si>
    <t>INT-07</t>
  </si>
  <si>
    <t>Validates naming conflict resolution: generated file names that clash with existing Git files are resolved without overwriting unrelated content.</t>
  </si>
  <si>
    <t>• Validates naming conflict resolution to ensure generated file names that clash with existing Git files are resolved without overwriting unrelated content.
• Generates artefacts for 10 TCs and verifies 30 artefact records (3 per TC) are created in the ICE DB.
• Confirms all artefact records have pushedToGit = NO after generation.</t>
  </si>
  <si>
    <t>• Must resolve generated file names that clash with existing Git files without overwriting unrelated content
• Must create exactly 30 artefact records (3 per TC) for 10 TCs
• Must set all pushed_to_git flags to NO for newly generated artefacts
• Must ensure generated artefact content matches the generated files
• Must persist all 30 artefact records to artefact and be retrievable on subsequent reads</t>
  </si>
  <si>
    <t>Playwright AI — generate storage E2E
Claude — generate upsert test scenarios</t>
  </si>
  <si>
    <t>ENDPOINT UNDER TEST:
GET  /api/v1/artefacts/{journey_id}
PATCH /api/v1/artefacts/{journey_id}/push-flag
Test: generate code → 3 artefact rows in DB.
Test: push flag → pushed_to_git=true,
  automated_flag=true when all 3 pushed.</t>
  </si>
  <si>
    <t>Check-in the BDD scripts to Git</t>
  </si>
  <si>
    <t>FR-020</t>
  </si>
  <si>
    <t>Commit to Git</t>
  </si>
  <si>
    <t>↻ Sync (Commit to Git screen load)</t>
  </si>
  <si>
    <t>Loads the Commit to Git screen data by joining artefact records with their Git push status, returning the full journey list with push readiness flags.</t>
  </si>
  <si>
    <t>• Loads the Commit to Git screen data by joining artefact records with their Git push status.
• Returns the full journey list with push readiness flags and code_status values.
• Applies a locked filter showing only TCs where Pushed to Git = NO; this filter is not user-configurable.</t>
  </si>
  <si>
    <t>• Must join artefact records with their Git push status to load the Commit to Git screen data
• Must return only TCs where pushed_to_git = NO in the locked filter
• Must not allow the user to override the pushed_to_git = NO filter
• Must return an empty array when no TCs meet the filter criteria
• Must include push readiness flags and code_status values for all returned journeys</t>
  </si>
  <si>
    <t>GitHub Copilot — generate filtered list API + server-side enforcement</t>
  </si>
  <si>
    <t>Reads: journey.xray_updated_at, artefact (x/3 count, pushed_to_git, pushed_at, branch_name, ice_generated_at). Computes status: Ready/Stale/Pushed/No code.</t>
  </si>
  <si>
    <t>ENDPOINT YOU CREATE:
POST /api/v1/git/sync
Request: {}
Response 200:
  {journeys: [{journey_id, name, xray_key,
    artefact_count (x/3), pushed_to_git,
    pushed_at, branch_name, ice_generated_at,
    xray_updated_at,
    status: Ready|Stale|Pushed|No_code}],
   synced_at}
Errors: 503 Xray unavailable (return cached)</t>
  </si>
  <si>
    <t>Refreshes the Commit to Git screen data on demand, re-checking Git push status for all journeys and updating stale flags.</t>
  </si>
  <si>
    <t>• Refreshes the Commit to Git screen data on demand by re-checking Git push status for all journeys.
• Re-joins ICE DB artefact records with Xray timestamps to re-evaluate stale flags per journey.
• Returns updated code_status and pushed_to_git values after the refresh operation.</t>
  </si>
  <si>
    <t>• Must re-check Git push status for all journeys on demand refresh
• Must re-join ICE DB artefact records with Xray timestamps to re-evaluate stale flags per journey
• Must return updated code_status and pushed_to_git values within 3 seconds
• Must accurately reflect pushed_to_git status in the returned journey list
• Must return the sync timestamp in the refresh response</t>
  </si>
  <si>
    <t>GitHub Copilot</t>
  </si>
  <si>
    <t>Spring Boot · Spring Data JPA</t>
  </si>
  <si>
    <t>code_status, pushed_to_git, xray_updated_at</t>
  </si>
  <si>
    <t>POST /api/v1/commit/sync
Response 200: {journeys: [{journey_id, name, functionality, priority, branch, artefact_count, code_status, pushed_to_git, xray_updated_at}], synced_at}</t>
  </si>
  <si>
    <t>↑ Push (per row / bulk)</t>
  </si>
  <si>
    <t>Validates the target branch against the configured branch list before allowing a push, returning an error if the branch is not in the approved set.</t>
  </si>
  <si>
    <t>• Validates the target branch against the configured branch list before allowing a push.
• Returns a 422 PUSH-STALE error if the journey is stale at the time of push.
• On PUSH-STALE error, the UI routes the user back to the Automate screen.</t>
  </si>
  <si>
    <t>• Must validate the target branch against the configured branch list before allowing a push
• Must return HTTP 422 with PUSH-STALE error code if the journey is stale at the time of push
• Must route the user back to the Automate screen when PUSH-STALE error occurs
• Must display a 'Go to Automate' action in the UI on PUSH-STALE error
• Must disable branch input for stale rows</t>
  </si>
  <si>
    <t>Spring Boot · validation</t>
  </si>
  <si>
    <t>Server-side stale guard: returns 422 PUSH-STALE if journey is stale. Blocks push for stale rows.</t>
  </si>
  <si>
    <t>INTERNAL — stale push guard.
Called inside FR-019 BE-03 push handler.
If journey status=Stale: return
  HTTP 422 {code: PUSH-STALE,
  message: 'Regen required before push'}
Not a standalone HTTP endpoint.</t>
  </si>
  <si>
    <t>Push selected to Git
/ ↑ Push (per row)</t>
  </si>
  <si>
    <t>Calls the ICE-Git Bridge (FR-018 BE-04) to push the selected journey artefacts to Git, handling the provider-specific push operation.</t>
  </si>
  <si>
    <t>• Calls the ICE-Git Bridge (FR-018 BE-04) to push the selected journey artefacts to Git.
• Abstracts Git operations behind a provider-agnostic interface supporting GitHub, GitLab, Bitbucket, and Azure DevOps.
• Handles the provider-specific push operation through the bridge layer.</t>
  </si>
  <si>
    <t>• Must call the ICE-Git Bridge (FR-018 BE-04) to push selected journey artefacts to Git using a provider-agnostic interface
• Must support GitHub, GitLab, Bitbucket, and Azure DevOps without code changes by switching provider via config
• Must expose interface operations: create branch, commit files, and push
• Must load provider config per tenant from tenant-specific configuration
• Must return success confirmation or provider-specific error code on push failure
• Must persist push metadata to artefact and journey tables and be retrievable on subsequent reads</t>
  </si>
  <si>
    <t>GitHub Copilot — generate provider adapters
Claude — abstraction interface design</t>
  </si>
  <si>
    <t>Spring Boot · Java Interface · GitHub API · GitLab API · Bitbucket API · Azure DevOps API</t>
  </si>
  <si>
    <t>PostgreSQL
+ Git API</t>
  </si>
  <si>
    <t>artefact
journey</t>
  </si>
  <si>
    <t>artefact: branch_name, pushed_to_git=true, pushed_at=now(), git_commit_sha (from Git provider), pushed_by.
journey: automated_flag=true when all 3 artefacts pushed_to_git=true (atomic check).</t>
  </si>
  <si>
    <t>INTERNAL — Git provider abstraction layer.
IGitProvider interface:
  createBranch(repo, branch): void
  commitFiles(repo, branch, files[]): sha
Implementations: GitHubProvider, GitLabProvider
  BitbucketProvider, AzureDevOpsProvider.
Not a standalone HTTP endpoint.</t>
  </si>
  <si>
    <t>Manages the push queue for bulk pushes, processing journeys sequentially within the agent pool limit and reporting per-journey push results.</t>
  </si>
  <si>
    <t>• Manages the push queue for bulk pushes, processing journeys sequentially within the agent pool limit.
• Creates a new branch from the configured base branch (main or master) for each TC-ID.
• Reports per-journey push results including success or failure status for each artefact set.</t>
  </si>
  <si>
    <t>• Must process bulk push queue sequentially within the configured agent pool limit
• Must create a new branch from the configured base branch (main or master) for each TC-ID using the validated branch name from FR-019
• Must return ERR-023-BRANCH-FAILED if branch creation fails
• Must report per-journey push results including success or failure status
• Must not proceed with commit if branch creation fails
• Must persist branch creation status and results to artefact and journey tables and be retrievable on subsequent reads</t>
  </si>
  <si>
    <t>GitHub Copilot — generate branch creation + error handling</t>
  </si>
  <si>
    <t>Spring Boot · Git Provider API · Spring Retry</t>
  </si>
  <si>
    <t>INTERNAL — branch creation service.
If branch does not exist in remote: calls
  IGitProvider.createBranch().
If branch exists: reuses it.
Called by: FR-019 BE-03 push handler.
Not a standalone HTTP endpoint.</t>
  </si>
  <si>
    <t>Updates the artefact push status in the ICE DB after a successful Git push, setting pushed_to_git=true, pushed_at, and git_commit_sha.</t>
  </si>
  <si>
    <t>• Updates the artefact push status in the ICE DB after a successful Git push.
• Sets pushed_to_git=true, records pushed_at timestamp, and stores git_commit_sha for each artefact.
• Commits all 3 artefact files to the branch in one commit with the message 'ICE: {TC-ID} automation artefacts'.</t>
  </si>
  <si>
    <t>• Must commit all 3 artefact files (spec, implementation, test) to the branch in one atomic commit
• Must use commit message convention: 'Add automated test artefacts for [TC-ID]'
• Must update artefact records only after push is confirmed by Git provider
• Must set pushed_to_git=true, record pushed_at timestamp, and store git_commit_sha for each artefact
• Must reject update if any of the 3 files fail to commit
• Must persist pushed_to_git, pushed_at, and git_commit_sha to artefact table and be retrievable on subsequent reads</t>
  </si>
  <si>
    <t>GitHub Copilot — generate commit + push service
Claude — atomic commit design (all 3 files)</t>
  </si>
  <si>
    <t>ENDPOINT YOU CREATE:
POST /api/v1/git/push
Request: {journey_ids: string[],
  branch_name: string}
Response 200:
  {pushed: int, failed: int,
   results: [{journey_id, status,
     git_commit_sha?, error?}]}
Errors: 422 PUSH-STALE (stale journeys),
  400 invalid branch name,
  503 Git provider unavailable</t>
  </si>
  <si>
    <t>Sets the journey automated_flag=true in the ICE DB after all three artefacts for the journey are confirmed as pushed to Git.</t>
  </si>
  <si>
    <t>• Sets the journey automated_flag to true in the ICE DB after all three artefacts for the journey are confirmed as pushed to Git.
• Updates all 3 artefact records to Pushed to Git = YES in a single atomic transaction.
• Executes only after confirmed push event is received from the Git repository.</t>
  </si>
  <si>
    <t>• Must set journey automated_flag=true only after all 3 artefacts for the journey are confirmed as pushed to Git
• Must update all 3 artefact records to Pushed to Git = YES in a single atomic transaction
• Must leave automated_flag as NO if partial push occurs (fewer than 3 artefacts pushed)
• Must rollback all updates if any artefact update fails within the transaction
• Must execute update only after receiving push confirmation from Git provider
• Must persist automated_flag to journey table and be retrievable on subsequent reads</t>
  </si>
  <si>
    <t>GitHub Copilot — generate flag update service
Claude — idempotent flag update design</t>
  </si>
  <si>
    <t>Spring Data JPA · @Transactional · PostgreSQL · Spring Retry</t>
  </si>
  <si>
    <t>INTERNAL — pushed_to_git flag update.
Called after each successful Git push.
Updates artefact.pushed_to_git=true,
  pushed_at=now(), git_commit_sha atomically.
Sets journey.automated_flag=true when all 3
artefacts pushed.
Not a standalone HTTP endpoint.</t>
  </si>
  <si>
    <t>→ FR-020 BE-01
Git push complete. ICE DB artefact.pushedToGit = YES, pushedAt = now.
FR-020 BE-01 (Flag Read API) exposes updated flag to UI + analytics.</t>
  </si>
  <si>
    <t>Push selected to Git
(BE: flag update after push)</t>
  </si>
  <si>
    <t>Exposes the endpoint to update the automated_flag on the journey record after a push event, called by FR-018 BE-11 on webhook receipt.</t>
  </si>
  <si>
    <t>• Exposes the GET /api/v1/artefacts/{tcId}/push-status endpoint to return the automated_flag value and timestamp for a specific journey.
• Called by FR-018 BE-11 when a Git webhook push event is received to retrieve current push status.
• Response is cached for 5 seconds to reduce database load during bulk status checks.</t>
  </si>
  <si>
    <t>• Must expose GET /api/v1/artefacts/{tcId}/push-status endpoint returning automated_flag value and timestamp
• Must return JSON response with { pushedToGit, updatedAt } for the specified TC-ID
• Must return 404 with error message if TC-ID is not found
• Must be callable by FR-018 BE-11 when a Git webhook push event is received
• Must invalidate cache immediately after automated_flag is updated
• Must persist push status updates to artefact and journey tables and be retrievable on subsequent reads</t>
  </si>
  <si>
    <t>GitHub Copilot — generate status endpoint + cache</t>
  </si>
  <si>
    <t>Spring Boot · Spring MVC · Caffeine Cache</t>
  </si>
  <si>
    <t>artefact.pushed_to_git=true + pushed_at=now() written atomically on push success.
journey.automated_flag=true set when all 3 artefacts confirmed pushed.</t>
  </si>
  <si>
    <t>ENDPOINT YOU CREATE:
GET /api/v1/artefacts/{journey_id}/push-status
Response 200:
  {journey_id, pushed_to_git: bool,
   pushed_at?, branch_name?,
   git_commit_sha?, automated_flag}
Used by Commit to Git screen to show
per-journey push status badges.</t>
  </si>
  <si>
    <t>Returns the post-push journey status including git_commit_sha and pushed_at for display in the Commit to Git table.</t>
  </si>
  <si>
    <t>• Returns the post-push journey status including git_commit_sha and pushed_at timestamp for display in the Commit to Git table.
• Logs every flag change with tcId, oldValue, newValue, changedBy, and timestamp to maintain audit trail.
• Provides journey-level push history for tracking and reconciliation purposes.</t>
  </si>
  <si>
    <t>• Must return post-push journey status including git_commit_sha and pushed_at timestamp for display in Commit to Git table
• Must log every automated_flag transition from NO to YES with tcId, oldValue, newValue, changedBy, and timestamp
• Must make audit log queryable by tcId for compliance and troubleshooting
• Must exclude all PII from audit log entries
• Must provide journey-level status summary aggregating artefact push states
• Must persist audit log entries and status fields to artefact and journey tables and be retrievable on subsequent reads</t>
  </si>
  <si>
    <t>GitHub Copilot — generate audit log entity + logger</t>
  </si>
  <si>
    <t>Spring Boot · Spring Data JPA · PostgreSQL · SLF4J</t>
  </si>
  <si>
    <t>INTERNAL — flag audit trail.
All push flag changes logged in artefact_audit
  table: artefact_id, changed_by, changed_at,
  old_value, new_value.
Not a standalone HTTP endpoint.</t>
  </si>
  <si>
    <t>Filter: All / Ready / Stale /
Pushed (Commit to Git screen)</t>
  </si>
  <si>
    <t>Exposes the API to filter journeys on the Commit to Git screen by status (All / Ready / Stale / Pushed).</t>
  </si>
  <si>
    <t>• Exposes the API to filter journeys on the Commit to Git screen by status values: All, Ready, Stale, or Pushed.
• Server-side always applies Pushed to Git = NO filter regardless of client parameters to enforce business logic.
• Supports filtering by journey status to narrow the displayed journey list in the UI.</t>
  </si>
  <si>
    <t>• Must expose API endpoint to filter journeys on Commit to Git screen by status values: All, Ready, Stale, or Pushed
• Must enforce server-side filter to return only journeys where Pushed to Git = NO regardless of client parameters
• Must ignore any client attempt to override the Pushed to Git = NO filter
• Must support filtering by functionality group in combination with status filter
• Must log all filter parameters received from client for audit and debugging
• Must return empty result set if no journeys match the applied filters</t>
  </si>
  <si>
    <t>GitHub Copilot — generate server-side filter enforcement
Claude — filter override prevention design</t>
  </si>
  <si>
    <t>Reads: journey.automated_flag + artefact.pushed_to_git to determine Locked/Unlocked status. Server-side enforcement: push API rejects journeys with automated_flag=true unless override provided.</t>
  </si>
  <si>
    <t>INTERNAL — locked filter enforcement.
Server-side: POST /api/v1/git/push rejects
  journeys with automated_flag=true unless
  override provided.
Error: HTTP 423 {code: JOURNEY_LOCKED,
  message: 'Journey is automated — locked'}
Not a standalone filter endpoint.</t>
  </si>
  <si>
    <t>Commit to Git screen display</t>
  </si>
  <si>
    <t>Renders the Commit to Git screen with the journey table showing artefact status, push readiness, and git push history.</t>
  </si>
  <si>
    <t>• Renders the full Commit to Git screen layout showing journey artefact status, push readiness, and git push history.
• Displays the stats row with Total journeys, Ready to push, Pushed to Git, and Stale counts at the top of the screen.
• Includes the journey table with per-row branch input, legend bar, and result notice bar shown after successful push operations.</t>
  </si>
  <si>
    <t>• Must render stats row at top of screen showing Total journeys, Ready to push, Pushed to Git, and Stale counts on screen load
• Must display journey table with columns: Journey ID, Description, Functionality, Priority, Branch input, Artefact count, and action column
• Must show legend bar with correct status definitions for Ready, Stale, and Pushed states
• Must display result notice bar after push completes showing success or failure summary
• Must load stats and journey data from journey and artefact tables via API on screen mount
• Must update stats row counts dynamically when filters are applied</t>
  </si>
  <si>
    <t>v0.dev — generate Push to Git list screen
GitHub Copilot — locked filter + user filter combination</t>
  </si>
  <si>
    <t>Renders merged table. Stats: Total/Ready/Pushed/Stale. Filters. Pushed rows greyed. Stale rows blocked.</t>
  </si>
  <si>
    <t>ENDPOINT YOU CALL (defined in FR-019 BE-01):
POST /api/v1/git/sync
Call on screen load and ↻ Sync click.
Render merged table with status badges:
  Ready=green, Stale=amber, Pushed=blue,
  No_code=grey.
Stale rows: amber tint, branch input disabled,
  action = Go to Automate.</t>
  </si>
  <si>
    <t>Functionality filter dropdown</t>
  </si>
  <si>
    <t>Renders the Functionality filter dropdown that narrows the journey table to a specific functionality group.</t>
  </si>
  <si>
    <t>• Renders the Functionality filter dropdown in the Commit to Git filter bar to narrow the journey table by functionality group.
• On change filters the journey table to show only journeys matching the selected functionality such as Checkout, Auth, or Refunds.
• Default selection is All, displaying journeys across all functionality groups.</t>
  </si>
  <si>
    <t>• Must render Functionality filter dropdown in the Commit to Git filter bar
• Must filter journey table immediately on selection to show only journeys matching the selected functionality (e.g., Checkout, Auth)
• Must restore full journey list when 'All' is selected in the dropdown
• Must work in combination with quick filter pills (All, Ready, Stale, Pushed)
• Must update count in stats row to reflect the filtered set of journeys
• Must persist selected functionality filter value to artefact and journey filter state and be retrievable on subsequent reads</t>
  </si>
  <si>
    <t>BE-02,BE-03</t>
  </si>
  <si>
    <t>artefact: branch_name, pushed_to_git=true, pushed_at=now(), git_commit_sha, pushed_by (×3 per journey)
journey: automated_flag=true when all 3 artefacts pushed.</t>
  </si>
  <si>
    <t>ENDPOINTS YOU CALL:
POST /api/v1/git/sync (FR-019 BE-01) on load.
POST /api/v1/git/push (FR-019 BE-03) on push.
Branch input (per row) — value sent in push req.
Ready rows: editable branch + Push button.
Pushed rows: read-only branch, View diff action.
On 422 PUSH-STALE: show Go to Automate action.</t>
  </si>
  <si>
    <t>Quick filter — All</t>
  </si>
  <si>
    <t>Renders the All quick filter pill that shows all journeys regardless of push status.</t>
  </si>
  <si>
    <t>• Renders the All quick filter pill that displays all journeys regardless of their push status.
• On click shows the complete journey list without applying any push status filter.
• Active by default when the Commit to Git screen loads for the first time.</t>
  </si>
  <si>
    <t>• Must render All quick filter pill active by default when Commit to Git screen loads
• Must display complete journey list without applying any push status filter when All pill is clicked
• Must deselect other quick filter pills (Ready, Stale, Pushed) when All is active
• Must show count badge reflecting total number of journeys in the unfiltered list
• Must apply blue active state styling to the All pill when selected</t>
  </si>
  <si>
    <t>FR-020 / FE-01</t>
  </si>
  <si>
    <t>pushed_to_git, code_status</t>
  </si>
  <si>
    <t>Quick filter — Ready to push</t>
  </si>
  <si>
    <t>Renders the Ready to Push quick filter pill that shows only journeys with all three artefacts generated and not yet pushed.</t>
  </si>
  <si>
    <t>• Renders the Ready to Push quick filter pill that shows only journeys with all three artefacts generated and not yet pushed.
• On click filters the journey table to display only journeys where code_status equals Generated and pushed_to_git equals NO.
• Identifies journeys that are ready for immediate push to the Git repository.</t>
  </si>
  <si>
    <t>• Must render Ready to Push quick filter pill in the filter bar
• Must filter journey table on click to show only journeys where code_status = Generated and pushed_to_git = NO for all 3 artefacts
• Must display accurate count badge showing number of ready journeys
• Must apply blue active state styling to the pill when selected
• Must work in combination with Functionality filter to narrow results further</t>
  </si>
  <si>
    <t>Quick filter — Stale</t>
  </si>
  <si>
    <t>Renders the Stale quick filter pill that shows journeys where artefacts have changed since the last push.</t>
  </si>
  <si>
    <t>• Renders the Stale quick filter pill in amber color that shows journeys where artefacts have changed since the last push.
• On click filters the journey table to display only journeys where Xray test case was updated after last code generation.
• Indicates journeys requiring regeneration in the Automate screen before they can be pushed to Git.</t>
  </si>
  <si>
    <t>• Must render Stale quick filter pill in amber color in the filter bar
• Must filter journey table on click to show only journeys where Xray test case was updated after last code generation
• Must apply amber tinted styling to Stale journey rows in the table
• Must display accurate count badge showing number of stale journeys
• Must show 'Go to Automate' action instead of 'Push' action for stale journey rows
• Must apply amber active state styling to the pill when selected</t>
  </si>
  <si>
    <t>Quick filter — Pushed</t>
  </si>
  <si>
    <t>Renders the Pushed quick filter pill that shows only journeys where all artefacts have been successfully pushed to Git.</t>
  </si>
  <si>
    <t>• Renders the Pushed quick filter pill in green color that shows only journeys where all artefacts have been successfully pushed to Git.
• On click filters the journey table to display only journeys where pushed_to_git equals YES.
• Pushed journey rows are greyed out with no action available as they are already in the repository.</t>
  </si>
  <si>
    <t>• Must render the Pushed quick filter pill in green color
• Must filter the journey table on click to display only journeys where pushed_to_git equals YES
• Must show the pill in active (green) state when selected
• Must display an accurate count badge of Pushed journeys
• Must grey out Pushed journey rows and hide action buttons on those rows</t>
  </si>
  <si>
    <t>Renders the Sync button on the Commit to Git screen, triggering BE-02 to refresh push status for all journeys.</t>
  </si>
  <si>
    <t>• Renders the ↻ Sync button in the Commit to Git filter bar that triggers BE-02 to refresh push status for all journeys.
• On click triggers a fresh pull from ICE DB and Xray to refresh journey artefact status and stale flags.
• Updates the sync timestamp displayed on screen to show when the last refresh occurred.</t>
  </si>
  <si>
    <t>• Must render the ↻ Sync button in the Commit to Git filter bar
• Must trigger BE-02 on click to refresh push status for all journeys from ICE DB and Xray
• Must update the sync timestamp after refresh completes
• Must show a spinner during the sync operation
• Must re-evaluate stale flags and update the journey table with latest artefact and push status</t>
  </si>
  <si>
    <t>Renders the Select All checkbox that selects all visible journeys in the current filter view for bulk push.</t>
  </si>
  <si>
    <t>• Renders the Select all button in the Commit to Git action bar that selects all visible journey checkboxes in the current filtered view.
• On click selects all journey rows currently visible based on the active filter for bulk operations.
• Enables the Push selected to Git button when one or more rows are selected.</t>
  </si>
  <si>
    <t>• Must render the Select all button in the Commit to Git action bar
• Must select all visible journey checkboxes in the current filtered view on click
• Must exclude Stale rows from selection
• Must enable the Push selected button when at least one journey is selected
• Must update the selection count when any row is deselected
• Must work correctly with all active filters (All / Ready / Stale / Pushed)</t>
  </si>
  <si>
    <t>Push selected to Git</t>
  </si>
  <si>
    <t>Renders the Push Selected to Git button that calls BE-04 for all selected journeys and shows per-journey push progress.</t>
  </si>
  <si>
    <t>• Renders the Push selected to Git button in the action bar that calls BE-04 to push all selected journey artefacts to the configured Git repository.
• On click pushes all selected journey artefacts including Gherkin, Step Definition, and Class files to the specified branch.
• Shows per-journey progress indicators during the push operation to track completion status.</t>
  </si>
  <si>
    <t>• Must render the Push selected to Git button in the action bar
• Must enable the button only when at least one Ready journey is selected
• Must trigger BE-04 on click to push all selected journey artefacts (Gherkin, Step Definition, Class files) to Git
• Must display per-journey status during push (Pushing → Pushed / Failed)
• Must show retry option for Failed rows
• Must update pushed_to_git flag to YES in journey table on successful push</t>
  </si>
  <si>
    <t>FR-020 / BE-01, FR-019 / BE-03</t>
  </si>
  <si>
    <t>↑ Push (per row)</t>
  </si>
  <si>
    <t>Renders the per-row Push button that triggers a push for a single journey directly from the table row.</t>
  </si>
  <si>
    <t>• Renders a per-row ↑ Push button in the action column for journeys with Ready status.
• On click pushes that single journey's artefacts including Gherkin, Step Definition, and Class files to Git.
• Shows inline progress indicator on the table row during the push operation.</t>
  </si>
  <si>
    <t>• Must render a per-row ↑ Push button in the action column only for journeys with Ready status
• Must push that single journey's artefacts (Gherkin, Step Definition, Class files) to Git on click
• Must show inline progress indicator on the table row during push
• Must update the row to Pushed status (greyed) on success
• Must show error state with retry option for Failed rows
• Must not show the Push button for Stale or Pushed rows</t>
  </si>
  <si>
    <t>→ Go to Automate (per row)</t>
  </si>
  <si>
    <t>FE-11</t>
  </si>
  <si>
    <t>Renders the per-row Go to Automate link that navigates back to the Automate screen filtered to the specific journey.</t>
  </si>
  <si>
    <t>• Renders a per-row → Go to Automate button in amber color in the action column for journeys with Stale status.
• On click navigates back to the Automate screen filtered to the specific journey for artefact regeneration.
• Allows users to regenerate stale artefacts before attempting to push them to the Git repository.</t>
  </si>
  <si>
    <t>• Must render a per-row → Go to Automate button in amber color in the action column only for journeys with Stale status
• Must navigate back to the Automate screen filtered to the specific journey on click
• Must not show the Go to Automate button for Ready or Pushed rows</t>
  </si>
  <si>
    <t>▶️ Execute Tests →</t>
  </si>
  <si>
    <t>FE-12</t>
  </si>
  <si>
    <t>Renders the Execute Tests navigation button in the Commit to Git footer, navigating to the Execute Tests screen.</t>
  </si>
  <si>
    <t>• Renders the '▶️ Execute Tests →' navigation button in the Commit to Git footer.
• The button is enabled when at least one journey has pushed_to_git=YES in ICE DB.
• On click, the user is navigated to the Execute Tests screen.</t>
  </si>
  <si>
    <t>• Must render the '▶️ Execute Tests →' navigation button in the Commit to Git footer
• Must disable the button when no journeys have pushed_to_git=YES
• Must enable the button once at least one journey has pushed_to_git=YES in journey table
• Must navigate to the Execute Tests screen on click</t>
  </si>
  <si>
    <t>FR-020 / FE-09, FR-020 / FE-10</t>
  </si>
  <si>
    <t>Push selected to Git
/ ↑ Push (BE: validates branch before push)</t>
  </si>
  <si>
    <t>FE-13</t>
  </si>
  <si>
    <t>Validates the branch selection before push, showing an inline error if the user selects a branch not in the configured branch list.</t>
  </si>
  <si>
    <t>• Validates the branch name text field in real-time with inline error messages.
• The validation checks whether the user-entered branch name exists in the configured branch list.
• An inline error is displayed if the selected branch is not in the allowed list.</t>
  </si>
  <si>
    <t>• Must validate the branch name text field in real-time on blur and on submit
• Must display inline error message if the user-entered branch name does not exist in the configured branch list
• Must highlight invalid characters inline
• Must show a warning if the branch already exists but still allow the user to proceed</t>
  </si>
  <si>
    <t>GitHub Copilot — generate input + validation hook
v0.dev — inline error display component</t>
  </si>
  <si>
    <t>Reads: artefact.branch_name for the journey. Validates format (no spaces, valid chars, not empty). Returns 422 if invalid. No DB write.</t>
  </si>
  <si>
    <t>ENDPOINT YOU CALL (defined in FR-019 BE-03):
POST /api/v1/git/push
Validate branch name client-side BEFORE calling:
  Pattern: ^[a-zA-Z0-9._/-]+$
  Max 100 chars, no spaces, no leading '/'
On invalid: show inline error, do NOT call API.
Server also validates — inline check is UX only.</t>
  </si>
  <si>
    <t>FE-14</t>
  </si>
  <si>
    <t>Renders the status filter bar with All / Ready / Stale / Pushed pills and updates the table display on pill selection.</t>
  </si>
  <si>
    <t>• Renders the status filter bar with All / Ready / Stale / Pushed pills above the journey table.
• The locked filter is shown as a non-editable chip with clear visual distinction from user filters.
• Selecting a pill updates the table display to show only journeys matching that push status.</t>
  </si>
  <si>
    <t>• Must render the status filter bar with All / Ready / Stale / Pushed pills above the journey table
• Must show the locked filter as a non-editable chip with clear visual distinction from user filter chips
• Must display tooltip 'System filter — not configurable' on locked filter chip hover
• Must update the table display to show only journeys matching the selected pill on pill selection
• Must ensure the locked filter chip is visible and non-removable</t>
  </si>
  <si>
    <t>v0.dev — generate locked filter chip component
GitHub Copilot — interaction prevention logic</t>
  </si>
  <si>
    <t>ENDPOINT YOU CALL (defined in FR-019 BE-01):
POST /api/v1/git/sync
Filter toggle 'Locked/Unlocked' filters the
  merged table client-side by automated_flag.
Locked rows: push action disabled, 🔒 badge.
On 423 JOURNEY_LOCKED: show 'Locked' tooltip.</t>
  </si>
  <si>
    <t>↻ Sync E2E</t>
  </si>
  <si>
    <t>Validates the Sync flow: push status refreshed from Git, stale flags updated, and table display reflects current state.</t>
  </si>
  <si>
    <t>• Validates the Sync flow by refreshing push status from Git and updating stale flags.
• The test generates artefacts, navigates to Push to Git, and verifies that only journeys with flag=NO are shown.
• The table display reflects the current state after sync completes.</t>
  </si>
  <si>
    <t>• Must display only journeys with pushed_to_git flag = NO in the table before push
• Must refresh push status from Git and update stale flags on Sync
• Must remove the test case from the list after successful push
• Must ensure the locked filter cannot be removed by the user
• Must reflect the current state in the table display after Sync completes
• Must persist pushed_to_git flag updates to journey and artefact tables and be retrievable on subsequent reads</t>
  </si>
  <si>
    <t>FR-020 / All BE + FE</t>
  </si>
  <si>
    <t>Playwright AI — generate Push to Git screen E2E</t>
  </si>
  <si>
    <t>Playwright · GitHub Actions CI</t>
  </si>
  <si>
    <t>E2E: verify Ready → push → verify Pushed in UI + ICE DB → edit in Xray → verify Stale.</t>
  </si>
  <si>
    <t>ENDPOINT UNDER TEST:
POST /api/v1/git/sync
Test: journey with pushed_to_git=true → Pushed.
Test: Xray updated after gen → Stale.</t>
  </si>
  <si>
    <t>Push selected to Git E2E</t>
  </si>
  <si>
    <t>Validates the Push Selected to Git flow: journeys selected, artefacts pushed, ICE DB updated, and table rows updated to Pushed status.</t>
  </si>
  <si>
    <t>• Validates the Push Selected to Git flow end-to-end: artefacts pushed, ICE DB updated, and UI rows updated to Pushed status.
• Generates code for J-002, verifies Ready status, enters branch name, pushes to Git, and confirms Pushed in UI and ICE DB.
• Edits J-002 in Xray, syncs, and verifies the journey is marked Stale.</t>
  </si>
  <si>
    <t>• Must allow user to select journeys, enter branch name, and push artefacts to Git
• Must update pushed_to_git and pushed_at in ICE DB on successful push
• Must update UI rows to Pushed status after push completes
• Must detect stale status after Xray edit and update the journey table accordingly
• Must block push for journeys with Stale status
• Must persist pushed_to_git and pushed_at updates to artefact and journey tables and be retrievable on subsequent reads</t>
  </si>
  <si>
    <t>FE-02,BE-02,BE-03</t>
  </si>
  <si>
    <t>Validates: pushed_to_git=true, pushed_at set, git_commit_sha present. automated_flag=true on journey after all 3 pushed.</t>
  </si>
  <si>
    <t>ENDPOINTS UNDER TEST:
POST /api/v1/git/sync
POST /api/v1/git/push (FR-019 BE-03)
Test: push Ready journey → Pushed in UI + DB.
Test: edit in Xray → sync → Stale shown.
Test: push Stale → 422 PUSH-STALE returned.</t>
  </si>
  <si>
    <t>Validates branch validation: push blocked when target branch is not in the configured branch list, with correct error shown.</t>
  </si>
  <si>
    <t>• Validates branch validation by blocking push when the target branch is not in the configured branch list.
• Tests valid, invalid, and existing branch names end-to-end.
• Displays the correct error message when validation fails.</t>
  </si>
  <si>
    <t>• Must proceed to push when a valid branch name is entered
• Must block push and display ERR-022-INVALID-BRANCH inline error when invalid characters are entered
• Must display a warning when an existing branch name is entered but still allow push to proceed</t>
  </si>
  <si>
    <t>FR-021 / All BE + FE</t>
  </si>
  <si>
    <t>Playwright AI — generate branch name E2E test scenarios</t>
  </si>
  <si>
    <t>ENDPOINT UNDER TEST:
POST /api/v1/git/push
  (FR-019 BE-03)
Test: branch name with space → rejected client-
  side before API call made.
Test: valid branch name → push proceeds.</t>
  </si>
  <si>
    <t>Validates bulk push: multiple journeys pushed in sequence, per-journey results shown, and all ICE DB records updated correctly.</t>
  </si>
  <si>
    <t>• Validates bulk push by pushing multiple journeys in sequence and displaying per-journey results.
• Pushes artefacts for 5 test cases to Git and verifies branches are created and files are committed.
• Confirms that all ICE DB records are updated correctly with pushed_to_git flags.</t>
  </si>
  <si>
    <t>• Must create 5 branches in the Git provider, each containing exactly 3 committed files
• Must set all automated flags to YES in the ICE DB for each successfully pushed journey
• Must display per-journey push results showing success status for all 5 test cases
• Must reject pushes with 0 branches created or incomplete file commits
• Must handle provider timeout or network failure gracefully without partial commits
• Must persist updated automated flags to artefact and journey tables and be retrievable on subsequent reads</t>
  </si>
  <si>
    <t>Playwright AI — generate push E2E
GitHub Actions AI — CI pipeline config for Git sandbox</t>
  </si>
  <si>
    <t>Playwright · GitHub / GitLab Sandbox · PostgreSQL · GitHub Actions CI</t>
  </si>
  <si>
    <t>ENDPOINT UNDER TEST:
POST /api/v1/git/push
Test: push 3 journeys → all pushed, SHAs stored.
Test: automated_flag=true after all 3 artefacts
  pushed_to_git=true.</t>
  </si>
  <si>
    <t>Validates partial push failure: one journey fails, others succeed, and the failure is shown per-row without blocking the successful pushes.</t>
  </si>
  <si>
    <t>• Validates partial push failure where one journey fails and others succeed.
• Simulates push failures such as branch exists, provider down, or file too large.
• Displays the failure per-row without blocking the successful pushes and verifies error handling.</t>
  </si>
  <si>
    <t>• Must surface each ERR-023-* error code in the UI with the specific failure reason (branch exists, provider down, file too large)
• Must allow successful journeys to complete push even when one journey fails
• Must keep automated flags set to NO in ICE DB for journeys that failed to push
• Must display failure per-row without blocking or rolling back successful pushes
• Must allow retry of failed push after fix and succeed on valid retry
• Must persist flags and error states to artefact and journey tables and be retrievable on subsequent reads</t>
  </si>
  <si>
    <t>Playwright AI — generate push error E2E
WireMock — simulate Git provider errors</t>
  </si>
  <si>
    <t>ENDPOINT UNDER TEST:
POST /api/v1/git/push
Test: Git provider returns 401 → 503 returned.
Test: partial push (2 of 3 succeed) → failed
  journey shows error, others show pushed SHA.</t>
  </si>
  <si>
    <t>Validates automated_flag update: all three artefacts pushed, automated_flag set to true, and badge updated on the Commit to Git screen.</t>
  </si>
  <si>
    <t>• Validates that automated_flag is set to true in ICE DB when all three artefacts are successfully pushed.
• Verifies flag changes from NO to YES and checks audit log entries.
• Confirms that the Automated badge is updated on the Commit to Git screen.</t>
  </si>
  <si>
    <t>• Must set automated_flag to true in ICE DB only when all three artefacts are successfully pushed
• Must transition flag from NO to YES and record the change in the audit log with correct timestamp and user
• Must update the Automated badge on the Commit to Git screen within 5 seconds of flag change
• Must reject partial pushes (fewer than 3 artefacts) and keep automated_flag as false
• Must handle concurrent push attempts atomically without race conditions
• Must persist automated_flag to artefact and journey tables and be retrievable on subsequent reads</t>
  </si>
  <si>
    <t>Playwright AI — generate flag E2E scenarios</t>
  </si>
  <si>
    <t>ENDPOINT UNDER TEST:
GET /api/v1/artefacts/{journey_id}/push-status
Test: before push → pushed_to_git=false.
Test: after push → pushed_to_git=true,
  pushed_at populated, SHA present.</t>
  </si>
  <si>
    <t>Validates the status filter pills: each pill shows the correct subset of journeys matching its push status.</t>
  </si>
  <si>
    <t>• Validates the status filter pills by ensuring each pill shows the correct subset of journeys matching its push status.
• Verifies that the locked filter cannot be removed via UI or API manipulation.
• Confirms the filter bar updates the table display correctly when a pill is selected.</t>
  </si>
  <si>
    <t>• Must render each status filter pill showing only journeys matching its push status (pushed, not pushed, failed)
• Must prevent removal of the locked filter chip via UI interaction
• Must reject API attempts to override the locked filter and return only flag = NO results with HTTP 403
• Must display tooltip on hover explaining why the locked filter cannot be removed
• Must update the table display immediately when a filter pill is selected or deselected
• Must handle empty result sets gracefully when no journeys match the selected filter</t>
  </si>
  <si>
    <t>FR-024 / All BE + FE</t>
  </si>
  <si>
    <t>Playwright AI — generate locked filter E2E including API bypass attempt</t>
  </si>
  <si>
    <t>ENDPOINT UNDER TEST:
POST /api/v1/git/push (FR-019 BE-03)
Test: push journey with automated_flag=true
  → 423 JOURNEY_LOCKED returned.
Test: Locked filter shows only locked journeys.</t>
  </si>
  <si>
    <t>Developer makes modifications to the scripts and completes the scripting activity</t>
  </si>
  <si>
    <t>FR-021</t>
  </si>
  <si>
    <t>Post-Commit Webhook</t>
  </si>
  <si>
    <t>Developer pushes edited script to Git
(webhook — not a UI button)</t>
  </si>
  <si>
    <t>Receives the Git push webhook from the developer's IDE commit, validates the HMAC signature, and routes the event to the flag update service.</t>
  </si>
  <si>
    <t>• Receives the Git push webhook from GitHub, GitLab, Bitbucket, or Azure DevOps after a developer commits a journey script from their IDE.
• Validates the HMAC-SHA256 signature to confirm the payload is genuine before processing.
• Routes the validated event to the flag update service.</t>
  </si>
  <si>
    <t>• Must receive Git push webhooks from all 4 supported providers (GitHub, GitLab, Bitbucket, Azure DevOps)
• Must validate HMAC-SHA256 signature on every webhook payload before processing
• Must reject webhooks with invalid or missing signatures with HTTP 401 and log the rejection
• Must route valid payloads to BE-02 for processing without modification
• Must handle duplicate webhook deliveries idempotently without creating duplicate records or processing twice
• Must persist webhook receipt and validation results to artefact table and be retrievable on subsequent reads</t>
  </si>
  <si>
    <t>GitHub Copilot — generate webhook receiver + HMAC validator
Claude — idempotency design</t>
  </si>
  <si>
    <t>Spring Boot · Spring MVC · HMAC-SHA256 · Redis (idempotency key)</t>
  </si>
  <si>
    <t>artefact.content updated when developer edits and saves in VS Code/IntelliJ. artefact.ice_generated_at updated. pushed_to_git reset to false if content changed post-push.</t>
  </si>
  <si>
    <t>ENDPOINT YOU CREATE:
POST /api/v1/webhooks/ide/{tenant_slug}
Headers: X-ICE-Secret: {webhook_secret}
Request: {journey_id, artefact_type,
  file_name, content, branch_name}
Response 200: {received: true}
Response 401: invalid webhook secret
Called by: VS Code / IntelliJ ICE plugin
on file save.</t>
  </si>
  <si>
    <t>Devleloper makes modifications to the scripts and complets the scripting activity</t>
  </si>
  <si>
    <t>Parses the webhook payload to extract the branch name and changed file paths, matching them against journey script_path records for the tenant.</t>
  </si>
  <si>
    <t>• Parses the validated webhook payload to extract the branch name and journey TC-ID from the commit.
• Matches the changed file paths against journey script_path records for the tenant in ICE DB.
• Routes the update to set automated_flag=true on the matching journey record, making it appear in the Execute Tests screen journey dropdown.</t>
  </si>
  <si>
    <t>• Must extract branch name and TC-ID correctly from the webhook payload for all 4 Git providers
• Must match changed file paths against journey script_path records filtered by tenant in ICE DB
• Must set automated_flag to true on the matching journey record when script_path match is found
• Must make the journey appear in the Execute Tests dropdown immediately after flag update
• Must log and skip payloads gracefully when no matching journey is found without throwing errors
• Must persist automated_flag update to artefact table and be retrievable on subsequent reads</t>
  </si>
  <si>
    <t>FR-021 / BE-01</t>
  </si>
  <si>
    <t>GitHub Copilot — generate payload parser + router
Claude — branch name extraction regex design</t>
  </si>
  <si>
    <t>Spring Boot · Jackson · regex</t>
  </si>
  <si>
    <t>INTERNAL — webhook event router.
Parses webhook payload, routes to:
  artefact update (updates content +
    ice_generated_at, resets pushed_to_git)
  automated_flag update (FR-021 BE-01)
Not a standalone HTTP endpoint.</t>
  </si>
  <si>
    <t>Push selected to Git
(automated_flag set by this action)</t>
  </si>
  <si>
    <t>Sets automated_flag=true on each journey whose script_path matches a file path in the developer's commit payload.</t>
  </si>
  <si>
    <t>• Sets automated_flag=true in ICE DB for each journey whose script_path matches a file path in the developer's commit payload.
• The update is atomic per TC-ID and occurs on valid webhook receipt.
• This flag change marks the journey as automated and eligible for execution.</t>
  </si>
  <si>
    <t>• Must set automated_flag to true in ICE DB for each journey whose script_path matches a file path in the commit payload
• Must perform the flag update atomically per TC-ID with no partial or intermediate state visible
• Must store the timestamp of the automated_flag update in the journey record
• Must reject updates for TC-IDs not found in the tenant scope with no side effects
• Must handle multiple matching journeys in a single commit payload with individual atomic updates per journey
• Must persist automated_flag and timestamp to journey table and be retrievable on subsequent reads</t>
  </si>
  <si>
    <t>GitHub Copilot — generate flag update service + validation
Claude — orphan record prevention design</t>
  </si>
  <si>
    <t>Spring Data JPA · @Transactional · PostgreSQL · Spring Boot</t>
  </si>
  <si>
    <t>Reads: artefact.pushed_to_git for all 3 artefacts of a journey.
Writes: journey.automated_flag=true when all 3 confirm pushed. Drives Locked filter on Commit to Git.</t>
  </si>
  <si>
    <t>INTERNAL — automated_flag update.
Checks: all 3 artefacts for journey have
  pushed_to_git=true.
If true: sets journey.automated_flag=true.
If any pushed_to_git=false: sets flag=false.
Called by: FR-019 BE-08 and FR-020 BE-02.
Not a standalone HTTP endpoint.</t>
  </si>
  <si>
    <t>Returns the updated automated flag status and timestamp for each matched journey so the Automate and Execute Tests screens can display the current state.</t>
  </si>
  <si>
    <t>• Returns the updated automated flag status and timestamp for each matched journey via GET /api/v1/artefacts/{tcId}/automated-status.
• The response is cached for 5 seconds to reduce database load.
• The Automate and Execute Tests screens use this endpoint to display the current status.</t>
  </si>
  <si>
    <t>• Must return { automated, updatedAt } via GET /api/v1/artefacts/{tcId}/automated-status for the specified TC-ID
• Must cache the response for 5 seconds per TC-ID to reduce database load
• Must return HTTP 404 when the TC-ID is not found in the tenant scope
• Must refresh the cache immediately when automated_flag is updated via webhook or manual action
• Must handle cache expiry gracefully and re-fetch from ICE DB on next request after TTL
• Must persist automated status to journey table and be retrievable on subsequent reads</t>
  </si>
  <si>
    <t>FR-022 / BE-01</t>
  </si>
  <si>
    <t>Spring Boot · Caffeine Cache · Spring MVC</t>
  </si>
  <si>
    <t>ENDPOINT YOU CREATE:
GET /api/v1/journeys/{journey_id}/flag
Response 200:
  {journey_id, automated_flag: bool,
   last_updated_at}
Used by: Commit to Git screen lock/unlock badge
and Automate screen automated_flag indicator.</t>
  </si>
  <si>
    <t>Renders the Automated badge (YES/NO) per journey on the Automate and Execute Tests screens, reflecting the current automated_flag value.</t>
  </si>
  <si>
    <t>• Renders the Automated badge showing YES or NO per journey on the Automate and Execute Tests screens.
• The badge reflects the current automated_flag value retrieved from ICE DB.
• The badge updates automatically when the flag is changed via webhook or manual push.</t>
  </si>
  <si>
    <t>• Must render the Automated badge showing YES (green) or NO (amber) per journey on both Automate and Execute Tests screens
• Must reflect the current automated_flag value retrieved from ICE DB with no stale data shown beyond cache TTL
• Must update the badge within 30 seconds of webhook receipt or manual flag change
• Must display the badge consistently across both screens with identical styling and logic
• Must handle missing or null automated_flag gracefully by defaulting to NO
• Must persist badge state to journey table and be retrievable on subsequent reads</t>
  </si>
  <si>
    <t>v0.dev — generate Automated flag badge
GitHub Copilot — polling hook for badge update</t>
  </si>
  <si>
    <t>ENDPOINT YOU CALL (defined in FR-021 BE-02):
GET /api/v1/journeys/{journey_id}/flag
Show automated_flag badge on journey row:
  true = 🔒 Locked (automated)
  false = 🔓 Unlocked
Update badge after each push operation.</t>
  </si>
  <si>
    <t>Developer pushes edited script to Git
(E2E — webhook to Execute Tests dropdown)</t>
  </si>
  <si>
    <t>Validates the full webhook flow: developer commits to Git, ICE receives webhook, script_path matched, automated_flag set, and badge updated on screen.</t>
  </si>
  <si>
    <t>• Validates the full webhook flow from developer Git commit through ICE webhook receipt, script_path matching, and automated_flag setting to badge update on screen.
• Tests end-to-end: external IDE push to Git branch → ICE webhook received → automated_flag=true set on journey in ICE DB → journey appears in Execute Tests screen journey dropdown.
• Confirms integration between Git repository, ICE webhook receiver, database flag updates, and UI journey dropdown population.</t>
  </si>
  <si>
    <t>• Must trigger webhook receipt in ICE when developer commits journey script to Git from external IDE
• Must validate webhook payload and process script_path matching within the webhook handler
• Must set automated_flag to true in ICE DB for the matched journey within the processing flow
• Must make the journey visible in the Execute Tests dropdown immediately after flag update
• Must complete the full round-trip from Git push to badge update within 5 seconds
• Must persist automated_flag and webhook processing results to artefact table and be retrievable on subsequent reads</t>
  </si>
  <si>
    <t>FR-021 / All BE</t>
  </si>
  <si>
    <t>Playwright AI — generate webhook E2E
GitHub Actions AI — configure webhook in sandbox repo</t>
  </si>
  <si>
    <t>Playwright · GitHub Sandbox · PostgreSQL · GitHub Actions CI</t>
  </si>
  <si>
    <t>ENDPOINT UNDER TEST:
POST /api/v1/webhooks/ide/{tenant_slug}
Test: valid payload → artefact.content updated,
  pushed_to_git reset to false.
Test: invalid secret → 401 returned.</t>
  </si>
  <si>
    <t>Execute Tests</t>
  </si>
  <si>
    <t>FR-022</t>
  </si>
  <si>
    <t>Screen load / Run config</t>
  </si>
  <si>
    <t>Loads the Execute Tests screen configuration, returning the available journeys, run mode options, browser list, and current branch configuration.</t>
  </si>
  <si>
    <t>• Loads the Execute Tests screen configuration and returns available journeys, run mode options, browser list, and current branch configuration per tenant.
• GET /api/v1/run-config returns tenant-filtered options: environments (Staging/UAT/Production), browsers (Chrome/Firefox/Safari/Edge), test types (Functional/Accessibility/Visual UI/Performance), run modes (Local/Jenkins/GitHub Actions).
• All returned options are filtered by tenant plan entitlements to ensure only permitted configurations are presented.</t>
  </si>
  <si>
    <t>• Must return correct environments (Staging, UAT, Production) filtered by tenant configuration via GET /api/v1/run-config
• Must always include Chrome, Firefox, Safari, and Edge in the browsers list
• Must return Functional run mode flagged as mandatory in all responses
• Must return run modes (Sequential, Parallel, Commit Regression) based on tenant CI configuration
• Must cache the response per tenant with a TTL of 5 minutes and refresh after expiry
• Must reject requests for tenants not found with HTTP 404</t>
  </si>
  <si>
    <t>Spring Boot REST</t>
  </si>
  <si>
    <t>tenant_config</t>
  </si>
  <si>
    <t>environments[], browsers[], test_types[], run_modes[]</t>
  </si>
  <si>
    <t>GET /api/v1/run-config → {environments[], browsers[], test_types[], run_modes[]}</t>
  </si>
  <si>
    <t>Config payload available for FE-01 screen render</t>
  </si>
  <si>
    <t>Run type dropdown → Commit Regression</t>
  </si>
  <si>
    <t>Implements the Commit Regression run type, fetching the commit list for the selected branch and resolving which journeys are affected by each commit.</t>
  </si>
  <si>
    <t>• Implements the Commit Regression run type by fetching the commit list for the selected branch and resolving which journeys are affected by each commit.
• GET /api/v1/commits?branch=&amp;period=&amp;author= returns paginated commit list from watched Git repo with fields: sha, message, author, branch, timestamp, impacted_functionalities[], impacted_journey_count.
• Commits with no ownership mapping are flagged with warn=true to alert users of untraceable impact.</t>
  </si>
  <si>
    <t>• Must return paginated commit list via GET /api/v1/commits?branch=&amp;period=&amp;author= filtered by branch, period (today/week/all), and author
• Must include sha, message, author, branch, age, fn[], and journey_count in each commit object
• Must flag unowned commits with warn=true and list impacted_files[] for manual review
• Must default filter to watched branch and last 24 hours when no query parameters are provided
• Must paginate results with page_size=20 and return total_count, current_page, and has_more metadata
• Must reject invalid branch names or unsupported period values with HTTP 400 and descriptive error message</t>
  </si>
  <si>
    <t>FR-024 BE-01 (Git Config)</t>
  </si>
  <si>
    <t>Spring Boot + Git API</t>
  </si>
  <si>
    <t>PostgreSQL + Git</t>
  </si>
  <si>
    <t>commits, ownership_map</t>
  </si>
  <si>
    <t>sha, message, author, branch, timestamp, fn[], journey_count, warn</t>
  </si>
  <si>
    <t>GET /api/v1/commits?branch={b}&amp;period={p}&amp;author={a} → {commits[], total}</t>
  </si>
  <si>
    <t>Commit list available for cx-commit panel</t>
  </si>
  <si>
    <t>Run type dropdown → Commit Regression → Select commit</t>
  </si>
  <si>
    <t>Implements the Commit Regression commit picker, expanding the selected commit to show its affected journeys for the user to confirm before running.</t>
  </si>
  <si>
    <t>• Implements the Commit Regression commit picker, expanding the selected commit to show its affected journeys for user confirmation before running.
• POST /api/v1/impact/commit resolves impacted journeys for a given commit SHA by diffing commit files against ice-ownership.yml mapping.
• Returns affected functionalities and journey IDs, with unowned files listed separately for visibility.</t>
  </si>
  <si>
    <t>• Must accept a commit SHA and return affected fn[], journey_ids[], and unowned_files[]
• Must include only journeys where automated_flag=true in the journey_ids[] response
• Must list all unowned files with their full path in unowned_files[] and not silently drop them
• Must return journey_ids=[] with a descriptive message when no owned files are changed (empty impact)
• Must respond within 3 seconds for commits touching up to the expected file count</t>
  </si>
  <si>
    <t>BE-02, FR-036 BE-01 (Ownership Map)</t>
  </si>
  <si>
    <t>Spring Boot + Git diff</t>
  </si>
  <si>
    <t>ownership_map, journeys</t>
  </si>
  <si>
    <t>sha, fn[], journey_ids[], unowned_files[]</t>
  </si>
  <si>
    <t>POST /api/v1/impact/commit {sha} → {fn[], journey_ids[], unowned_files[]}</t>
  </si>
  <si>
    <t>Journey IDs for run payload; unowned files for Map Files modal</t>
  </si>
  <si>
    <t>Run type dropdown → Release Regression → Scan now</t>
  </si>
  <si>
    <t>Implements the Release Regression scan, comparing two refs to identify changed journeys and presenting them for targeted execution.</t>
  </si>
  <si>
    <t>• Implements the Release Regression scan by comparing two Git refs to identify changed journeys and presenting them for targeted execution.
• POST /api/v1/impact/release resolves impacted journeys between two Git refs (from_ref, to_ref) by diffing all changed files across the ref range against ownership map.
• Returns affected functionalities and journey IDs for the release scope.</t>
  </si>
  <si>
    <t>• Must accept from_ref and to_ref parameters and return affected fn[], journey_ids[], and unowned_files[]
• Must compute the Git diff across the full ref range, not just HEAD
• Must list all unowned files in unowned_files[]
• Must return HTTP 400 with a clear error message when either ref is invalid
• Must respond within 10 seconds for releases spanning up to 200 files</t>
  </si>
  <si>
    <t>BE-02, FR-036 BE-01</t>
  </si>
  <si>
    <t>from_ref, to_ref, fn[], journey_ids[], unowned_files[]</t>
  </si>
  <si>
    <t>POST /api/v1/impact/release {from_ref, to_ref} → {fn[], journey_ids[], unowned_files[]}</t>
  </si>
  <si>
    <t>Journey IDs for release run payload</t>
  </si>
  <si>
    <t>▶ Run journeys / ⚙ Jenkins</t>
  </si>
  <si>
    <t>Orchestrates the journey test run, invoking ScriptBridge to pull and execute each selected journey script according to the run configuration.</t>
  </si>
  <si>
    <t>• Orchestrates the journey test run by invoking ScriptBridge to pull and execute each selected journey script according to the run configuration.
• POST /api/v1/run accepts final run payload: journey_ids[], environment, run_mode, browsers[], test_types[], source (manual/commit/release), commit_sha (if commit mode), refs (if release mode).
• Validates all fields and dispatches to local agent or Jenkins based on run_mode selection.</t>
  </si>
  <si>
    <t>• Must validate all required fields server-side before queueing the run
• Must reject requests where journey_ids[] is empty with a validation error
• Must inject Functional into test_types[] even if omitted by the client
• Must dispatch to BE-06 when run_mode=local and to BE-07 when run_mode=jenkins
• Must return run_id and status=QUEUED within 500ms
• Must persist the run record to run_executions and be retrievable on subsequent reads</t>
  </si>
  <si>
    <t>BE-01 to BE-04</t>
  </si>
  <si>
    <t>Spring Boot</t>
  </si>
  <si>
    <t>run_executions</t>
  </si>
  <si>
    <t>run_id, journey_ids[], environment, browsers[], test_types[], source, status</t>
  </si>
  <si>
    <t>POST /api/v1/run {journey_ids[], environment, run_mode, browsers[], test_types[], source} → {run_id, status}</t>
  </si>
  <si>
    <t>run_id for SSE streaming; dispatches to BE-06 or BE-07</t>
  </si>
  <si>
    <t>▶ Run journeys</t>
  </si>
  <si>
    <t>Implements the local run execution path, running journey scripts in the ICE agent pool and streaming results back to the UI in real time.</t>
  </si>
  <si>
    <t>• Implements the local run execution path, running journey scripts in the ICE agent pool and streaming results back to the UI in real time.
• Executes test run on local ICE agent by pulling artefacts from ICE DB for selected journey_ids and installing toolchain if needed.
• Streams per-test-case status via SSE and captures and normalises results for storage.</t>
  </si>
  <si>
    <t>• Must pull correct artefacts from ICE DB for all journey_ids in the run request
• Must fire SSE events per test case in the sequence QUEUED → RUNNING → PASS/FAIL
• Must normalise results into passed, failed, skipped, and duration fields
• Must store the run summary in run_executions upon completion
• Must store raw output for debugging purposes
• Must persist results to run_executions and run_results and be retrievable on subsequent reads</t>
  </si>
  <si>
    <t>BE-05, FR-019 BE-01 (artefacts)</t>
  </si>
  <si>
    <t>Spring Boot + TestNG</t>
  </si>
  <si>
    <t>READ/WRITE</t>
  </si>
  <si>
    <t>run_executions, run_results</t>
  </si>
  <si>
    <t>run_id, tc_id, status, duration, error_msg</t>
  </si>
  <si>
    <t>SSE /api/v1/run/{run_id}/stream → {tc_id, status, duration}</t>
  </si>
  <si>
    <t>Results stored; FE-09 streams live updates</t>
  </si>
  <si>
    <t>⚙ Jenkins</t>
  </si>
  <si>
    <t>Implements the Jenkins execution path, triggering the configured Jenkins job with the journey list and run parameters and registering a callback for results.</t>
  </si>
  <si>
    <t>• Implements the Jenkins execution path, triggering the configured Jenkins job with the journey list and run parameters and registering a callback for results.
• Triggers Jenkins pipeline via Jenkins REST API, passing journey_ids[], browsers[], test_types[] as parameters.
• Polls Jenkins status, receives callback on completion, parses results, and updates ICE DB.</t>
  </si>
  <si>
    <t>• Must trigger the correct Jenkins pipeline configured for the tenant
• Must pass journey_ids[], browsers[], and test_types[] parameters correctly to Jenkins
• Must poll Jenkins job status every 10 seconds and emit updates via SSE to the frontend
• Must receive the Jenkins callback, parse results, and store them in run_executions
• Must return the Jenkins build URL in the response
• Must persist the run record and results to run_executions and be retrievable on subsequent reads</t>
  </si>
  <si>
    <t>BE-05, FR-025 BE-01 (Jenkins config)</t>
  </si>
  <si>
    <t>Spring Boot + Jenkins API</t>
  </si>
  <si>
    <t>run_id, jenkins_build_url, status, results[]</t>
  </si>
  <si>
    <t>POST Jenkins /job/{pipeline}/buildWithParameters → build_url; callback POST /api/v1/run/jenkins-callback</t>
  </si>
  <si>
    <t>Results stored; FE-10 shows build link + status</t>
  </si>
  <si>
    <t>Execute Tests screen load</t>
  </si>
  <si>
    <t>Renders the Execute Tests screen with all configuration rows, context panels, and the results area.</t>
  </si>
  <si>
    <t>• Renders the Execute Tests screen with all configuration rows, context panels, and the results area.
• Row 1 contains Environment dropdown, Run mode radios, and Browser checkboxes; Row 2 contains Type of test checkboxes and Run type dropdown.
• Context area below switches between cx-manual, cx-commit, cx-release based on Run type selection, with Commit Regression shown by default.</t>
  </si>
  <si>
    <t>• Must render all configuration rows correctly on screen load
• Must default to Commit Regression mode with cx-commit visible and cx-manual and cx-release hidden
• Must switch the context panel immediately when the Run type dropdown selection changes
• Must render all labels and controls on a single row each with no orphaned labels
• Must display correctly at 1280px screen width</t>
  </si>
  <si>
    <t>Angular</t>
  </si>
  <si>
    <t>NONE</t>
  </si>
  <si>
    <t>—</t>
  </si>
  <si>
    <t>Screen renders; config values passed to run payload</t>
  </si>
  <si>
    <t>Row 1 — Environment dropdown</t>
  </si>
  <si>
    <t>Renders the Branch selector dropdown in Row 1, populated from the configured branch list (FR-025).</t>
  </si>
  <si>
    <t>• Renders the Branch selector dropdown in Row 1, populated from the configured branch list (FR-025).
• Compact inline dropdown showing Staging / UAT / Production with auto width, not full-width.
• Selected value is passed in run payload as environment field and sits on the same row as Run mode and Browser.</t>
  </si>
  <si>
    <t>• Must populate the dropdown with Staging, UAT, and Production options
• Must render with auto width and not span the full row
• Must include the selected environment value in the run payload as environment
• Must default to Staging on screen load</t>
  </si>
  <si>
    <t>environment value passed to BE-05</t>
  </si>
  <si>
    <t>Row 1 — Run mode radios</t>
  </si>
  <si>
    <t>Renders the Run Mode radio buttons (Run Locally / Jenkins / GitHub Actions) in Row 1.</t>
  </si>
  <si>
    <t>• Renders the Run Mode radio buttons (Run Locally / Jenkins / GitHub Actions) in Row 1.
• Inline radio buttons determine which run path is triggered on Run button click.
• Sits on the same row as Environment and Browser controls.</t>
  </si>
  <si>
    <t>• Must render three radio options (Run Locally / Jenkins / GitHub Actions) inline in Row 1
• Must select Run Locally by default on screen load
• Must set the run_mode field in the run payload based on the selected option
• Must disable the GitHub Actions option if not configured in tenant settings</t>
  </si>
  <si>
    <t>run_mode value passed to BE-05</t>
  </si>
  <si>
    <t>Row 1 — Browser checkboxes</t>
  </si>
  <si>
    <t>Renders the Browser checkboxes (All / Chrome / Firefox / Safari / Edge) in Row 1.</t>
  </si>
  <si>
    <t>• Renders the Browser checkboxes (All / Chrome / Firefox / Safari / Edge) in Row 1 with colour dots.
• All browsers checked by default; checking a specific browser unchecks All, and unchecking all restores All.
• Sits on the same row as Environment and Run mode controls.</t>
  </si>
  <si>
    <t>• Must check All browsers by default on screen load
• Must uncheck All when any individual browser (Chrome / Firefox / Safari / Edge) is checked
• Must restore All checkbox when all individual browsers are unchecked
• Must pass selected browsers as browsers[] in the run payload
• Must display colour dots with Chrome=#EF4444, Firefox=#F97316, Safari=#06B6D4, Edge=#3B82F6</t>
  </si>
  <si>
    <t>browsers[] passed to BE-05</t>
  </si>
  <si>
    <t>Row 2 — Type of test checkboxes</t>
  </si>
  <si>
    <t>Renders the Type of Test checkboxes (Functional / Accessibility / Visual UI / Performance) in Row 2.</t>
  </si>
  <si>
    <t>• Renders the Type of Test checkboxes (Functional / Accessibility / Visual UI / Performance) in Row 2.
• All types checked by default, with Functional always included in payload even if deselected.
• Sits on the same row as Run type dropdown.</t>
  </si>
  <si>
    <t>• Must check all test types (Functional / Accessibility / Visual UI / Performance) by default on screen load
• Must allow individual selection with the same toggle behavior as the Browser row
• Must always inject Functional into the payload even if unchecked by the user
• Must pass selected test types as test_types[] in the run payload</t>
  </si>
  <si>
    <t>test_types[] passed to BE-05</t>
  </si>
  <si>
    <t>Row 2 — Responsive checkboxes</t>
  </si>
  <si>
    <t>Renders the Responsive checkboxes (All / DW Large / DW Regular / DW Small / Tablet) in Row 2.</t>
  </si>
  <si>
    <t>• Renders the Responsive checkboxes (All / DW Large / DW Regular / DW Small / Tablet) in Row 2 with viewport widths: 1440px / 1280px / 1024px / 768px.
• All viewports checked by default; multiple viewports can be selected and run executes once per viewport.
• Sits on the same row as Type of test and Run type dropdown.</t>
  </si>
  <si>
    <t>• Must check All viewports by default on screen load
• Must uncheck All when any individual viewport (DW Large / DW Regular / DW Small / Tablet) is checked
• Must pass selected viewports as responsive_viewports[] in the run payload
• Must execute the run once per selected viewport when multiple viewports are checked
• Must render inline on Row 2 without wrapping to a new line at 1280px screen width</t>
  </si>
  <si>
    <t>responsive_viewports[] passed to BE-05</t>
  </si>
  <si>
    <t>Row 2 — Run type dropdown</t>
  </si>
  <si>
    <t>Renders the Run Type dropdown (Select Manually / Commit Regression / Release Regression / Targeted Regression) in Row 2.</t>
  </si>
  <si>
    <t>• Renders the Run Type dropdown (Select Manually / Commit Regression / Release Regression / Targeted Regression) in Row 2.
• Changing selection switches the context panel below between cx-manual, cx-commit, and cx-release views.
• Default selection is Commit Regression, and sits on the same row as Type of test and Responsive checkboxes.</t>
  </si>
  <si>
    <t>• Must render dropdown with options: Select Manually / Commit Regression / Release Regression / Targeted Regression
• Must switch the context panel immediately between cx-manual, cx-commit, and cx-release views when selection changes
• Must display Commit Regression as the default selection on screen load
• Must set the source field in the run payload to manual, commit, or release based on the selected option</t>
  </si>
  <si>
    <t>source value passed to BE-05; controls cx panel visibility</t>
  </si>
  <si>
    <t>cx-manual — journey table</t>
  </si>
  <si>
    <t>Renders the Select Manually context panel with the journey table, allowing the user to select specific journeys for the run.</t>
  </si>
  <si>
    <t>• Renders the Select Manually context panel with a searchable, filterable journey table for the user to choose specific journeys to execute in the run.
• The table displays columns for Journey ID (monospace, blue), Journey Name, Functionality tag, Priority badge, and Last run status, with a checkbox per row and a select-all checkbox in the header.
• A search box and Functionality filter dropdown appear above the table to allow filtering and searching of journeys.</t>
  </si>
  <si>
    <t>• Must populate the journey table with all automated journeys on panel activation
• Must filter the table live by Journey ID and Journey Name as the user types in the search box
• Must filter by functionality group when a value is selected from the Functionality dropdown
• Must update the selected count and run button label (Run N journeys) whenever a checkbox is toggled
• Must select or deselect all visible rows when the select-all checkbox in the header is clicked
• Must disable the Run button when zero journeys are selected</t>
  </si>
  <si>
    <t>BE-01, FR-021 BE-04 (journey list)</t>
  </si>
  <si>
    <t>journey_ids[] from checkbox selection passed to BE-05</t>
  </si>
  <si>
    <t>cx-commit — commit list + journey expansion</t>
  </si>
  <si>
    <t>Renders the Commit Regression context panel with the commit list and journey expansion for the selected commit.</t>
  </si>
  <si>
    <t>• Renders the Commit Regression context panel displaying a commit list with search box, branch/date/author filter dropdowns, and a webhook banner when a new push is detected.
• Each commit list row shows avatar initials, commit message, author · age · branch · sha, and functionality tag; clicking a row selects it and expands the journey list inline beneath.
• A selected bar appears after a commit is chosen, and a filter note displays the active filter criteria (e.g., showing last 24h · branch).</t>
  </si>
  <si>
    <t>• Must populate the commit list on panel activation with the default filter (watched branch and today)
• Must apply search and filter changes live without requiring a separate submit action
• Must display the webhook banner when a new push is detected and auto-select that commit for Run now
• Must expand the journey list inline beneath the commit row when the commit is clicked
• Must update the Run button label to Run N journeys based on the journeys affected by the selected commit</t>
  </si>
  <si>
    <t>BE-02, BE-03</t>
  </si>
  <si>
    <t>commit sha + journey_ids[] passed to BE-05</t>
  </si>
  <si>
    <t>cx-release — ref inputs + scan</t>
  </si>
  <si>
    <t>Renders the Release Regression context panel with the from/to ref inputs and Scan Now button.</t>
  </si>
  <si>
    <t>• Renders the Release Regression context panel with From ref and To ref text inputs and a Scan now button that triggers BE-04 impact resolution.
• Impact results are displayed inline as functionality tags with file→journey counts; unowned functionalities show a ⚠ warning with a Map button.
• The Run button label shows the total journey count after the scan completes.</t>
  </si>
  <si>
    <t>• Must accept any valid Git ref in the From ref and To ref text inputs
• Must call BE-04 when Scan now is clicked and display the impact results inline
• Must display impact chips showing functionality name, file count, and journey count
• Must show a ⚠ warning icon with a Map button for unowned functionality
• Must activate the Run button after the scan completes and display the correct journey count in the button label</t>
  </si>
  <si>
    <t>from_ref, to_ref, journey_ids[] passed to BE-05</t>
  </si>
  <si>
    <t>▶ Run journeys / ⚙ Jenkins / 📊 Analytics</t>
  </si>
  <si>
    <t>Renders the Run action buttons (Run Journeys / Jenkins / Analytics) in the Execute Tests footer bar.</t>
  </si>
  <si>
    <t>• Renders the Run action buttons in the Execute Tests footer bar, consisting of ▶ Run N journeys (primary), ⚙ Jenkins (secondary), and 📊 Analytics (secondary, opens Analytics overlay).
• The buttons appear at the bottom of each context panel (Select Manually, Commit Regression, Release Regression).
• The Run button is disabled until a valid selection is made, and its label dynamically updates to reflect the count N of journeys selected from the commit or manual selection.</t>
  </si>
  <si>
    <t>• Must update the ▶ Run N journeys button label dynamically when the selection changes
• Must disable the Run button (opacity 0.45) until a valid selection is made
• Must trigger the Jenkins run path when the ⚙ Jenkins button is clicked
• Must open the Analytics overlay with live results when the 📊 Analytics button is clicked
• Must display all three buttons (Run, Jenkins, Analytics) in all three context panels (Select Manually, Commit Regression, Release Regression)</t>
  </si>
  <si>
    <t>FE-03B, FE-09, FE-10</t>
  </si>
  <si>
    <t>Run triggers BE-05; Analytics opens live dashboard</t>
  </si>
  <si>
    <t>Live results / real-time streaming</t>
  </si>
  <si>
    <t>Renders the live results area, streaming per-journey pass/fail results in real time as the test run progresses.</t>
  </si>
  <si>
    <t>• Renders the live results area that streams per-journey pass/fail results in real time as the test run progresses.
• Execution progress is streamed via SSE with per-TC status updates transitioning through QUEUED → RUNNING → PASS/FAIL.
• A progress bar and stat counters (Total/Passed/Failed/Running) update in real time, and previous run pills are shown in the execution top bar.</t>
  </si>
  <si>
    <t>• Must establish an SSE connection when the run starts
• Must update the progress bar and counters in real time as each TC status event is received
• Must display PASS results in green and FAIL results in red
• Must show the last 3 runs as pills with their pass/fail status
• Must gracefully close the SSE connection when the run completes</t>
  </si>
  <si>
    <t>BE-06, BE-07</t>
  </si>
  <si>
    <t>Angular + SSE</t>
  </si>
  <si>
    <t>SSE /api/v1/run/{run_id}/stream</t>
  </si>
  <si>
    <t>Live results shown; final state persisted for Analytics</t>
  </si>
  <si>
    <t>📊 Analytics button</t>
  </si>
  <si>
    <t>Renders the Analytics button that navigates to the Analytics Dashboard for the current run.</t>
  </si>
  <si>
    <t>• Renders the 📊 Analytics button in the run bar that navigates to the Analytics Dashboard for the current run.
• The button opens the Analytics overlay/dashboard screen showing live execution results, pass/fail breakdown, and journey-level details.
• The Analytics button is present in all three context panels: manual selection, commit regression, and release regression.</t>
  </si>
  <si>
    <t>• Must display the 📊 Analytics button in the run bar at all times
• Must open the Analytics overlay or dashboard screen when the button is clicked
• Must display results for the current run or the most recent run if no run is active
• Must function correctly when invoked from any of the three run type panels</t>
  </si>
  <si>
    <t>Links to Analytics dashboard for live results</t>
  </si>
  <si>
    <t>Config row render E2E</t>
  </si>
  <si>
    <t>Validates that all Execute Tests configuration rows render correctly and that the context panel switches correctly on run type selection.</t>
  </si>
  <si>
    <t>• Validates that all Execute Tests configuration rows render correctly and that the context panel switches correctly when the run type selection changes.
• The test loads the Execute Tests screen, verifies all config rows render with correct defaults, changes Environment to UAT and verifies the payload, toggles Chrome only and verifies browsers=[chrome].
• The test also selects Accessibility and verifies test_types=[functional, accessibility] to ensure the configuration options are correctly applied.</t>
  </si>
  <si>
    <t>• Must render all Execute Tests configuration rows on screen load
• Must reflect environment changes in the run payload when the environment is updated
• Must send browsers=[chrome] in the payload when only Chrome is toggled on in the Browser config
• Must always include functional in test_types even when only Accessibility is selected
• Must render all configuration labels without orphaning at 1280px and 1440px viewport widths</t>
  </si>
  <si>
    <t>All BE + FE tasks</t>
  </si>
  <si>
    <t>Playwright AI</t>
  </si>
  <si>
    <t>Playwright</t>
  </si>
  <si>
    <t>Config values correctly passed to run payload</t>
  </si>
  <si>
    <t>Select Manually E2E</t>
  </si>
  <si>
    <t>Validates the Select Manually flow: journeys selected, run triggered, and results streamed correctly.</t>
  </si>
  <si>
    <t>• Validates the Select Manually flow by ensuring journeys are selected, the run is triggered, and results are streamed correctly.
• The test selects Manually from the Run type dropdown, verifies the journey table populates, searches 'transfer' and verifies filtered results, then selects 3 journeys and verifies the run button shows ▶ Run 3 journeys.
• The test clicks run and verifies the correct journey_ids are sent in POST /api/v1/run.</t>
  </si>
  <si>
    <t>• Must populate the journey table when the Run type is switched to Manually
• Must filter the journey table correctly when search text (e.g. 'transfer') is entered
• Must update the run button label to reflect the number of selected journeys when checkboxes are toggled
• Must send the correct journey_ids[] array in POST /api/v1/run when the Run button is clicked
• Must disable the Run button when zero journeys are selected</t>
  </si>
  <si>
    <t>FE-03B, BE-05, BE-06</t>
  </si>
  <si>
    <t>Manual run payload correct</t>
  </si>
  <si>
    <t>Commit Regression E2E</t>
  </si>
  <si>
    <t>Validates the Commit Regression flow: commit selected, affected journeys resolved, run triggered, and results correct.</t>
  </si>
  <si>
    <t>• Validates the Commit Regression flow by ensuring a commit is selected, affected journeys are resolved, the run is triggered, and results are correct.
• The test loads Execute Tests (default Commit Regression), verifies the commit list populates with develop + today filter, selects commit a3f8c12, and verifies the journey list expands inline.
• The test clicks ▶ Run 8 journeys and verifies POST /api/v1/run is sent with source=commit, sha=a3f8c12, and journey_ids[].</t>
  </si>
  <si>
    <t>• Must populate the commit list on screen load when Commit Regression is the default run type
• Must expand the journey list inline beneath the commit row when a commit is selected
• Must update the Run button label to Run 8 journeys when 8 affected journeys are resolved
• Must send source=commit, sha, and journey_ids[8] in the POST payload when Run is clicked
• Must display a ⚠ warning for an unowned commit (e.g. c2a7f99) and prevent the run from being triggered</t>
  </si>
  <si>
    <t>FE-09, BE-02, BE-03, BE-05</t>
  </si>
  <si>
    <t>Commit run payload correct</t>
  </si>
  <si>
    <t>Release Regression E2E</t>
  </si>
  <si>
    <t>Validates the Release Regression flow: refs entered, scan completed, impacted journeys shown, run triggered.</t>
  </si>
  <si>
    <t>• Validates the Release Regression flow by ensuring refs are entered, the scan completes, impacted journeys are shown, and the run is triggered.
• The test selects Release Regression, enters v2.3.0 and release/v2.4.0, clicks Scan now, and verifies impact chips appear.
• The test clicks ▶ Run 17 journeys and verifies POST /api/v1/run is sent with source=release, from_ref, to_ref, and journey_ids[].</t>
  </si>
  <si>
    <t>• Must call BE-04 with the correct from_ref and to_ref when Scan now is clicked
• Must display impact chips showing the correct functionality name, file count, and journey count after the scan completes
• Must show a ⚠ warning icon with a Map button for unowned functionality in the impact results
• Must send source=release, from_ref, to_ref, and journey_ids[] in the run payload when Run is triggered
• Must return a 400 error with a clear error message when an invalid ref is entered</t>
  </si>
  <si>
    <t>FE-10, BE-04, BE-05</t>
  </si>
  <si>
    <t>Release run payload correct</t>
  </si>
  <si>
    <t>Live results E2E</t>
  </si>
  <si>
    <t>Validates live result streaming: real-time pass/fail updates appear correctly as journey scripts execute.</t>
  </si>
  <si>
    <t>• Validates live result streaming by ensuring real-time pass/fail updates appear correctly as journey scripts execute.
• The test triggers a local run, verifies the SSE stream fires per-TC status events, verifies the progress bar and counters update in real time, and verifies the final summary is stored in run_executions.
• The test also verifies the Analytics overlay shows the correct results after the run completes.</t>
  </si>
  <si>
    <t>• Must fire SSE events within 2 seconds for each TC status transition during the run
• Must update the progress bar and pass/fail counters live as SSE events are received
• Must store the final run_executions record in the database on run completion
• Must display matching results in the Analytics overlay when it is opened
• Must display a previous run pill after the run completes</t>
  </si>
  <si>
    <t>FE-11, BE-06, BE-07</t>
  </si>
  <si>
    <t>Live results verified; stored for Analytics</t>
  </si>
  <si>
    <t>ICE Core JAR Decoupling</t>
  </si>
  <si>
    <t>FR-023</t>
  </si>
  <si>
    <t>ScriptBridge — JAR Decoupling</t>
  </si>
  <si>
    <t>JAR build pipeline</t>
  </si>
  <si>
    <t>Defines the multi-language ScriptBridge JAR build pipeline that packages the ICE agent, SDK injectors, and proxy stubs into a single deployable JAR.</t>
  </si>
  <si>
    <t>• Defines the multi-language ScriptBridge JAR build pipeline that packages the ICE agent, SDK injectors, and proxy stubs into a single deployable JAR.
• The JAR build pipeline (Maven/Gradle) is updated to exclude all journey script source files, retaining only framework libraries (ICE SDK, base test classes, helper utilities) in the JAR.
• Journey-specific scripts live exclusively in Git repositories and are pulled at runtime via FR-018.</t>
  </si>
  <si>
    <t>• Must exclude all journey script source file paths from the JAR build output
• Must retain all framework classes, utilities, SDK injectors, and proxy stubs in the JAR
• Must produce a JAR that is significantly reduced in size compared to the previous build
• Must update the existing CI/CD pipeline to use the new build configuration
• Must verify in the build output that no journey script files are bundled in the JAR</t>
  </si>
  <si>
    <t>FR-018 BE-01</t>
  </si>
  <si>
    <t>Maven/Gradle CI</t>
  </si>
  <si>
    <t>Maven/Gradle</t>
  </si>
  <si>
    <t>JAR build pipeline updated</t>
  </si>
  <si>
    <t>Clean framework JAR published; scripts pulled at runtime via FR-018</t>
  </si>
  <si>
    <t>JAR publish pipeline</t>
  </si>
  <si>
    <t>Publishes the built ScriptBridge JAR to the internal Maven repository, versioning it by ICE release for reproducible dependency resolution.</t>
  </si>
  <si>
    <t>• Publishes the built ScriptBridge JAR to the internal Maven repository with semantic versioning by ICE release for reproducible dependency resolution.
• The decoupled framework JAR is published to an internal Maven/Gradle registry (Artifactory/Nexus) with a new version auto-published on merge to main.
• Consumer projects reference the JAR via dependency coordinates rather than a bundled file.</t>
  </si>
  <si>
    <t>• Must publish the ScriptBridge JAR to the internal Maven repository on merge to main
• Must apply semantic versioning in major.minor.patch format to each published JAR
• Must allow consumers to reference the JAR via standard Maven/Gradle coordinates
• Must deprecate the old bundled JAR approach in release notes and documentation
• Must document the registry URL in onboarding materials for tenant and developer access</t>
  </si>
  <si>
    <t>Maven/Gradle + Artifactory</t>
  </si>
  <si>
    <t>POST to registry on merge to main</t>
  </si>
  <si>
    <t>Versioned JAR available as dependency; onboarding uses registry</t>
  </si>
  <si>
    <t>Migration (auto on deploy)</t>
  </si>
  <si>
    <t>Runs the automated migration on deploy, updating existing script projects to reference the new decoupled JAR without requiring manual developer intervention.</t>
  </si>
  <si>
    <t>• Runs an automated Flyway migration on deploy that adds two new columns to the journey table: git_config_ref (INT FK → git_configs.id, nullable) and script_path (VARCHAR 500, nullable).
• Both columns are nullable for backward compatibility with existing journey records.
• An index is created on the git_config_ref column to support efficient lookups.</t>
  </si>
  <si>
    <t>• Must run the Flyway migration automatically on deploy without manual intervention
• Must add git_config_ref as INT FK to git_configs.id, nullable, with index
• Must add script_path as VARCHAR(500), nullable
• Must leave existing journey rows unaffected with both new columns null
• Must complete migration without data loss or downtime
• Must persist git_config_ref and script_path to journeys and be retrievable on subsequent reads</t>
  </si>
  <si>
    <t>FR-024 BE-01</t>
  </si>
  <si>
    <t>Flyway + PostgreSQL</t>
  </si>
  <si>
    <t>Flyway</t>
  </si>
  <si>
    <t>journeys</t>
  </si>
  <si>
    <t>git_config_ref INT FK, script_path VARCHAR(500)</t>
  </si>
  <si>
    <t>Flyway migration V{n}__add_script_ref_to_journeys.sql</t>
  </si>
  <si>
    <t>New columns available; BE-04 and BE-05 use them</t>
  </si>
  <si>
    <t>Generate Automation Code (Automate screen)</t>
  </si>
  <si>
    <t>Injects the ScriptBridge JAR dependency into generated automation scripts before pushing to Git, ensuring all generated code uses the decoupled agent.</t>
  </si>
  <si>
    <t>• Injects the ScriptBridge JAR dependency into generated automation scripts before pushing to Git, ensuring all generated code uses the decoupled agent.
• When CLAP generates artefacts on the Automate screen (FR-019), it auto-stamps git_config_ref and script_path on the journey record.
• The git_config_ref is set to the tenant default Git config and script_path follows the generated path pattern (e.g. src/test/journeys/{journey_id}.java).</t>
  </si>
  <si>
    <t>• Must set journey.git_config_ref to the tenant default Git config on CLAP artefact generation
• Must set journey.script_path to the generated path pattern on CLAP artefact generation
• Must only set git_config_ref and script_path if currently null to avoid overriding existing values
• Must retrieve the tenant default Git config from FR-024 BE-01
• Must follow the configured script_path pattern for all generated scripts
• Must persist git_config_ref and script_path to journeys and be retrievable on subsequent reads</t>
  </si>
  <si>
    <t>BE-03, FR-024 BE-01, FR-019 BE-01</t>
  </si>
  <si>
    <t>git_config_ref, script_path</t>
  </si>
  <si>
    <t>Internal: called after FR-019 artefact generation</t>
  </si>
  <si>
    <t>journey.git_config_ref + script_path populated for runtime pull</t>
  </si>
  <si>
    <t>Bulk Import (admin migration tool)</t>
  </si>
  <si>
    <t>Provides the admin bulk import tool for migrating all existing script projects in a tenant to the decoupled JAR in a single operation.</t>
  </si>
  <si>
    <t>• Provides the admin bulk import tool for migrating all existing script projects in a tenant to the decoupled JAR in a single operation.
• Accepts CSV upload with columns journey_id, git_config_ref, script_path and validates journey_id exists and git_config_ref points to valid git_configs.id.
• Updates journey rows in bulk and is idempotent so re-upload updates existing values.</t>
  </si>
  <si>
    <t>• Must accept CSV upload with columns journey_id, git_config_ref, script_path
• Must validate journey_id exists in journeys table and reject invalid IDs with error
• Must validate git_config_ref exists in git_configs.id and reject invalid references with error
• Must perform bulk update via batch SQL for all valid rows
• Must return updated_count, skipped_count, and error_rows[] in the response payload
• Must persist updated git_config_ref and script_path to journeys and be retrievable on subsequent reads</t>
  </si>
  <si>
    <t>BE-03, FR-024 BE-01</t>
  </si>
  <si>
    <t>Spring Boot + CSV</t>
  </si>
  <si>
    <t>journey_id, git_config_ref, script_path</t>
  </si>
  <si>
    <t>POST /api/v1/admin/journeys/import-script-refs (multipart CSV)</t>
  </si>
  <si>
    <t>All existing journeys have git_config_ref + script_path set</t>
  </si>
  <si>
    <t>Migration script (one-time)</t>
  </si>
  <si>
    <t>Runs the one-time migration script that updates all existing artefact references in the ICE DB to point to the decoupled JAR path.</t>
  </si>
  <si>
    <t>• Runs the one-time migration script that updates all existing artefact references in the ICE DB to point to the decoupled JAR path.
• Extracts all journey scripts currently bundled in the JAR and pushes each to the configured Git repo at the correct script_path via FR-018 Push Operation.
• Updates journey.script_path after successful push and generates migration report.</t>
  </si>
  <si>
    <t>• Must iterate all journeys with bundled scripts and process each for migration
• Must push each extracted script to Git via FR-018 BE-04 with correct path
• Must update journey.script_path on successful push
• Must log failed pushes without blocking the migration process
• Must return migration report with pushed_count, failed_count, and error_list
• Must persist script_path to journeys and be retrievable on subsequent reads</t>
  </si>
  <si>
    <t>BE-03, BE-04, FR-018 BE-04</t>
  </si>
  <si>
    <t>Spring Boot + FR-043</t>
  </si>
  <si>
    <t>journey_id, script_path, git_push_status</t>
  </si>
  <si>
    <t>Internal migration script — run once post-deploy</t>
  </si>
  <si>
    <t>All scripts in Git; JAR contains no journey scripts</t>
  </si>
  <si>
    <t>Execute Tests screen — branch selector</t>
  </si>
  <si>
    <t>Renders the Branch selector on the Execute Tests screen, allowing the user to select the runtime branch from the configured branch list.</t>
  </si>
  <si>
    <t>• Renders the Branch selector on the Execute Tests screen allowing the user to select the runtime branch from the configured branch list.
• Dropdown is added to Execute Tests Row 1 config strip and populated from FR-025 BE-03 configured branches with default set to tenant regression branch.
• Selected branch is passed in run payload as branch field and custom branch toggle reveals free-text input for feature branch testing.</t>
  </si>
  <si>
    <t>• Must render the Branch dropdown on Execute Tests Row 1 config strip
• Must populate dropdown options from FR-025 BE-03 configured branches list
• Must default to the regression branch from FR-025
• Must reveal a free-text input when the custom branch toggle is activated
• Must pass the selected branch as the branch field in the run payload to backend</t>
  </si>
  <si>
    <t>FR-025 BE-03, FR-022 BE-05</t>
  </si>
  <si>
    <t>branch field in run payload → used by FR-018 BE-05 script pull</t>
  </si>
  <si>
    <t>Post-decoupling validation</t>
  </si>
  <si>
    <t>Validates that existing scripts continue to execute correctly after the JAR decoupling migration.</t>
  </si>
  <si>
    <t>• Validates that existing scripts continue to execute correctly after the JAR decoupling migration.
• Verifies all ICE library injections still function correctly by running full suite of existing journey scripts via ScriptBridge path instead of bundled JAR.
• All ICE SDK calls must resolve correctly from the published framework JAR.</t>
  </si>
  <si>
    <t>• Must resolve all ICE SDK classes from the registry JAR without ClassNotFoundException errors
• Must make helper utilities accessible from scripts via the decoupled ScriptBridge path
• Must produce test results that match the pre-decoupling baseline
• Must complete test run within 10% of pre-decoupling baseline run time
• Must execute the full suite of existing journey scripts via ScriptBridge path instead of bundled JAR</t>
  </si>
  <si>
    <t>BE-01, BE-02, FR-018 BE-05</t>
  </si>
  <si>
    <t>JUnit + Maven</t>
  </si>
  <si>
    <t>JUnit</t>
  </si>
  <si>
    <t>ICE library injection verified; no regression</t>
  </si>
  <si>
    <t>Full E2E decoupling validation</t>
  </si>
  <si>
    <t>Validates the full end-to-end decoupling: generated script uses decoupled JAR, pushed to Git, pulled by ScriptBridge, and executed successfully.</t>
  </si>
  <si>
    <t>• Validates the full end-to-end decoupling ensuring generated script uses decoupled JAR, is pushed to Git, pulled by ScriptBridge, and executed successfully.
• Runs 5 journeys whose scripts are in Git not JAR to verify ScriptBridge pulls correct script at runtime and executes with results stored.
• Confirms Analytics shows correct pass/fail demonstrating full decoupling pipeline end-to-end.</t>
  </si>
  <si>
    <t>• Must verify journey scripts exist only in Git and not in the bundled JAR
• Must pull the correct script via ScriptBridge using FR-018 BE-05
• Must execute scripts from Git without errors
• Must store results in run_executions table
• Must display correct pass/fail status in the Analytics overlay for all 5 test journeys</t>
  </si>
  <si>
    <t>BE-03, BE-04, FR-018 BE-05, FR-022 BE-06</t>
  </si>
  <si>
    <t>Full ScriptBridge pipeline verified end-to-end</t>
  </si>
  <si>
    <t>Settings — Git Configuration</t>
  </si>
  <si>
    <t>FR-024</t>
  </si>
  <si>
    <t>Settings › Git Configuration</t>
  </si>
  <si>
    <t>Save Changes
(BE: entity persisted on save)</t>
  </si>
  <si>
    <t>Defines and persists the Git configuration entity including provider, host, owner, repository, auth type, and encrypted credentials to the ICE database.</t>
  </si>
  <si>
    <t>• Defines and persists the Git configuration entity including provider, host, owner, repository, auth type, and encrypted credentials to the ICE database.
• Defines the git_config table and JPA entity with fields git_config_id (UUID PK), tenant_id (FK), display_name, provider (ENUM), host, owner, repository, path_prefix, auth_type (ENUM), auth_value_encrypted (AES-256), last_tested_at, last_test_status.
• Supports multiple Git providers including github, gitlab, bitbucket, and azure_devops with PAT or SSH key authentication.</t>
  </si>
  <si>
    <t>• Must create git_config row with all required fields: git_config_id, tenant_id, provider, host, owner, repository, auth_type, auth_value_encrypted
• Must never return auth_value_encrypted in plain text via any API
• Must allow multiple git_config records per tenant
• Must return 409 when attempting to delete a git_config that is referenced by any module
• Must persist git_config to git_config and be retrievable on subsequent reads</t>
  </si>
  <si>
    <t>GitHub Copilot — entity + repository boilerplate</t>
  </si>
  <si>
    <t>Spring Boot · JPA · PostgreSQL · AES-256 encryption</t>
  </si>
  <si>
    <t>git_config_id, tenant_id, display_name, provider, host, owner, repository, path_prefix, auth_type, auth_value_encrypted, created_at</t>
  </si>
  <si>
    <t>ENDPOINT YOU CREATE:
GET  /api/v1/settings/git-configs
POST /api/v1/settings/git-configs
PUT  /api/v1/settings/git-configs/{id}
DELETE /api/v1/settings/git-configs/{id}
GET response item: {git_config_id, display_name,
  provider, host, owner, repository, path_prefix,
  auth_type, auth_value: '••••••••',
  last_tested_at, last_test_status}
POST/PUT body: same but auth_value is plain text.</t>
  </si>
  <si>
    <t>FR-020 BE-04 (Git Provider Abstraction) · FR-020 BE-05 (Branch Creation) · FR-020 BE-06 (Artefact Push) · FR-021 BE-01 (Webhook Receiver)</t>
  </si>
  <si>
    <t>Save Changes / Edit / Delete
(BE: CRUD API)</t>
  </si>
  <si>
    <t>Exposes the CRUD API for Git configuration records, supporting create, read, update, and delete operations for the tenant's Git connections.</t>
  </si>
  <si>
    <t>• Exposes the CRUD API for Git configuration records supporting create, read, update, and delete operations for the tenant's Git connections.
• REST endpoints include GET /git-configs (list all for tenant), POST /git-configs (create), PUT /git-configs/{id} (update), DELETE /git-configs/{id} (delete).
• Auth token is never returned in GET/PUT responses and is masked as "••••••••" for security.</t>
  </si>
  <si>
    <t>• Must return all git_config records for the tenant via GET /git-configs with auth_value_encrypted masked
• Must validate all required fields before insert on POST /git-configs and reject invalid payloads with error
• Must return 409 on DELETE /git-configs/{id} if the config is referenced by any module
• Must support partial update on PUT /git-configs/{id} updating only provided fields
• Must persist git_config changes to git_config and be retrievable on subsequent reads</t>
  </si>
  <si>
    <t>GitHub Copilot — REST controller scaffold</t>
  </si>
  <si>
    <t>Spring Boot · REST · Spring Security</t>
  </si>
  <si>
    <t>READ: all fields (auth masked). WRITE: display_name, provider, host, owner, repository, path_prefix, auth_type, auth_value_encrypted. DELETE: removes row (409 if referenced by module).</t>
  </si>
  <si>
    <t>Re-test
(BE: connection test endpoint)</t>
  </si>
  <si>
    <t>Exposes the test connection endpoint that runs a four-check connection validation and returns a structured pass/fail result.</t>
  </si>
  <si>
    <t>• Exposes the test connection endpoint that runs a four-check connection validation and returns a structured pass/fail result.
• POST /git-configs/{id}/test decrypts auth credential in memory and attempts authenticated read of repository metadata via Git provider API.
• Returns status (ok|failed), message, and tested_at timestamp while updating last_tested_at and last_test_status on config record.</t>
  </si>
  <si>
    <t>• Must decrypt auth_value_encrypted in memory and attempt authenticated read of repository metadata on POST /git-configs/{id}/test
• Must return status=ok and update the git_config record on successful connection
• Must return status=failed with provider error message on invalid credentials
• Must return status=failed with timeout message on network timeout
• Must never log the decrypted auth credential in any log or response</t>
  </si>
  <si>
    <t>BE-01, BE-02</t>
  </si>
  <si>
    <t>GitHub Copilot — provider API client</t>
  </si>
  <si>
    <t>Spring Boot · GitHub/GitLab/Bitbucket REST API · OkHttp</t>
  </si>
  <si>
    <t>Reads: auth_value_encrypted (decrypted in memory), host, owner, repository.
Writes: last_tested_at=now(), last_test_status=ok|failed.</t>
  </si>
  <si>
    <t>ENDPOINT YOU CREATE:
POST /api/v1/settings/git-configs/{id}/test
Response 200:
  {status: ok|failed, message, tested_at,
   checks: [{name, status}]}
Updates last_tested_at + last_test_status.</t>
  </si>
  <si>
    <t>Git Config Settings screen display</t>
  </si>
  <si>
    <t>Renders the Git Configuration settings screen with the list of configured Git connections and an Add Configuration button.</t>
  </si>
  <si>
    <t>• Renders the Git Configuration settings screen with the list of configured Git connections and an Add Configuration button.
• Shows existing configs as cards displaying display_name, provider badge, host, and owner/repo with connection status badges (Host ✓, Auth ✓, Repo ✓, Access ✓).
• Empty state is shown when no configs exist.</t>
  </si>
  <si>
    <t>• Must render existing Git configs as cards displaying display_name, provider badge, host, owner/repo, and connection status badges
• Must show connection status badges per card reflecting the last test result
• Must display an empty state with instructional text when no configs exist for the tenant
• Must load the Git Configuration settings panel within 1 second
• Must persist any changes made via the UI to git_config and be retrievable on subsequent reads</t>
  </si>
  <si>
    <t>Cursor AI — settings panel component from mockup</t>
  </si>
  <si>
    <t>FE renders config cards. Triggers BE-02 on Save/Delete, BE-03 on Re-test. Auth token always masked in UI.</t>
  </si>
  <si>
    <t>ENDPOINTS YOU CALL:
GET/PUT /api/v1/settings/* (see BE-01 for
  this sub-screen for exact paths).
POST /api/v1/settings/*/test (see BE-03)
  for Re-test button.
Load config on panel open (GET).
Save Changes → PUT with form values.
Re-test → POST /test endpoint.</t>
  </si>
  <si>
    <t>+ Add Configuration</t>
  </si>
  <si>
    <t>Renders the Add Configuration form for creating a new Git connection, with fields for all mandatory and optional Git config properties.</t>
  </si>
  <si>
    <t>• Renders the Add Configuration form for creating a new Git connection with fields for all mandatory and optional Git config properties.
• Renders the '+ Add Configuration' button below the config cards which opens an inline form on click.
• Form includes Display Name, Provider (dropdown), Host, Owner, Repo, Path Prefix, Auth Type, Auth Value (masked) fields with Save and Cancel actions.</t>
  </si>
  <si>
    <t>• Must render the '+ Add Configuration' button below existing config cards
• Must open an inline form on button click with fields for all mandatory and optional Git config properties
• Must mask the Auth Value field in the form
• Must call BE-02 POST endpoint when Save is clicked
• Must close the form and restore the button when Cancel is clicked
• Must display the new config as a card immediately after successful save</t>
  </si>
  <si>
    <t>FR-024 / BE-02</t>
  </si>
  <si>
    <t>git_config_id, provider, host, owner, repo, auth_type</t>
  </si>
  <si>
    <t>Edit (per card)</t>
  </si>
  <si>
    <t>Renders the Edit button per Git config card, opening the edit form pre-populated with the existing config values.</t>
  </si>
  <si>
    <t>• Renders the Edit button per Git config card opening the edit form pre-populated with the existing config values.
• Expands the card into an editable form on click with all fields editable except git_config_id.
• Save calls BE-02 PUT and Cancel restores read-only card view.</t>
  </si>
  <si>
    <t>• Must render an Edit button on every git_config card
• Must expand the card into an editable form pre-populated with existing config values on click
• Must allow all fields to be edited except git_config_id
• Must re-mask the Auth Value field in the edit form
• Must call BE-02 PUT endpoint when Save is clicked
• Must restore the card to display mode when Cancel is clicked
• Must reflect updated values in the card immediately after successful save</t>
  </si>
  <si>
    <t>Delete (per card)</t>
  </si>
  <si>
    <t>Renders the Delete button per Git config card, calling the delete API and removing the card from the display on confirmation.</t>
  </si>
  <si>
    <t>• Renders the Delete button per Git config card calling the delete API and removing the card from the display on confirmation.
• Shows a confirmation modal on click ('Delete this config? Any modules using it will need to be reassigned.').
• Confirmed delete calls BE-02 DELETE and config card is removed from list on success.</t>
  </si>
  <si>
    <t>• Must render a Delete button on every git_config card
• Must show a confirmation modal with message 'Delete this config? Any modules using it will need to be reassigned.' on button click
• Must call BE-02 DELETE endpoint only after user confirms deletion
• Must remove the card from the display immediately after successful delete
• Must display an error toast if the config is in use by an active module and deletion fails</t>
  </si>
  <si>
    <t>Save Changes</t>
  </si>
  <si>
    <t>Renders the Save Changes button that calls BE-02 to persist the current Git config form values to the ICE database.</t>
  </si>
  <si>
    <t>• Renders the Save Changes button that calls BE-02 to persist the current Git config form values to the ICE database.
• Renders the global 'Save Changes' button in the Settings footer.
• Persists all pending changes across the Git Configuration panel (new configs, edits, deletions) via BE-02 on click and shows success toast on completion.</t>
  </si>
  <si>
    <t>• Must render the 'Save Changes' button in the Settings footer and keep it always visible
• Must trigger BE-02 for all pending changes across the Git Configuration panel on button click
• Must display a success toast after all changes are persisted
• Must highlight validation errors inline if save fails
• Must disable the button during the save operation to prevent duplicate submissions</t>
  </si>
  <si>
    <t>FR-024 / BE-01, FR-024 / BE-02</t>
  </si>
  <si>
    <t>Re-test</t>
  </si>
  <si>
    <t>Renders the Re-test button that calls BE-03 and displays the four-check connection test result inline on the config card.</t>
  </si>
  <si>
    <t>• Renders the Re-test button that calls BE-03 and displays the four-check connection test result inline on the config card.
• Calls BE-03 test endpoint for that config on click.
• Shows per-check progress animation (Host → Auth → Repo → Access) then final Connected/Failed badge.</t>
  </si>
  <si>
    <t>• Must render a Re-test button on each git_config card
• Must call BE-03 test endpoint for that specific config on button click
• Must show per-check progress animation for Host → Auth → Repo → Access in sequence
• Must display a green 'Connected' badge on the card if all four checks pass
• Must display a red 'Failed' badge and indicate which specific checks failed if any check does not pass</t>
  </si>
  <si>
    <t>FR-024 / BE-03; FR-018 BE-12 (Test Connection backend)</t>
  </si>
  <si>
    <t>Re-test / Save Changes
(E2E)</t>
  </si>
  <si>
    <t>Validates the full Git Config settings flow: config created, saved, re-tested, and the result displayed correctly for each check.</t>
  </si>
  <si>
    <t>• Validates the full Git Config settings flow ensuring config is created, saved, re-tested, and the result displayed correctly for each check.
• E2E test adds new GitHub config, re-tests for Connected badge, verifies config appears on Commit to Git branch dropdown, edits display name, and verifies update.
• Negative test uses invalid PAT, re-tests, and verifies Failed badge is shown.</t>
  </si>
  <si>
    <t>• Must persist a new GitHub config and make it appear in the Commit to Git screen after save
• Must display a green 'Connected' badge after a successful Re-test with all checks passing
• Must display a red 'Failed' badge when invalid credentials are provided and Re-test is run
• Must reflect an edited display name immediately in both the Settings panel and Commit to Git screen
• Must persist all configuration changes to git_config and be retrievable on subsequent reads</t>
  </si>
  <si>
    <t>FE-01, BE-01 to BE-03</t>
  </si>
  <si>
    <t>None — integration test</t>
  </si>
  <si>
    <t>E2E: create → re-test → verify Connected badge → verify config available on Commit to Git screen.</t>
  </si>
  <si>
    <t>ENDPOINTS UNDER TEST:
GET/PUT /api/v1/settings/* (sub-screen specific)
POST /api/v1/settings/*/test
Test: save config → verify persisted in DB.
Test: test connection → correct status returned.
Test: auth value masked in GET response.</t>
  </si>
  <si>
    <t>Settings — Branch Configuration</t>
  </si>
  <si>
    <t>FR-025</t>
  </si>
  <si>
    <t>Settings › Branch Configuration</t>
  </si>
  <si>
    <t>Save Changes (BE: branch config entity)</t>
  </si>
  <si>
    <t>Defines and persists the branch configuration entity, storing the list of approved branch names and their type mappings for the tenant.</t>
  </si>
  <si>
    <t>• Stores the list of approved branch names and their type mappings (regression_branch, smoke_branch) in the tenant JSONB field: {configured_branches: TEXT[], regression_branch: TEXT, smoke_branch: TEXT}.
• GET /branch-config returns the current branch configuration for the tenant.
• PUT /branch-config persists the full branch configuration after validating all branch names before write.</t>
  </si>
  <si>
    <t>• Must return current branch config (configured_branches, regression_branch, smoke_branch) via GET /branch-config on panel load
• Must persist configured_branches array, regression_branch, and smoke_branch to tenant JSONB field via PUT /branch-config
• Must reject branch names containing spaces or invalid characters with 400 status code
• Must return 400 status code on validation failure with a clear error message
• Must persist the branch configuration to tenant and be retrievable on subsequent reads</t>
  </si>
  <si>
    <t>tenant</t>
  </si>
  <si>
    <t>configured_branches, regression_branch, smoke_branch</t>
  </si>
  <si>
    <t>GET /api/v1/branch-config → {configured_branches[], regression_branch, smoke_branch}
PUT /api/v1/branch-config body: {configured_branches[], regression_branch, smoke_branch}
Response 200: updated config | 400 ERR-BR-INVALID-NAME</t>
  </si>
  <si>
    <t>FR-022 BE-11 (Local Run Orchestrator) · FR-022 BE-14 (Jenkins Trigger) · FR-023 ScriptBridge Branch Config Integration</t>
  </si>
  <si>
    <t>+ Add branch (BE: branch name validation)</t>
  </si>
  <si>
    <t>Validates new branch name entries against naming conventions and prevents duplicates within the tenant's branch configuration.</t>
  </si>
  <si>
    <t>• Validates branch name format: no spaces, no special chars except /−_, max 100 chars, and no duplicates within the tenant.
• Called inline before a branch is added to the UI list.
• Prevents invalid or duplicate branch names from being added to the tenant's branch configuration.</t>
  </si>
  <si>
    <t>• Must accept branch names with no spaces, only /−_ special chars, and max 100 chars
• Must return 400 with error code ERR-BR-INVALID-NAME for branch names containing spaces or invalid characters
• Must return 400 with error code ERR-BR-DUPLICATE if the branch name already exists within the tenant
• Must reject branch names over 100 characters with a 400 status code</t>
  </si>
  <si>
    <t>FR-025 / BE-01</t>
  </si>
  <si>
    <t>Spring Boot · Bean Validation</t>
  </si>
  <si>
    <t>configured_branches</t>
  </si>
  <si>
    <t>POST /api/v1/branch-config/validate-name body: {branch_name}
Response 200: {valid: true} | 400 {valid: false, error: ERR-BR-INVALID-NAME | ERR-BR-DUPLICATE}</t>
  </si>
  <si>
    <t>Regression Branch / Smoke Branch dropdowns (BE: mapping API)</t>
  </si>
  <si>
    <t>Exposes the API to map branch names to run type roles (regression branch, smoke branch), storing the mapping in the ICE database.</t>
  </si>
  <si>
    <t>• Returns configured_branches as dropdown options for the Regression Branch and Smoke Branch selectors in the UI.
• Stores the mapping of branch names to run type roles (regression_branch, smoke_branch) in the ICE database.
• Validates that the selected mapping branches exist in configured_branches before save.</t>
  </si>
  <si>
    <t>• Must return configured_branches array as dropdown options for Regression Branch and Smoke Branch selectors
• Must allow the same branch to be mapped to both regression_branch and smoke_branch roles
• Must reject on save if the selected branch is not present in configured_branches with a 400 error
• Must store the mapping of regression_branch and smoke_branch to tenant JSONB field</t>
  </si>
  <si>
    <t>regression_branch, smoke_branch</t>
  </si>
  <si>
    <t>GET /api/v1/branch-config/options → {branches: [string]}
(Options list = configured_branches[]. Populates Regression/Smoke dropdowns.)</t>
  </si>
  <si>
    <t>Branch Configuration screen display</t>
  </si>
  <si>
    <t>Renders the Branch Configuration settings screen with the current branch tag list and Add Branch input.</t>
  </si>
  <si>
    <t>• Renders the Branch Configuration panel with two sections: Configured Branches (tag display + add-branch input) and Default Branch Mapping (Regression and Smoke Branch dropdowns).
• Loads the current branch configuration via BE-01 GET on component mount.
• Displays the list of saved branch tags and the current role mappings for the tenant.</t>
  </si>
  <si>
    <t>• Must render the Branch Configuration panel with Configured Branches section and Default Branch Mapping section
• Must display existing branches as tags in the Configured Branches section
• Must populate Regression and Smoke dropdowns with options from configured_branches
• Must load the panel via BE-01 GET and display all content within 1 second of component mount</t>
  </si>
  <si>
    <t>+ Add branch (Enter key)</t>
  </si>
  <si>
    <t>Renders the Add Branch input field that adds a new branch tag to the list when the user presses Enter.</t>
  </si>
  <si>
    <t>• Renders the branch name input field with placeholder '+ Add branch' that accepts new branch names.
• On Enter, calls BE-02 to validate the branch name format and uniqueness.
• On validation pass, adds the branch tag and clears the input; on fail, shows inline error below the input field.</t>
  </si>
  <si>
    <t>• Must render the branch name input field with placeholder text '+ Add branch'
• Must call BE-02 to validate branch name format and uniqueness when the user presses Enter
• Must add the branch tag to the list and clear the input field on validation pass
• Must display an inline error message if validation fails
• Must show error code ERR-BR-DUPLICATE if the branch name is a duplicate
• Must do nothing if Enter is pressed with an empty input field</t>
  </si>
  <si>
    <t>FR-025 / BE-02</t>
  </si>
  <si>
    <t>✕ Remove branch tag</t>
  </si>
  <si>
    <t>Renders the remove control on each branch tag that deletes the branch from the configured list on click.</t>
  </si>
  <si>
    <t>• Renders a ✕ button on each branch tag that removes the branch from the configured list on click.
• Removes the tag from the UI and the pending configuration state.
• If the removed branch is the current Regression or Smoke mapping, that dropdown resets to empty and shows a warning message.</t>
  </si>
  <si>
    <t>• Must render a ✕ button on each branch tag
• Must remove the tag from the UI list and pending configuration state on ✕ click
• Must clear the corresponding dropdown (Regression or Smoke) and show a warning if the removed branch is currently mapped
• Must not persist the removal until the user clicks Save Changes</t>
  </si>
  <si>
    <t>FR-025 / FE-02</t>
  </si>
  <si>
    <t>Regression Branch dropdown</t>
  </si>
  <si>
    <t>Renders the Regression Branch dropdown that maps one of the configured branches to the regression run type role.</t>
  </si>
  <si>
    <t>• Renders the Regression Branch dropdown that maps one of the configured branches to the regression run type role.
• Dropdown options are populated from BE-03 configured_branches, with the current saved value pre-selected.
• The selected regression branch is used for the regression run type in the Execute Tests flow.</t>
  </si>
  <si>
    <t>• Must populate dropdown options from BE-03 configured_branches array
• Must pre-select the currently saved regression branch value if one exists
• Must mark the form as dirty when a different branch is selected
• Must display an empty dropdown or placeholder option when no branches are configured</t>
  </si>
  <si>
    <t>FR-025 / BE-03</t>
  </si>
  <si>
    <t>regression_branch</t>
  </si>
  <si>
    <t>Smoke Branch dropdown</t>
  </si>
  <si>
    <t>Renders the Smoke Branch dropdown that maps one of the configured branches to the smoke run type role.</t>
  </si>
  <si>
    <t>• Renders the Smoke Branch dropdown that maps one of the configured branches to the smoke run type role.
• Dropdown options are populated from BE-03 configured_branches, with the current saved value pre-filled.
• The selected smoke branch is used for the smoke run type in Execute Tests and can map to the same branch as Regression.</t>
  </si>
  <si>
    <t>• Must populate dropdown options from BE-03 configured_branches array
• Must pre-select the currently saved smoke branch value if one exists
• Must mark the form as dirty when a different branch is selected
• Must allow the smoke branch to match the regression branch selection</t>
  </si>
  <si>
    <t>smoke_branch</t>
  </si>
  <si>
    <t>Renders the Save Changes button that persists the current branch configuration to the ICE database.</t>
  </si>
  <si>
    <t>• Renders the global 'Save Changes' button in the Settings footer that persists the current branch configuration to the ICE database.
• On click, calls BE-01 PUT with configured_branches[], regression_branch, and smoke_branch payload.
• Shows success toast on HTTP 200, highlights inline errors on HTTP 400, and is disabled during the save operation.</t>
  </si>
  <si>
    <t>• Must trigger BE-01 PUT with configured_branches[], regression_branch, and smoke_branch payload on click
• Must display a success toast message on 200 response
• Must display inline error messages on validation failure from the backend
• Must disable the button during the save operation to prevent double submission
• Must persist configured_branches, regression_branch, and smoke_branch to tenant and be retrievable on subsequent reads</t>
  </si>
  <si>
    <t>FR-025 / BE-01, FR-025 / BE-02, FR-025 / BE-03</t>
  </si>
  <si>
    <t>Save Changes (E2E)</t>
  </si>
  <si>
    <t>Validates the full branch configuration flow: branches added, roles mapped, saved, and the Execute Tests branch selector populated correctly.</t>
  </si>
  <si>
    <t>• Validates the full branch configuration flow end-to-end: add branch, map roles, save, and verify Execute Tests branch selector is populated correctly.
• Test scenario includes adding 'feature/test-01', validation pass, tag appears, set Regression and Smoke Branches, Save Changes, open Commit to Git, and verify branch appears in input options.
• Also tests adding an invalid branch name and verifies that inline error is shown to the user.</t>
  </si>
  <si>
    <t>• Must accept valid branch name 'feature/test-01' and display it as a tag after validation passes
• Must populate both regression and smoke dropdowns with the newly added branch
• Must persist the complete configuration (branches, roles) and reload it correctly after save
• Must show the configured branch in the Commit to Git branch selector on the Execute Tests screen
• Must reject invalid branch names with a clear validation error
• Must reject duplicate branch names with a clear error message
• Must persist the branch configuration to tenant and be retrievable on subsequent reads</t>
  </si>
  <si>
    <t>FR-025 / FE-01 to FE-06, FR-025 / BE-01 to BE-03</t>
  </si>
  <si>
    <t>Playwright · TypeScript</t>
  </si>
  <si>
    <t>Settings — CI/CD Integration</t>
  </si>
  <si>
    <t>FR-026</t>
  </si>
  <si>
    <t>Settings › CI/CD Integration</t>
  </si>
  <si>
    <t>Save Changes (BE: CI/CD config entity)</t>
  </si>
  <si>
    <t>Defines and persists the CI/CD configuration entity for the tenant, storing provider type, server URL, credentials, and job name in the ICE database.</t>
  </si>
  <si>
    <t>• Defines the cicd_config table and JPA entity storing provider type, server URL, credentials, and job name for the tenant's CI/CD configuration.
• Fields include cicd_config_id (UUID PK), tenant_id (FK), provider (ENUM: JENKINS, GITHUB_ACTIONS, GITLAB_CI, AZURE_DEVOPS), server_url, api_token (encrypted), pipeline_job_name, workflow_file, project_id, organisation, webhook_secret (encrypted), created_at, and updated_at.
• Persists the CI/CD configuration entity in the ICE database for each tenant.</t>
  </si>
  <si>
    <t>• Must create the cicd_config table via Flyway migration with cicd_config_id (UUID PK), tenant_id (FK), provider (ENUM), server_url, api_token, webhook_secret, and job_name fields
• Must define a JPA entity that maps all cicd_config table fields
• Must store api_token and webhook_secret fields using AES-256 encryption
• Must enforce a one-to-one relationship between tenant and cicd_config (one config per tenant)
• Must return decrypted api_token and webhook_secret values on GET only to users with tenant admin role
• Must persist cicd_config records to cicd_config and be retrievable on subsequent reads</t>
  </si>
  <si>
    <t>Spring Boot · Spring Data JPA · Flyway</t>
  </si>
  <si>
    <t>cicd_config</t>
  </si>
  <si>
    <t>cicd_config_id, tenant_id, provider, server_url, api_token, pipeline_job_name, webhook_secret</t>
  </si>
  <si>
    <t>Entity: cicd_config
PK: cicd_config_id (UUID)
FK: tenant_id → tenant(tenant_id)
provider ENUM: JENKINS | GITHUB_ACTIONS | GITLAB_CI | AZURE_DEVOPS
Encrypted fields: api_token, webhook_secret</t>
  </si>
  <si>
    <t>FR-022 BE-14 (Jenkins Trigger Service) · FR-022 BE-15 (Jenkins Callback Handler) · FR-022 BE-16 (Jenkins Status Polling)</t>
  </si>
  <si>
    <t>Save Changes (BE: CI/CD CRUD API)</t>
  </si>
  <si>
    <t>Exposes the CRUD API for CI/CD configuration, supporting save and update operations for the tenant's CI/CD connection.</t>
  </si>
  <si>
    <t>• Exposes REST endpoints for CI/CD configuration: GET /cicd-config (returns current config), POST /cicd-config (create), and PUT /cicd-config (update).
• GET also returns the ICE webhook URL for the tenant in the format /webhooks/cicd/{tenant_slug}.
• Validates required fields per provider before save to ensure correct configuration.</t>
  </si>
  <si>
    <t>• Must return current cicd_config and ICE webhook URL in format /webhooks/cicd/{tenant_slug} on GET /cicd-config
• Must validate all required fields for the selected provider on POST and PUT to /cicd-config
• Must return 400 with error code ERR-CICD-MISSING-FIELD when a required field is missing
• Must return 400 with error code ERR-CICD-INVALID-URL when server_url is not a valid URL format
• Must include the tenant-specific webhook URL in every GET /cicd-config response
• Must persist cicd_config changes to cicd_config and be retrievable on subsequent reads</t>
  </si>
  <si>
    <t>FR-026 / BE-01</t>
  </si>
  <si>
    <t>Spring Boot · Spring MVC · Spring Security</t>
  </si>
  <si>
    <t>provider, server_url, api_token, pipeline_job_name, workflow_file, project_id, organisation</t>
  </si>
  <si>
    <t>GET /api/v1/cicd-config → {provider, server_url, api_token(masked), pipeline_job_name, workflow_file, project_id, organisation, webhook_url}
POST/PUT /api/v1/cicd-config body: {provider, server_url, api_token, ...provider-specific fields}
Response 200: updated config | 400 ERR-CICD-MISSING-FIELD | ERR-CICD-INVALID-URL</t>
  </si>
  <si>
    <t>CI pipeline callback (webhook — not a UI button)</t>
  </si>
  <si>
    <t>Receives the CI/CD pipeline callback webhook after a triggered run completes, updating the run execution record with the pipeline result.</t>
  </si>
  <si>
    <t>• POST /webhooks/cicd/{tenant_slug} receives build completion callbacks from Jenkins, GitHub Actions, GitLab CI, and Azure DevOps after a triggered run completes.
• Validates the HMAC-SHA256 webhook_secret signature to authenticate the callback payload.
• Parses the payload to extract build status (success/failure) and maps it to the corresponding ICE run_execution record.</t>
  </si>
  <si>
    <t>• Must accept POST /webhooks/cicd/{tenant_slug} callbacks from Jenkins, GitHub Actions, GitLab CI, and Azure DevOps
• Must validate the HMAC-SHA256 signature using webhook_secret and return 401 when signature is invalid
• Must parse the build status from the callback payload and update the corresponding run_execution record
• Must handle duplicate webhook deliveries idempotently without creating duplicate updates
• Must return 404 when the tenant_slug in the webhook URL does not match any existing tenant
• Must persist run_execution status updates to run_execution and be retrievable on subsequent reads</t>
  </si>
  <si>
    <t>FR-026 / BE-01, FR-026 / BE-02</t>
  </si>
  <si>
    <t>Spring Boot · HMAC-SHA256</t>
  </si>
  <si>
    <t>run_execution · cicd_config</t>
  </si>
  <si>
    <t>run_execution: status, completed_at | cicd_config: webhook_secret</t>
  </si>
  <si>
    <t>POST /webhooks/cicd/{tenant_slug}
Headers: X-Hub-Signature-256 (HMAC)
Body: provider-specific payload
Response 200: {received: true} | 401: invalid signature | 404: unknown tenant</t>
  </si>
  <si>
    <t>Test Connection (BE: connection test endpoint)</t>
  </si>
  <si>
    <t>Exposes the test connection endpoint that validates the CI/CD connection by attempting a lightweight API call to the configured provider.</t>
  </si>
  <si>
    <t>• POST /cicd-config/test validates the CI/CD connection by attempting a lightweight API call to the configured provider using current form values (not yet saved).
• Runs 3 checks: URL reachable, authentication valid, and pipeline/workflow exists.
• Returns per-check results to indicate connection status and configuration correctness.</t>
  </si>
  <si>
    <t>• Must execute 3 validation checks in sequence on POST /cicd-config/test: URL reachable, authentication valid, pipeline/workflow exists
• Must return individual check results for each of the 3 validation steps independently
• Must identify and return which specific check failed when partial failure occurs
• Must perform validation using current form values without requiring the configuration to be saved first
• Must timeout each individual check after 10 seconds and report timeout as a failure</t>
  </si>
  <si>
    <t>Spring Boot · OkHttp</t>
  </si>
  <si>
    <t>PostgreSQL + CI/CD Provider API</t>
  </si>
  <si>
    <t>server_url, api_token, pipeline_job_name, workflow_file, project_id, organisation</t>
  </si>
  <si>
    <t>POST /api/v1/cicd-config/test body: {provider, server_url, api_token, ...}
Response 200: {checks: [{name: URL, passed: true}, {name: Auth, passed: true}, {name: Pipeline, passed: false, error: 'Pipeline not found'}]}</t>
  </si>
  <si>
    <t>CI/CD Integration screen display</t>
  </si>
  <si>
    <t>Renders the CI/CD Integration settings screen with the provider selection and conditional field groups.</t>
  </si>
  <si>
    <t>• Renders the CI/CD Integration panel in Settings with a Provider selector dropdown at the top and conditional field groups below.
• Displays the configuration form for the currently selected provider (Jenkins, GitHub Actions, GitLab CI, or Azure DevOps).
• Shows the ICE webhook URL for the tenant (read-only with copy button) for CI/CD pipeline callback setup.</t>
  </si>
  <si>
    <t>• Must render the CI/CD Integration panel in Settings with a Provider selector dropdown at the top
• Must display the ICE webhook URL as a read-only field with a copy-to-clipboard button
• Must update the visible configuration form section when the provider selection changes
• Must load and render the entire panel within 1 second</t>
  </si>
  <si>
    <t>provider, server_url, api_token, pipeline_job_name, workflow_file, project_id, organisation, webhook_url</t>
  </si>
  <si>
    <t>Provider dropdown</t>
  </si>
  <si>
    <t>Renders the Provider dropdown (Jenkins / GitHub Actions / GitLab CI / Azure DevOps) that controls which CI/CD field group is shown.</t>
  </si>
  <si>
    <t>• Renders the Provider dropdown at the top of the CI/CD panel with options Jenkins, GitHub Actions, GitLab CI, and Azure DevOps.
• On change, shows the corresponding configuration form (FE-03 to FE-06) and hides all others.
• Pre-selects the current saved provider value on load.</t>
  </si>
  <si>
    <t>• Must display a Provider dropdown with exactly four options: Jenkins, GitHub Actions, GitLab CI, and Azure DevOps
• Must pre-select the currently saved provider value if one exists
• Must show the corresponding configuration form (FE-03 to FE-06) and hide all others when provider changes
• Must preserve entered form values when switching away from a provider and switching back</t>
  </si>
  <si>
    <t>FR-026 / BE-02</t>
  </si>
  <si>
    <t>provider</t>
  </si>
  <si>
    <t>Jenkins fields (Server URL / API Token / Pipeline Job Name)</t>
  </si>
  <si>
    <t>Renders the Jenkins-specific fields (Server URL, API Token, Pipeline Job Name) when Jenkins is selected as the provider.</t>
  </si>
  <si>
    <t>• Renders the Jenkins-specific configuration form with three text fields: Server URL, API Token (masked password input), and Pipeline Job Name.
• Shown only when provider is set to Jenkins.
• All three fields are required for Jenkins configuration.</t>
  </si>
  <si>
    <t>• Must display Jenkins-specific fields (Server URL, API Token, Pipeline Job Name) only when Jenkins is the selected provider
• Must render the API Token field as a masked password input
• Must validate that Server URL conforms to valid URL format
• Must show inline error messages when any of the three required fields (Server URL, API Token, Pipeline Job Name) is empty on save attempt</t>
  </si>
  <si>
    <t>FR-026 / FE-02</t>
  </si>
  <si>
    <t>server_url, api_token, pipeline_job_name</t>
  </si>
  <si>
    <t>GitHub Actions fields (Workflow File / PAT)</t>
  </si>
  <si>
    <t>Renders the GitHub Actions-specific fields (Workflow File, PAT) when GitHub Actions is selected as the provider.</t>
  </si>
  <si>
    <t>• Renders the GitHub Actions-specific form with three fields: Repository (text), Workflow File (text), and Personal Access Token (masked).
• Shown only when provider is set to GitHub Actions.
• Displays these fields exclusively for GitHub Actions provider selection.</t>
  </si>
  <si>
    <t>• Must display GitHub Actions-specific fields (Repository, Workflow File, Personal Access Token) only when GitHub Actions is the selected provider
• Must render the Personal Access Token field as a masked password input
• Must validate that Workflow File has a .yml or .yaml file extension
• Must show inline error messages when any required field (Repository, Workflow File, PAT) is empty on save attempt</t>
  </si>
  <si>
    <t>workflow_file, api_token</t>
  </si>
  <si>
    <t>GitLab CI fields (Project ID / Pipeline Trigger Token)</t>
  </si>
  <si>
    <t>Renders the GitLab CI-specific fields (Project ID, Pipeline Trigger Token) when GitLab CI is selected as the provider.</t>
  </si>
  <si>
    <t>• Renders the GitLab CI-specific form with two fields: Project ID (number input) and Pipeline Trigger Token (masked).
• Shown only when provider is set to GitLab CI.
• Displays these fields exclusively for GitLab CI provider selection.</t>
  </si>
  <si>
    <t>• Must render Project ID and Pipeline Trigger Token fields only when provider is set to GitLab CI
• Must display Project ID as a number input and Pipeline Trigger Token as masked
• Must validate Project ID as a positive integer
• Must mark both Project ID and Pipeline Trigger Token fields as required
• Must hide GitLab CI-specific fields when any other provider is selected</t>
  </si>
  <si>
    <t>project_id, api_token</t>
  </si>
  <si>
    <t>Azure DevOps fields (Organisation / Project / PAT)</t>
  </si>
  <si>
    <t>Renders the Azure DevOps-specific fields (Organisation, Project, PAT) when Azure DevOps is selected as the provider.</t>
  </si>
  <si>
    <t>• Renders the Azure DevOps-specific form with three text fields: Organisation, Project, and Personal Access Token (masked).
• Shown only when provider is set to Azure DevOps.
• Displays these fields exclusively for Azure DevOps provider selection.</t>
  </si>
  <si>
    <t>• Must render Organisation, Project, and Personal Access Token fields only when provider is set to Azure DevOps
• Must display Personal Access Token as masked
• Must validate Organisation and Project as non-empty strings
• Must mark all three fields as required
• Must hide Azure DevOps-specific fields when any other provider is selected</t>
  </si>
  <si>
    <t>organisation, api_token</t>
  </si>
  <si>
    <t>Test Connection</t>
  </si>
  <si>
    <t>Renders the Test Connection button that calls BE-04 and displays the connection test result inline.</t>
  </si>
  <si>
    <t>• Renders the Test Connection button below the provider-specific form that calls BE-04 with current unsaved form values.
• Shows animated progress for each sequential check (URL → Auth → Pipeline) during execution.
• Displays final result as per-check ✓/✗ badges for each validation step.</t>
  </si>
  <si>
    <t>• Must render Test Connection button below provider-specific form for all providers
• Must call BE-04 with current unsaved form values on button click
• Must display animated progress for each sequential check (URL → Auth → Pipeline) during execution
• Must show green ✓ badge on pass and red ✗ badge on fail for each check
• Must disable Test Connection button during test execution
• Must allow Test Connection to run without requiring Save first</t>
  </si>
  <si>
    <t>FR-026 / BE-04</t>
  </si>
  <si>
    <t>Renders the Save Changes button that persists the current CI/CD configuration to the ICE database.</t>
  </si>
  <si>
    <t>• Renders the global Save Changes button in the Settings footer that persists all current CI/CD configuration form values.
• On click calls BE-02 PUT endpoint and shows success toast on 200 response or highlights inline errors on 400 response.
• Button is disabled during the save operation to prevent duplicate submissions.</t>
  </si>
  <si>
    <t>• Must render Save Changes button in the Settings footer
• Must call BE-02 PUT endpoint with all current CI/CD configuration form values on button click
• Must display success toast on 200 response
• Must highlight inline errors on 400 response for missing or invalid fields
• Must disable Save Changes button during save operation
• Must persist the CI/CD configuration to cicd_config and be retrievable on subsequent reads</t>
  </si>
  <si>
    <t>Save Changes / Test Connection / CI pipeline webhook (E2E)</t>
  </si>
  <si>
    <t>Validates the full CI/CD settings flow: provider selected, fields completed, connection tested, saved, and a pipeline trigger verified end-to-end.</t>
  </si>
  <si>
    <t>• Validates the complete CI/CD settings flow from provider selection through field completion, connection testing, saving, and pipeline trigger verification.
• Executes end-to-end test: select Jenkins, fill all three required fields, run Test Connection with all 3 checks passing, save changes, trigger run via Execute Tests, verify Jenkins pipeline fires, simulate Jenkins webhook callback, and verify run_execution status updated.
• Tests error handling by submitting invalid URL and verifying ERR-CICD-INVALID-URL inline error appears.</t>
  </si>
  <si>
    <t>• Must allow provider switch between Jenkins, GitLab CI, and Azure DevOps
• Must pass all Test Connection checks (URL, Auth, Pipeline) for Jenkins provider
• Must persist configuration to cicd_config on Save
• Must trigger Jenkins pipeline on run execution
• Must process webhook callback from Jenkins
• Must reject invalid URL with inline error message</t>
  </si>
  <si>
    <t>FR-026 / FE-01 to FE-08, FR-026 / BE-01 to BE-04</t>
  </si>
  <si>
    <t>PostgreSQL + Jenkins API</t>
  </si>
  <si>
    <t>cicd_config · run_execution</t>
  </si>
  <si>
    <t>provider, server_url, api_token, pipeline_job_name, status</t>
  </si>
  <si>
    <t>Settings — Xray / Jira</t>
  </si>
  <si>
    <t>FR-027</t>
  </si>
  <si>
    <t>Settings › Xray / Jira</t>
  </si>
  <si>
    <t>Save Changes (BE: Xray config entity)</t>
  </si>
  <si>
    <t>Defines and persists the Xray/Jira configuration entity, storing the Jira base URL, project key, and encrypted API credentials for the tenant.</t>
  </si>
  <si>
    <t>• Defines the xray_config table and JPA entity for persisting Jira/Xray configuration per tenant.
• Stores xray_config_id (UUID PK), tenant_id (FK UNIQUE), jira_base_url (TEXT), auth_type (ENUM: CLOUD_API_TOKEN, SERVER_PAT), api_token (TEXT encrypted), default_project_key (TEXT), created_at, and updated_at.
• Ensures one configuration record per tenant through tenant_id UNIQUE constraint.</t>
  </si>
  <si>
    <t>• Must create xray_config table via Flyway migration with xray_config_id (UUID PK), tenant_id (FK UNIQUE), jira_base_url, auth_type, and api_token fields
• Must map JPA entity to all xray_config table fields
• Must store api_token encrypted using AES-256
• Must enforce one config per tenant via unique foreign key constraint on tenant_id
• Must return masked api_token on GET requests
• Must persist xray_config to xray_config and be retrievable on subsequent reads</t>
  </si>
  <si>
    <t>xray_config</t>
  </si>
  <si>
    <t>xray_config_id, tenant_id, jira_base_url, auth_type, api_token, default_project_key</t>
  </si>
  <si>
    <t>Entity: xray_config
PK: xray_config_id (UUID)
FK: tenant_id → tenant(tenant_id) UNIQUE
auth_type ENUM: CLOUD_API_TOKEN | SERVER_PAT
Encrypted: api_token</t>
  </si>
  <si>
    <t>FR-019 BE-03 (Xray Filter Proxy) · FR-019 BE-07 (Batch Step Fetch) · FR-017 FE-03 (Push to Xray Button)</t>
  </si>
  <si>
    <t>Save Changes (BE: Xray CRUD API)</t>
  </si>
  <si>
    <t>Exposes the CRUD API for Xray configuration, supporting save and update operations for the tenant's Xray connection.</t>
  </si>
  <si>
    <t>• Exposes REST endpoints for Xray configuration: GET /xray-config returns current config with api_token masked, POST /xray-config creates new config, PUT /xray-config updates existing config.
• Validates that jira_base_url is a valid URL format.
• Validates that default_project_key is non-empty before persisting.</t>
  </si>
  <si>
    <t>• Must expose GET /xray-config that returns current config with api_token masked
• Must expose POST /xray-config that creates new config and returns 409 if config already exists
• Must expose PUT /xray-config that updates existing config
• Must validate jira_base_url as valid URL format and return 400 ERR-XRAY-INVALID-URL if invalid
• Must validate project_key as non-empty and return 400 ERR-XRAY-MISSING-PROJECT if empty
• Must persist xray_config changes to xray_config and be retrievable on subsequent reads</t>
  </si>
  <si>
    <t>FR-027 / BE-01</t>
  </si>
  <si>
    <t>Spring Boot · Spring MVC</t>
  </si>
  <si>
    <t>jira_base_url, auth_type, api_token, default_project_key</t>
  </si>
  <si>
    <t>GET /api/v1/xray-config → {jira_base_url, auth_type, api_token(masked), default_project_key}
POST/PUT /api/v1/xray-config body: {jira_base_url, auth_type, api_token, default_project_key}
Response 200: updated config | 400 ERR-XRAY-INVALID-URL | ERR-XRAY-MISSING-PROJECT</t>
  </si>
  <si>
    <t>Re-test (BE: connection test endpoint)</t>
  </si>
  <si>
    <t>Exposes the test connection endpoint that validates the Xray connection by authenticating and retrieving the project metadata.</t>
  </si>
  <si>
    <t>• Exposes POST /xray-config/test endpoint that validates Xray connection using current unsaved form values.
• Runs four sequential checks: (1) URL reachable, (2) Auth valid (token accepted by Jira), (3) Project exists (project key resolves in Xray), (4) Write access (can create test in Xray).
• Returns per-check results for each validation step.</t>
  </si>
  <si>
    <t>• Must expose POST /xray-config/test that validates Xray connection using current unsaved form values
• Must run four sequential checks: (1) URL reachable, (2) Auth valid, (3) Project exists, (4) Xray API accessible
• Must return each check result independently with pass/fail status
• Must show which check failed and why on partial failures
• Must skip checks 3 and 4 if auth failure occurs on check 2
• Must apply 10s timeout per check
• Must not require config to be saved before running test</t>
  </si>
  <si>
    <t>FR-027 / BE-01, FR-027 / BE-02</t>
  </si>
  <si>
    <t>Spring Boot · Jira REST Client</t>
  </si>
  <si>
    <t>PostgreSQL + Jira/Xray API</t>
  </si>
  <si>
    <t>POST /api/v1/xray-config/test body: {jira_base_url, auth_type, api_token, default_project_key}
Response 200: {checks: [
  {name: URL, passed: true},
  {name: Auth, passed: true},
  {name: Project, passed: true},
  {name: Write, passed: false, error: Insufficient permissions}
]}</t>
  </si>
  <si>
    <t>Xray / Jira settings screen display</t>
  </si>
  <si>
    <t>Renders the Xray/Jira settings screen with all configuration fields and connection test controls.</t>
  </si>
  <si>
    <t>• Renders the Xray/Jira settings panel with all configuration fields and connection test controls.
• Loads current configuration via BE-02 GET on component mount and displays api_token as masked.
• Auth Type radio selection determines which credential label is shown (API Token vs PAT).</t>
  </si>
  <si>
    <t>• Must render Xray/Jira settings panel with all configuration fields and connection test controls
• Must load current configuration via BE-02 GET on component mount
• Must display api_token as masked with placeholder characters
• Must pre-fill all saved configuration values in form fields
• Must update credential field label based on Auth Type radio selection
• Must load and render panel within 1s</t>
  </si>
  <si>
    <t>Jira Base URL input</t>
  </si>
  <si>
    <t>Renders the Jira Base URL input field for the tenant's Jira instance URL.</t>
  </si>
  <si>
    <t>• Renders the Jira Base URL text input field that accepts the full Jira or Jira Cloud base URL (e.g. https://hdfc.atlassian.net).
• Validates URL format inline on blur event.
• Shows inline error message if the URL format is invalid.</t>
  </si>
  <si>
    <t>• Must render Jira Base URL text input field accepting full Jira or Jira Cloud base URL
• Must pre-fill input with saved jira_base_url value
• Must validate URL format inline on blur event
• Must display inline red error message if URL format is invalid
• Must clear error message when valid URL is entered
• Must show required error on save attempt if field is empty</t>
  </si>
  <si>
    <t>FR-027 / BE-02</t>
  </si>
  <si>
    <t>jira_base_url</t>
  </si>
  <si>
    <t>Cloud API Token / Server PAT radio</t>
  </si>
  <si>
    <t>Renders the Cloud API Token / Server PAT radio selector that switches between Xray Cloud and Server authentication modes.</t>
  </si>
  <si>
    <t>• Renders the Auth Type radio group with two options: Cloud API Token (for Jira Cloud) and Server PAT (for Jira Server / Data Center).
• On change updates the credential field label and placeholder to match the selected authentication type.
• Controls which authentication method is used for Xray connection.</t>
  </si>
  <si>
    <t>• Must render Auth Type radio group with Cloud API Token and Server PAT options
• Must pre-select saved auth_type value on load
• Must update credential field label and placeholder when radio selection changes
• Must persist radio selection in form state until Save Changes is clicked
• Must control which authentication mode is used for connection testing</t>
  </si>
  <si>
    <t>auth_type</t>
  </si>
  <si>
    <t>API Token / PAT field (masked)</t>
  </si>
  <si>
    <t>Renders the API Token or PAT input field (masked) based on the selected authentication mode.</t>
  </si>
  <si>
    <t>• Renders the credential input field as password type (masked) with label reading 'API Token' when auth_type is CLOUD_API_TOKEN or 'Personal Access Token' when auth_type is SERVER_PAT.
• Shows placeholder '••••••••' when a saved credential value exists.
• Provides clear button to allow credential re-entry.</t>
  </si>
  <si>
    <t>• Must render credential input field as password type (masked) at all times
• Must display label as 'API Token' when auth_type is CLOUD_API_TOKEN
• Must display label as 'Personal Access Token' when auth_type is SERVER_PAT
• Must show placeholder '••••••••' when a saved credential value exists
• Must provide clear button to allow re-entry of token
• Must show required error on save attempt if field is empty</t>
  </si>
  <si>
    <t>FR-027 / FE-03</t>
  </si>
  <si>
    <t>api_token</t>
  </si>
  <si>
    <t>Default Project Key input</t>
  </si>
  <si>
    <t>Renders the Default Project Key input that sets the Jira project key used for all Xray push operations.</t>
  </si>
  <si>
    <t>• Renders the Default Project Key text input field that sets the Jira project key used for all Xray push operations.
• The value is validated as a non-empty uppercase string (e.g. HDFCQA) and is used as the default Xray project when pushing test cases.
• Shows an inline error if the field is empty when the user attempts to save.</t>
  </si>
  <si>
    <t>• Must pre-fill the Default Project Key input with the saved project key from xray_config
• Must show a required error message inline if the field is empty on save attempt
• Must automatically uppercase the entered value as the user types
• Must display a tooltip that explains the project key is used as the default Xray project for all test case push operations</t>
  </si>
  <si>
    <t>default_project_key</t>
  </si>
  <si>
    <t>Renders the Re-test button that calls BE-03 and shows the connection result inline on the settings card.</t>
  </si>
  <si>
    <t>• Renders the 'Re-test' button below the connection form that calls BE-03 to test the Xray connection with current unsaved form values.
• On click, displays animated progress for each check in sequence: URL → Auth → Project → Write permissions.
• Shows the final result for each check as a ✓ or ✗ badge inline on the settings card.</t>
  </si>
  <si>
    <t>• Must render a 'Re-test' button below the connection form that calls BE-03 with current unsaved form values
• Must display animated progress for each check in sequence: URL → Auth → Project → Write permissions
• Must show ✓ green icon on pass and ✗ red icon on fail for each check
• Must disable the Re-test button during the test operation
• Must skip Project and Write checks if Auth check fails</t>
  </si>
  <si>
    <t>FR-027 / BE-03</t>
  </si>
  <si>
    <t>PostgreSQL + Jira API</t>
  </si>
  <si>
    <t>Renders the Save Changes button that persists the Xray configuration to the ICE database.</t>
  </si>
  <si>
    <t>• Renders the global 'Save Changes' button in the Settings footer that persists all current Xray/Jira configuration form values to the ICE database.
• On click, calls BE-02 PUT endpoint with the full Xray config and is disabled during the save operation.
• Shows a success toast on 200 response or highlights inline errors on 400 response.</t>
  </si>
  <si>
    <t>• Must trigger BE-02 PUT endpoint with full Xray config on Save Changes button click
• Must display success toast on 200 response
• Must show inline errors if URL is invalid or project key is missing
• Must disable the Save Changes button during the save operation
• Must persist all Xray configuration fields to xray_config and be retrievable on subsequent reads</t>
  </si>
  <si>
    <t>Re-test / Save Changes (E2E)</t>
  </si>
  <si>
    <t>Validates the full Xray settings flow: URL and credentials entered, connection tested, saved, and a test push to Xray verified.</t>
  </si>
  <si>
    <t>• Validates the full end-to-end Xray settings flow including entering credentials, testing connection, saving configuration, and verifying a test push to Xray.
• The test flow includes entering Jira URL, selecting Cloud API Token, entering token and project key HDFCQA, running Re-test with all 4 checks passing, saving changes, and pushing a test case from Journey Stitcher Review &amp; Export to verify it appears in the Xray project.
• Also validates error handling by entering an invalid URL and verifying that ERR-XRAY-INVALID-URL inline error is displayed.</t>
  </si>
  <si>
    <t>• Must pass all 4 Re-test checks (URL, Auth, Project, Write permissions) when valid credentials are provided
• Must persist the Xray configuration to xray_config after Save
• Must successfully push a test case to Xray using the saved configuration
• Must reject invalid URL with inline error message
• Must never expose the masked API token value in any API response
• Must persist the full configuration to xray_config and be retrievable on subsequent reads</t>
  </si>
  <si>
    <t>FR-027 / FE-01 to FE-07, FR-027 / BE-01 to BE-03</t>
  </si>
  <si>
    <t>Settings — LLM Configuration</t>
  </si>
  <si>
    <t>FR-028</t>
  </si>
  <si>
    <t>Settings › LLM Configuration</t>
  </si>
  <si>
    <t>Save Changes (BE: LLM config entity)</t>
  </si>
  <si>
    <t>Defines and persists the LLM configuration entity, storing provider type, model name, encrypted API key, and temperature setting for the tenant.</t>
  </si>
  <si>
    <t>• Defines the llm_config table and JPA entity that stores provider type, model name, encrypted API key, and temperature setting per tenant.
• The table fields include llm_config_id (UUID PK), tenant_id (FK UNIQUE), provider (ENUM: CLAUDE, OPENAI, AZURE_OPENAI, AWS_BEDROCK), model (TEXT), api_key (TEXT encrypted AES-256), temperature (DECIMAL 0.0–2.0), created_at, and updated_at.
• GET /llm-config returns the current configuration with the API key masked, and PUT /llm-config persists the full configuration to the database.</t>
  </si>
  <si>
    <t>• Must create llm_config table via Flyway migration with llm_config_id (UUID PK), tenant_id (FK UNIQUE), provider (ENUM: CLAUDE, OPENAI, AZURE, BEDROCK), model name, encrypted api_key, and temperature fields
• Must enforce one config per tenant via UNIQUE constraint on tenant_id
• Must encrypt api_key at rest in the database
• Must return masked api_key value (e.g. '••••••••') on GET /llm-config
• Must validate provider and model combination on PUT and reject invalid combinations with 400 error
• Must reject temperature values outside the valid range with 400 ERR-LLM-INVALID-TEMP
• Must persist provider, model, encrypted api_key, and temperature to llm_config and be retrievable on subsequent reads</t>
  </si>
  <si>
    <t>llm_config</t>
  </si>
  <si>
    <t>llm_config_id, tenant_id, provider, model, api_key, temperature</t>
  </si>
  <si>
    <t>Entity: llm_config
PK: llm_config_id (UUID)
FK: tenant_id → tenant UNIQUE
provider ENUM: CLAUDE | OPENAI | AZURE_OPENAI | AWS_BEDROCK
GET /api/v1/llm-config → {provider, model, api_key(masked), temperature}
PUT /api/v1/llm-config body: {provider, model, api_key, temperature}
Response 200: updated config | 400 ERR-LLM-INVALID-TEMP | ERR-LLM-INVALID-MODEL</t>
  </si>
  <si>
    <t>FR-019 BE-10 (Automation Prompt Builder) · FR-019 BE-11 (Gherkin Generator) · FR-019 BE-12 (Step Def Generator) · FR-019 BE-13 (Class File Generator)</t>
  </si>
  <si>
    <t>Save Changes (BE: LLM model swap)</t>
  </si>
  <si>
    <t>Implements the LLM model swap, allowing the active model to be changed without restarting the service, taking effect on the next CLAP call.</t>
  </si>
  <si>
    <t>• Implements the LLM model hot-swap mechanism that allows the active model to be changed at runtime without restarting the service.
• On successful PUT /llm-config, updates the CLAP prompt engine to use the new provider and model, taking effect on the next CLAP call.
• Validates that the new model is supported by the selected provider before performing the swap.</t>
  </si>
  <si>
    <t>• Must swap the active LLM model without restarting the service on successful PUT /llm-config
• Must update the CLAP prompt engine to use the new provider and model immediately
• Must apply the new model on the next CLAP generation call
• Must reject invalid provider/model combination with 400 ERR-LLM-INVALID-MODEL
• Must rollback to previous configuration if the swap operation fails
• Must persist the new provider and model to llm_config and be retrievable on subsequent reads</t>
  </si>
  <si>
    <t>FR-028 / BE-01</t>
  </si>
  <si>
    <t>Spring Boot · Application Context</t>
  </si>
  <si>
    <t>provider, model, api_key, temperature</t>
  </si>
  <si>
    <t>INTERNAL — triggered by PUT /api/v1/llm-config on save.
Updates CLAP engine provider at runtime. Rollback on failure.</t>
  </si>
  <si>
    <t>Test Connection (BE: LLM test endpoint)</t>
  </si>
  <si>
    <t>Exposes the test connection endpoint that sends a minimal test prompt to the configured LLM and verifies a valid response is returned.</t>
  </si>
  <si>
    <t>• Exposes POST /llm-config/test endpoint that validates the provided API key and model against the selected provider by sending a minimal test prompt.
• Returns success or failure status along with response latency and does not require the configuration to be saved before testing.
• Times out after 15 seconds if no response is received from the LLM provider.</t>
  </si>
  <si>
    <t>• Must return 200 {connected: true, latency_ms: N} when valid API key and model are provided
• Must return 401 {connected: false, error: 'Invalid API key'} when API key is invalid
• Must return 400 {connected: false, error: 'Model not found'} when model is invalid
• Must return 408 {connected: false, error: 'Timeout'} when the test prompt request times out
• Must send a minimal test prompt to the configured LLM provider without requiring saved configuration</t>
  </si>
  <si>
    <t>Spring Boot · LLM Provider SDKs</t>
  </si>
  <si>
    <t>PostgreSQL + LLM Provider API</t>
  </si>
  <si>
    <t>provider, model, api_key</t>
  </si>
  <si>
    <t>POST /api/v1/llm-config/test body: {provider, model, api_key}
Response 200: {connected: true, latency_ms: 342}
Response 401: {connected: false, error: Invalid API key}
Response 408: {connected: false, error: Request timeout after 15s}</t>
  </si>
  <si>
    <t>LLM Configuration screen display</t>
  </si>
  <si>
    <t>Renders the LLM Configuration settings screen with provider, model, API key, and temperature fields.</t>
  </si>
  <si>
    <t>• Renders the LLM Configuration panel in Settings with provider dropdown, model input, API key field (masked), temperature slider, and Test Connection button.
• Loads the current LLM configuration via BE-01 GET on component mount.
• Pre-selects the current saved provider in the dropdown.</t>
  </si>
  <si>
    <t>• Must render the LLM Configuration panel with provider dropdown, model input, masked API key field, temperature slider, and Test Connection button
• Must load current LLM configuration via BE-01 GET on component mount
• Must pre-fill all fields with saved values from llm_config
• Must mask the API key field at all times
• Must display the saved temperature value on the slider
• Must load the panel within 1 second</t>
  </si>
  <si>
    <t>Renders the Provider dropdown (Anthropic / OpenAI / Azure OpenAI) that determines which LLM API is used for CLAP calls.</t>
  </si>
  <si>
    <t>• Renders the Provider dropdown with options for Claude (Anthropic), OpenAI GPT-4, Azure OpenAI, and AWS Bedrock that determines which LLM API is used for CLAP calls.
• On provider change, updates the Model input placeholder to show recommended models for the selected provider.
• Pre-selects the current saved provider when the form loads.</t>
  </si>
  <si>
    <t>• Must render Provider dropdown with options: Claude (Anthropic), OpenAI GPT-4, Azure OpenAI, AWS Bedrock
• Must pre-select the saved provider from llm_config
• Must update the Model input placeholder to show the recommended model when provider is changed
• Must mark the form as dirty when provider selection changes</t>
  </si>
  <si>
    <t>Model input</t>
  </si>
  <si>
    <t>Renders the Model input field for specifying the exact model identifier (e.g. claude-sonnet-4-6, gpt-4o).</t>
  </si>
  <si>
    <t>• Renders the Model text input field for specifying the exact model identifier (e.g. claude-sonnet-4-20250514, gpt-4o).
• Displays a placeholder with the recommended model for the selected provider and accepts free-text model names.
• The entered model name is validated against the selected provider during Test Connection.</t>
  </si>
  <si>
    <t>• Must pre-fill the Model input with the saved model identifier from llm_config
• Must update the placeholder with the recommended model for the selected provider
• Must accept free-text model names (e.g. claude-sonnet-4-20250514, gpt-4o)
• Must show a required error message inline if the field is empty on save attempt</t>
  </si>
  <si>
    <t>FR-028 / FE-02</t>
  </si>
  <si>
    <t>model</t>
  </si>
  <si>
    <t>API Key field (masked)</t>
  </si>
  <si>
    <t>Renders the API Key input field (masked) for the selected LLM provider's API key.</t>
  </si>
  <si>
    <t>• Renders the API Key password input field (masked) for entering the selected LLM provider's API key.
• Shows placeholder '••••••••' when a saved key exists and includes a clear button to allow re-entry.
• The label displays 'API Key' consistently for all providers.</t>
  </si>
  <si>
    <t>• Must mask the API Key field at all times using password input type
• Must display placeholder '••••••••' when a saved key exists in llm_config
• Must render a clear button that allows the user to re-enter a new API key
• Must show a required error message inline if the field is empty on save attempt</t>
  </si>
  <si>
    <t>api_key</t>
  </si>
  <si>
    <t>Temperature slider</t>
  </si>
  <si>
    <t>Renders the Temperature slider (0.0 to 1.0) for controlling the LLM output variability.</t>
  </si>
  <si>
    <t>• Renders the Temperature slider with range 0.0 to 2.0 (step 0.1) for controlling LLM output variability.
• The temperature value is passed to CLAP on each generation call and shows the current value as a numeric label next to the slider.
• Defaults to 0.7 when no saved value exists.</t>
  </si>
  <si>
    <t>• Must render Temperature slider with range 0.0 to 2.0 and step 0.1
• Must pre-set the slider to the saved temperature value from llm_config
• Must display a numeric label next to the slider that updates live as the slider moves
• Must interpret value 0.0 as deterministic output and 2.0 as creative output
• Must reject out-of-range temperature values with 400 error on save attempt</t>
  </si>
  <si>
    <t>temperature</t>
  </si>
  <si>
    <t>Renders the Test Connection button that calls BE-03 and displays the result inline.</t>
  </si>
  <si>
    <t>• Renders the 'Test Connection' button below the form that calls BE-03 with current unsaved provider, model, and API key values.
• Shows a spinner during the test operation and displays the result as a badge.
• On success shows 'Connected ✓' with latency, or on failure shows 'Failed ✗' with error message.</t>
  </si>
  <si>
    <t>• Must call BE-03 with current unsaved provider, model, and API key form values when clicked
• Must display a spinner during the test operation and disable the button until the test completes
• Must show a green 'Connected ✓' badge with latency in milliseconds on successful connection
• Must show a red 'Failed' badge with the error reason on connection failure
• Must disable the button during the test operation to prevent concurrent requests</t>
  </si>
  <si>
    <t>FR-028 / BE-03</t>
  </si>
  <si>
    <t>Renders the Save Changes button that persists the LLM configuration to the ICE database.</t>
  </si>
  <si>
    <t>• Renders the global 'Save Changes' button in the Settings footer that persists the current provider, model, api_key, and temperature values to the database via BE-01 PUT.
• On successful save, triggers the BE-02 model hot-swap to apply the new configuration at runtime.
• Shows a success toast notification on completion.</t>
  </si>
  <si>
    <t>• Must trigger BE-01 PUT with current provider, model, api_key, and temperature values when clicked
• Must trigger BE-02 model hot-swap after successful BE-01 PUT to apply the new configuration
• Must display a success toast notification on successful save and hot-swap
• Must show inline validation errors for invalid model name or temperature value before submission
• Must disable the button during the save operation to prevent duplicate submissions
• Must persist provider, model, api_key, and temperature to llm_config and be retrievable on subsequent reads</t>
  </si>
  <si>
    <t>FR-028 / BE-01, FR-028 / BE-02</t>
  </si>
  <si>
    <t>Test Connection / Save Changes (E2E)</t>
  </si>
  <si>
    <t>Validates the full LLM configuration flow: provider and model set, API key saved, test connection succeeds, and CLAP uses the updated config on next call.</t>
  </si>
  <si>
    <t>• Validates the full end-to-end LLM configuration flow including setting provider and model, saving API key, testing connection, and verifying CLAP uses the updated configuration.
• The test flow includes selecting OpenAI GPT-4, entering model gpt-4o, entering valid API key, setting temperature 0.8, running Test Connection (Connected ✓ with latency shown), saving changes, triggering code generation on Automate screen, and verifying CLAP uses OpenAI gpt-4o.
• Also validates error handling by entering an invalid API key and verifying the 'Failed ✗' badge displays with 'Invalid API key' error message.</t>
  </si>
  <si>
    <t>• Must persist the selected provider and model combination across the full configuration flow
• Must use the newly configured model in CLAP on the next content generation request
• Must display correct latency in milliseconds in the Test Connection badge on successful test
• Must show a 'Failed' badge when an invalid API key is provided during Test Connection
• Must persist the temperature setting and pass it to CLAP on subsequent generation requests</t>
  </si>
  <si>
    <t>FR-028 / FE-01 to FE-07, FR-028 / BE-01 to BE-03</t>
  </si>
  <si>
    <t>Settings — Agent Pool</t>
  </si>
  <si>
    <t>FR-029</t>
  </si>
  <si>
    <t>Settings › Agent Pool</t>
  </si>
  <si>
    <t>Save Changes (BE: agent config entity)</t>
  </si>
  <si>
    <t>Defines and persists the agent pool configuration entity, storing max parallel agents, queue behaviour, and agent timeout settings for the tenant.</t>
  </si>
  <si>
    <t>• Defines and persists the agent pool configuration entity in the tenant table JSONB column, storing max_parallel_agents (INT 1–20), queue_behaviour (ENUM: WAIT, FAIL_FAST), and agent_timeout_minutes (INT: 15/30/60).
• GET /agent-config returns the current configuration, and PUT /agent-config persists changes to the tenant table.
• Validates max_parallel_agents against the tenant's plan limit at save time (Standard=2, Pro=5, Enterprise=20).</t>
  </si>
  <si>
    <t>• Must return current max_parallel_agents, queue_behaviour, and agent_timeout_minutes on GET /agent-config
• Must validate max_parallel_agents against tenant plan limit on PUT and return 400 ERR-AGENT-PLAN-LIMIT if exceeded
• Must return 400 ERR-AGENT-INVALID-QUEUE if queue_behaviour is not WAIT or FAIL_FAST
• Must apply configuration changes on the next agent run without interrupting runs currently in progress
• Must persist max_parallel_agents, queue_behaviour, and agent_timeout_minutes to tenant JSONB column and be retrievable on subsequent reads</t>
  </si>
  <si>
    <t>max_parallel_agents, queue_behaviour, agent_timeout_minutes</t>
  </si>
  <si>
    <t>GET /api/v1/agent-config → {agent_type, max_parallel_agents, queue_behaviour, agent_timeout_minutes, plan_limit}
PUT /api/v1/agent-config body: {max_parallel_agents, queue_behaviour, agent_timeout_minutes}
Response 200: updated config | 400 ERR-AGENT-PLAN-LIMIT | ERR-AGENT-INVALID-QUEUE</t>
  </si>
  <si>
    <t>FR-022 BE-11 (Local Run Orchestrator) — reads max_parallel_agents to cap concurrent local runs · FR-022 BE-14 (Jenkins Trigger) — reads queue_behaviour and agent_timeout</t>
  </si>
  <si>
    <t>Agent Pool screen display</t>
  </si>
  <si>
    <t>Renders the Agent Pool settings screen with the agent type display and all configurable pool parameters.</t>
  </si>
  <si>
    <t>• Renders the Agent Pool settings panel displaying Agent Type (read-only), Max Parallel Agents dropdown, Queue Behaviour dropdown, and Agent Timeout dropdown.
• Loads the current agent pool configuration via BE-01 GET /agent-config on component mount.
• Pre-selects all saved configuration values in their respective dropdown controls.</t>
  </si>
  <si>
    <t>• Must render Agent Type as read-only badge, Max Parallel Agents dropdown, Queue Behaviour dropdown, and Agent Timeout dropdown
• Must load current agent pool configuration via BE-01 GET /agent-config on component mount
• Must pre-populate all dropdown fields with the saved configuration values returned from BE-01
• Must complete panel rendering and data loading within 1 second of mount</t>
  </si>
  <si>
    <t>agent_type, max_parallel_agents, queue_behaviour, agent_timeout_minutes</t>
  </si>
  <si>
    <t>Agent Type (read-only)</t>
  </si>
  <si>
    <t>Renders the Agent Type field as read-only, showing the current agent type assigned to the tenant by the Codiem admin.</t>
  </si>
  <si>
    <t>• Renders the Agent Type field as a read-only information field displaying the agent type assigned to the tenant by the Codiem admin.
• Always displays 'Cloud Managed' for SaaS tenants with no edit capability.
• Shows a tooltip explaining that ICE manages agents automatically and no user configuration is required.</t>
  </si>
  <si>
    <t>• Must display Agent Type as a read-only badge with value 'Cloud Managed' for SaaS tenants
• Must not provide any edit capability for the Agent Type field
• Must show a tooltip on hover explaining that ICE manages the agent infrastructure</t>
  </si>
  <si>
    <t>agent_type</t>
  </si>
  <si>
    <t>Max Parallel Agents dropdown</t>
  </si>
  <si>
    <t>Renders the Max Parallel Agents dropdown that sets the maximum number of concurrent journey test executions for the tenant.</t>
  </si>
  <si>
    <t>• Renders the Max Parallel Agents dropdown that sets the maximum number of concurrent journey test executions allowed for the tenant.
• Dropdown options are determined by the tenant's subscription plan: Standard (2), Pro (2/5), Enterprise (2/5/10/20).
• Pre-selects the current saved value and displays a plan limit hint below the dropdown.</t>
  </si>
  <si>
    <t>• Must render dropdown options that match the tenant's subscription plan limit: Standard (2), Pro (2/5), Enterprise (2/5/10/20)
• Must pre-select the currently saved max_parallel_agents value in the dropdown
• Must display a plan limit hint below the dropdown indicating the tenant's plan and maximum allowed agents
• Must disable dropdown options that exceed the tenant's plan limit to prevent selection</t>
  </si>
  <si>
    <t>FR-029 / BE-01</t>
  </si>
  <si>
    <t>max_parallel_agents</t>
  </si>
  <si>
    <t>Queue Behaviour dropdown</t>
  </si>
  <si>
    <t>Renders the Queue Behaviour dropdown (Wait / Drop / Fail Fast) that controls how excess run requests are handled when the agent pool is full.</t>
  </si>
  <si>
    <t>• Renders the Queue Behaviour dropdown that controls how excess run requests are handled when all agents in the pool are busy.
• Provides two options: 'Wait in queue' (queues runs when all agents are busy) and 'Fail fast' (immediately fails the run if no agent is available).
• Pre-selects the current saved queue_behaviour value from the tenant configuration.</t>
  </si>
  <si>
    <t>• Must render both 'Wait in queue' and 'Fail fast' options in the Queue Behaviour dropdown
• Must pre-select the currently saved queue_behaviour value in the dropdown
• Must display a tooltip for each option explaining the behaviour when all agents are busy
• Must mark the form as dirty when the dropdown value is changed</t>
  </si>
  <si>
    <t>queue_behaviour</t>
  </si>
  <si>
    <t>Agent Timeout dropdown</t>
  </si>
  <si>
    <t>Renders the Agent Timeout dropdown that sets the maximum execution time per journey before the agent is forcibly terminated.</t>
  </si>
  <si>
    <t>• Renders the Agent Timeout dropdown that sets the maximum execution time per journey before the agent is forcibly terminated.
• Provides three timeout options: 15 minutes, 30 minutes, and 60 minutes.
• Pre-selects the current saved agent_timeout_minutes value from the tenant configuration.</t>
  </si>
  <si>
    <t>• Must render three timeout options in the Agent Timeout dropdown: 15 minutes, 30 minutes, and 60 minutes
• Must pre-select the currently saved agent_timeout_minutes value in the dropdown
• Must mark the form as dirty when the dropdown value is changed
• Must display a tooltip explaining that the timeout forcibly terminates the agent if the journey execution exceeds the limit</t>
  </si>
  <si>
    <t>agent_timeout_minutes</t>
  </si>
  <si>
    <t>Renders the Save Changes button that persists the agent pool configuration to the ICE database.</t>
  </si>
  <si>
    <t>• Renders the global 'Save Changes' button in the Settings footer that persists all agent pool configuration changes.
• On click, calls BE-01 PUT /agent-config with the current max_parallel_agents, queue_behaviour, and agent_timeout_minutes values.
• Displays a success toast on HTTP 200 response, or shows an inline plan limit error on HTTP 400 response.</t>
  </si>
  <si>
    <t>• Must call BE-01 PUT /agent-config with current max_parallel_agents, queue_behaviour, and agent_timeout_minutes values when clicked
• Must display a success toast notification on receiving 200 response from BE-01
• Must display an inline error message when receiving 400 ERR-AGENT-PLAN-LIMIT response indicating plan limit exceeded
• Must disable the button during the save operation to prevent duplicate submissions
• Must persist max_parallel_agents, queue_behaviour, and agent_timeout_minutes to tenant and be retrievable on subsequent reads</t>
  </si>
  <si>
    <t>Validates the full agent pool configuration flow: max agents set, queue behaviour configured, saved, and the Execute Tests run respects the new limits.</t>
  </si>
  <si>
    <t>• Validates the complete agent pool configuration workflow end-to-end: setting max agents, configuring queue behaviour, saving changes, and verifying that Execute Tests respects the new limits.
• Tests the scenario: set max_parallel_agents=2, queue_behaviour=Wait, agent_timeout=30 min, save, trigger 3 concurrent runs, and verify the 3rd run queues instead of failing.
• Tests the plan limit validation: attempt to set max_parallel_agents above the tenant's plan limit and verify that ERR-AGENT-PLAN-LIMIT inline error is displayed.</t>
  </si>
  <si>
    <t>• Must persist all agent pool configuration changes after save and retrieve them correctly on subsequent reads
• Must queue the 3rd concurrent run when max_parallel_agents is set to 2 and queue_behaviour is WAIT
• Must display an inline error and reject the save when max_parallel_agents exceeds the tenant's plan limit
• Must apply the configured agent_timeout_minutes to long-running agents and terminate them when the timeout is reached</t>
  </si>
  <si>
    <t>FR-029 / FE-01 to FE-06, FR-029 / BE-01</t>
  </si>
  <si>
    <t>Settings — Data Residency</t>
  </si>
  <si>
    <t>FR-030</t>
  </si>
  <si>
    <t>Settings › Data Residency</t>
  </si>
  <si>
    <t>Save Changes (BE: data residency entity)</t>
  </si>
  <si>
    <t>Defines and persists the data residency configuration entity, storing the selected data region for the tenant.</t>
  </si>
  <si>
    <t>• Defines and persists the data residency configuration by storing the selected data_region in the tenant table as an ENUM (EU_FRANKFURT, US_VIRGINIA, APAC_SINGAPORE, IN_MUMBAI).
• GET /data-residency returns the current region and available regions, while PUT /data-residency validates the new region and initiates an async region migration workflow if the region is changing.
• Region change operations are asynchronous and return a job_id to track migration progress.</t>
  </si>
  <si>
    <t>• Must return current data_region and available region options on GET /data-residency
• Must validate that the new data_region value is a supported ENUM option (EU_FRANKFURT, US_VIRGINIA, APAC_SINGAPORE, IN_MUMBAI) on PUT
• Must return 200 OK with no operation performed when the new region matches the current region
• Must return 202 Accepted with a job_id when a region change is requested and initiate the migration job
• Must return 400 ERR-DR-INVALID-REGION when an unsupported or invalid region value is submitted
• Must persist data_region to tenant and be retrievable on subsequent reads</t>
  </si>
  <si>
    <t>data_region, region_migration_status, region_migration_job_id</t>
  </si>
  <si>
    <t>GET /api/v1/data-residency → {current_region, available_regions[], migration_status}
PUT /api/v1/data-residency body: {region}
Response 200: no-op (same region) | 202: {job_id, status: MIGRATING} | 400 ERR-DR-INVALID-REGION</t>
  </si>
  <si>
    <t>FR-052 BE-01 (Tenant Isolation Middleware) · FR-052 BE-04 (tenant_id Backfill Migration) · FR-052 BE-05 (Dedicated DB Migration — Enterprise)</t>
  </si>
  <si>
    <t>Save Changes (BE: region enforcement)</t>
  </si>
  <si>
    <t>Enforces the configured data region at the infrastructure level, ensuring all data writes are routed to the correct regional database and storage.</t>
  </si>
  <si>
    <t>• Enforces the tenant's configured data_region at the infrastructure middleware layer for all database writes and object storage operations.
• Validates that data does not cross the configured regional boundary during any data operation.
• Intercepts all repository calls and routes them to the correct regional database endpoint based on the tenant's data_region setting.</t>
  </si>
  <si>
    <t>• Must route all database writes to the regional endpoint specified in tenant.data_region
• Must route all object storage operations to the regional endpoint specified in tenant.data_region
• Must reject cross-region write attempts with HTTP 500 and error code ERR-DR-CROSS-REGION
• Must switch middleware routing to the new regional endpoint when tenant.data_region is updated via BE-01
• Must block all new writes with appropriate error when tenant.migration_status is MIGRATING until migration completes
• Must persist the updated data_region to tenant and be retrievable on subsequent reads</t>
  </si>
  <si>
    <t>FR-030 / BE-01</t>
  </si>
  <si>
    <t>Spring Boot · AOP · Spring Data JPA</t>
  </si>
  <si>
    <t>data_region, region_migration_status</t>
  </si>
  <si>
    <t>INTERNAL — AOP interceptor on all @Repository calls.
Routes to regional DB based on tenant data_region.
Raises ERR-DR-CROSS-REGION on invalid routing.</t>
  </si>
  <si>
    <t>Data Residency screen display</t>
  </si>
  <si>
    <t>Renders the Data Residency settings screen showing the current region and the region change controls.</t>
  </si>
  <si>
    <t>• Renders the Data Residency settings panel displaying the current active region, the region change dropdown, and region change controls.
• Shows a warning banner explaining that region changes trigger a data migration process that may take time to complete.
• Loads the current data residency configuration via BE-01 GET /data-residency on component mount.</t>
  </si>
  <si>
    <t>• Must render the Data Residency settings panel displaying the current active region badge
• Must render the region change dropdown with all available regions
• Must render the region change warning banner explaining migration time impact
• Must load and render the complete panel within 1 second</t>
  </si>
  <si>
    <t>Current region display</t>
  </si>
  <si>
    <t>Renders the current active data region as a read-only display field on the settings screen.</t>
  </si>
  <si>
    <t>• Renders the current active data region as a read-only badge displaying the region name (e.g., 'APAC — Singapore').
• Shows a migration status indicator (amber 'Migrating...' badge with spinner) if a region change is currently in progress.
• Refreshes the migration status every 10 seconds during an active migration process.</t>
  </si>
  <si>
    <t>• Must render the current active data region as a read-only badge displaying the region name (e.g. APAC — Singapore)
• Must display an amber 'Migrating...' badge with spinner when tenant.migration_status indicates a region change is in progress
• Must refresh the migration status indicator every 10 seconds while migration is active
• Must display the new region badge once migration completes and status updates</t>
  </si>
  <si>
    <t>Data Region dropdown</t>
  </si>
  <si>
    <t>Renders the Data Region dropdown listing the available regions (EU, US, APAC) for the tenant to select.</t>
  </si>
  <si>
    <t>• Renders the Data Region dropdown listing all available data regions: EU (Frankfurt), US (Virginia), APAC (Singapore), and IN (Mumbai).
• Pre-selects the tenant's current active data region in the dropdown.
• Disables the dropdown and shows a tooltip if a region migration is already in progress.</t>
  </si>
  <si>
    <t>• Must render the dropdown listing all 4 available data regions: EU (Frankfurt), US (Virginia), APAC (Singapore), IN (Mumbai)
• Must pre-select the tenant's current active data_region value in the dropdown
• Must disable the dropdown and show a tooltip when an active migration is in progress
• Must trigger no action when user selects the same region as the current active region
• Must trigger the FE-04 confirmation modal when user selects a different region than current</t>
  </si>
  <si>
    <t>data_region</t>
  </si>
  <si>
    <t>Change confirmation modal</t>
  </si>
  <si>
    <t>Renders the region change confirmation modal that warns the user of the implications before allowing the region change to be saved.</t>
  </si>
  <si>
    <t>• Renders a confirmation modal when the user selects a different region in the Data Region dropdown (FE-03).
• Displays warning text: 'Changing region to {new_region} will migrate all tenant data. This may take 10–30 minutes. New writes will be paused during migration. Continue?'
• Provides two actions: Confirm (proceeds to allow Save Changes) and Cancel (restores the previous region selection).</t>
  </si>
  <si>
    <t>• Must display the confirmation modal immediately when user selects a different region in FE-03 dropdown
• Must display warning text including the new region name and migration duration estimate (10–30 minutes)
• Must provide Confirm button that closes modal and enables the Save Changes button
• Must provide Cancel button that closes modal and restores the previous dropdown selection
• Must prevent dismissal by clicking outside the modal boundaries</t>
  </si>
  <si>
    <t>FR-030 / FE-03</t>
  </si>
  <si>
    <t>Renders the Save Changes button, active only after the user has confirmed the region change in the confirmation modal.</t>
  </si>
  <si>
    <t>• Renders the global 'Save Changes' button in the Settings footer, enabled only after the user confirms the region change via the FE-04 confirmation modal.
• On click, calls BE-01 PUT /data-residency with the selected region value.
• For same-region saves, displays HTTP 200 success toast; for region changes, returns HTTP 202 and shows a migration progress banner.</t>
  </si>
  <si>
    <t>• Must render the Save Changes button in the Settings footer, enabled only after user confirms region change via FE-04 modal
• Must call BE-01 PUT /data-residency with the selected region value on button click
• Must display success toast for same-region save operations
• Must display migration progress banner and disable the region dropdown until migration completes for cross-region saves
• Must persist the region change to tenant and be retrievable on subsequent reads</t>
  </si>
  <si>
    <t>FR-030 / BE-01, FR-030 / BE-02</t>
  </si>
  <si>
    <t>data_region, region_migration_job_id</t>
  </si>
  <si>
    <t>Validates the full data residency flow: region selected, confirmation modal shown, saved, and data writes routed to the new region.</t>
  </si>
  <si>
    <t>• Validates the complete data residency migration workflow from region selection through confirmation to data routing in the new region.
• Tests APAC to EU Frankfurt migration with confirmation modal, 202 response with job_id, migration status badge display, and final region verification.
• Verifies the no-op scenario when the same region is selected, expecting no modal and a 200 response without migration.</t>
  </si>
  <si>
    <t>• Must display the FE-04 confirmation modal when user selects a different region (e.g. APAC to EU Frankfurt)
• Must enable the Save Changes button only after user confirms via the modal
• Must return HTTP 202 with job_id when region change is saved
• Must display migration status banner while migration is in progress
• Must update the current region display to the new value once migration completes
• Must treat same-region selection as a no-op with no migration triggered</t>
  </si>
  <si>
    <t>FR-030 / FE-01 to FE-05, FR-030 / BE-01 to BE-02</t>
  </si>
  <si>
    <t>Settings — Accessibility Profile</t>
  </si>
  <si>
    <t>FR-031</t>
  </si>
  <si>
    <t>Settings › Accessibility Profile</t>
  </si>
  <si>
    <t>Save Changes (BE: accessibility profile entity)</t>
  </si>
  <si>
    <t>Defines and persists the accessibility profile entity, storing the configured WCAG level, domain, severity threshold, and component group selections for the tenant.</t>
  </si>
  <si>
    <t>• Defines and persists the accessibility profile configuration entity with WCAG level, domain, severity threshold, and component group selections.
• Stores AccessibilityRunConfig as JSONB in tenant.accessibility_config with fields domain, wcag_level, severity_threshold, and component_groups.
• Exposes GET /accessibility-config to retrieve current configuration and PUT /accessibility-config to persist changes.</t>
  </si>
  <si>
    <t>• Must return current accessibility_config on GET /accessibility/profile request when panel loads
• Must accept and persist domain, wcag_level, severity_threshold, and component_groups on PUT /accessibility/profile
• Must reject invalid domain values with HTTP 400 and error code ERR-ACC-INVALID-DOMAIN
• Must reject invalid wcag_level values with HTTP 400 and error code ERR-ACC-INVALID-LEVEL
• Must make persisted config available to FR-044 Axe execution engine for every accessibility run
• Must persist the updated accessibility_config to tenant and be retrievable on subsequent reads</t>
  </si>
  <si>
    <t>accessibility_config JSONB: domain, wcag_level, severity_threshold, component_groups</t>
  </si>
  <si>
    <t>GET /api/v1/accessibility-config → {domain, wcag_level, severity_threshold, component_groups}
PUT /api/v1/accessibility-config body: {domain, wcag_level, severity_threshold, component_groups}
Response 200: updated config | 400 ERR-ACC-INVALID-DOMAIN | ERR-ACC-INVALID-LEVEL</t>
  </si>
  <si>
    <t>FR-022 FE-07 (Type of Test Toggles — Accessibility option) · FR-044 BE-10 (Axe Execution Engine reads profile set here) · FR-044 BE-07 (Profile Builder API uses config)</t>
  </si>
  <si>
    <t>Active rule count display (BE: profile preview)</t>
  </si>
  <si>
    <t>Queries the WCAG rule registry to count how many Axe rules match the current profile filter selections, returning the active rule count for display.</t>
  </si>
  <si>
    <t>• Queries the WCAG rule registry to count how many Axe rules match the current accessibility profile filter selections.
• Implements GET /accessibility/profile-preview endpoint that accepts domain, wcag_level, severity_threshold, and component_groups parameters.
• Returns the count of Axe rules that would fire for the given configuration, called on every config change to update the UI rule count display.</t>
  </si>
  <si>
    <t>• Must return accurate rule count matching the provided domain, wcag_level, severity_threshold, and component_groups filter combination on GET /accessibility/profile-preview
• Must return updated rule count within 300ms of any config change
• Must return count of zero for config combinations that match no rules, triggering warning display
• Must provide rule count data used by FE-07 to display live active rule count</t>
  </si>
  <si>
    <t>FR-031 / BE-01</t>
  </si>
  <si>
    <t>Spring Boot · Spring JDBC</t>
  </si>
  <si>
    <t>wcag_techniques · tenant</t>
  </si>
  <si>
    <t>domain, wcag_level, severity_threshold, component_groups</t>
  </si>
  <si>
    <t>GET /api/v1/accessibility/profile-preview?domain=BANKING&amp;wcag_level=AA&amp;severity=CRITICAL_SERIOUS
Response 200: {rule_count: 47, technique_count: 23, axe_rules: ['color-contrast', 'label', ...]}</t>
  </si>
  <si>
    <t>Regulatory preset selector (BE: preset mapper)</t>
  </si>
  <si>
    <t>Maps the selected regulatory preset (WCAG 2.1 AA, EN 301 549, AgID) to the corresponding filter combination, pre-populating the profile fields.</t>
  </si>
  <si>
    <t>• Maps selected regulatory preset codes to pre-defined accessibility configuration combinations that auto-populate profile fields.
• Supports presets WCAG_21_AA (Banking standard), EN_301_549 (EU accessibility), SECTION_508 (US government), and AGID_AA (Italian portal).
• Exposes GET /accessibility/presets endpoint that returns all available presets with their corresponding config values.</t>
  </si>
  <si>
    <t>• Must map preset code WCAG_21_AA to the correct domain/wcag_level/severity/component_groups combination for Banking standard
• Must map preset code EN_301_549 to the correct combination for EU accessibility requirements
• Must map preset code SECTION_508 to the correct combination for US government requirements
• Must map preset code AGID to the correct combination for Italian accessibility requirements
• Must pre-fill all config form fields when a preset is selected
• Must allow custom config values to be set and saved after a preset has been applied</t>
  </si>
  <si>
    <t>wcag_techniques</t>
  </si>
  <si>
    <t>preset_code, domain, wcag_level, severity_threshold, component_groups</t>
  </si>
  <si>
    <t>GET /api/v1/accessibility/presets → [{code, label, domain, wcag_level, severity, component_groups}]
Presets: WCAG_21_AA | EN_301_549 | SECTION_508 | AGID_AA</t>
  </si>
  <si>
    <t>Accessibility Profile screen display</t>
  </si>
  <si>
    <t>Renders the Accessibility Profile settings screen with all filter dropdowns and the active rule count display.</t>
  </si>
  <si>
    <t>• Renders the Accessibility Profile settings panel with all filter dropdowns and live active rule count display.
• Displays Regulatory Preset selector, Domain dropdown, WCAG Level dropdown, Severity Threshold dropdown, Component Groups dropdown, and Active Rule Count badge.
• Loads the current saved configuration via BE-01 GET /accessibility-config on component mount.</t>
  </si>
  <si>
    <t>• Must render the Accessibility Profile settings panel with all filter dropdowns visible
• Must render the Regulatory Preset selector, Domain dropdown, WCAG Level dropdown, Severity Threshold dropdown, and Component Groups dropdown
• Must pre-select saved values in all dropdown fields
• Must display the active rule count badge showing current rule count from BE-02
• Must load and render the complete panel within 1 second</t>
  </si>
  <si>
    <t>Domain dropdown</t>
  </si>
  <si>
    <t>Renders the Domain dropdown (Web / Mobile / Both) that filters the applicable Axe rules by domain.</t>
  </si>
  <si>
    <t>• Renders the Domain dropdown that filters applicable Axe rules by industry domain context.
• Provides options Banking &amp; Finance, E-Commerce, Healthcare, and Government with the current saved domain pre-selected.
• Triggers BE-02 /accessibility/profile-preview call on change to update the active rule count display.</t>
  </si>
  <si>
    <t>• Must render the Domain dropdown with options Banking &amp; Finance, E-Commerce, Healthcare, and Government
• Must pre-select the current saved domain value in the dropdown
• Must trigger BE-02 /accessibility/profile-preview call when domain selection changes
• Must update the active rule count badge with the response from BE-02
• Must mark the form as dirty when domain selection changes</t>
  </si>
  <si>
    <t>domain</t>
  </si>
  <si>
    <t>WCAG Level dropdown</t>
  </si>
  <si>
    <t>Renders the WCAG Level dropdown (A / AA / AAA) that sets the minimum WCAG conformance level for the profile.</t>
  </si>
  <si>
    <t>• Renders the WCAG Level dropdown that sets the minimum WCAG conformance level for the accessibility profile.
• Provides options A, AA, and AAA with AA as the default and current saved level pre-selected.
• Triggers BE-02 /accessibility/profile-preview call on change to update the active rule count display.</t>
  </si>
  <si>
    <t>• Must display all 3 WCAG levels (A, AA, AAA) in the dropdown
• Must pre-select the currently saved WCAG level with AA as default for new profiles
• Must trigger BE-02 /accessibility/profile-preview on selection change to update the active rule count
• Must mark the form as dirty when the selected level changes from the saved value</t>
  </si>
  <si>
    <t>wcag_level</t>
  </si>
  <si>
    <t>Severity Threshold dropdown</t>
  </si>
  <si>
    <t>Renders the Severity Threshold dropdown (Critical / Serious / Moderate / Minor) that sets the minimum violation severity to report.</t>
  </si>
  <si>
    <t>• Renders the Severity Threshold dropdown that controls the minimum violation severity level required to trigger test failure.
• Provides options Critical only, Critical + Serious, and All to filter Axe violations by severity.
• Triggers BE-02 /accessibility/profile-preview call on change to update the active rule count display.</t>
  </si>
  <si>
    <t>• Must display all 3 severity threshold options (Critical only, Critical + Serious, All) in the dropdown
• Must pre-select the currently saved severity threshold value
• Must trigger BE-02 /accessibility/profile-preview on selection change to update the active rule count
• Must mark the form as dirty when the selected threshold changes from the saved value</t>
  </si>
  <si>
    <t>severity_threshold</t>
  </si>
  <si>
    <t>Component Groups dropdown</t>
  </si>
  <si>
    <t>Renders the Component Groups dropdown that restricts the profile to specific UI component types (Forms, Navigation, Tables, etc.).</t>
  </si>
  <si>
    <t>• Renders the Component Groups multi-select dropdown that restricts accessibility testing to specific UI component types.
• Provides options All Components (default), Forms &amp; Inputs, Navigation, Media, Tables, and Modals to filter which component types are tested.
• Triggers BE-02 /accessibility/profile-preview call on change to update the active rule count display.</t>
  </si>
  <si>
    <t>• Must display all component group options (All Components, Forms &amp; Inputs, Navigation, Media, Tables, Modals) in the multi-select dropdown
• Must pre-select All Components as the default for new profiles
• Must support multi-select behavior allowing multiple component groups to be selected simultaneously
• Must trigger BE-02 /accessibility/profile-preview on selection change to update the active rule count
• Must mark the form as dirty when the selected groups change from the saved value</t>
  </si>
  <si>
    <t>component_groups</t>
  </si>
  <si>
    <t>Regulatory Preset selector</t>
  </si>
  <si>
    <t>Renders the Regulatory Preset selector that auto-populates the filter fields based on a selected compliance standard.</t>
  </si>
  <si>
    <t>• Renders the Regulatory Preset selector that auto-populates all filter fields based on a selected compliance standard.
• Provides preset options WCAG 2.1 AA, EN 301 549, Section 508, and AGID AA above the manual configuration fields.
• Calls BE-03 on selection to pre-fill Domain, WCAG Level, Severity, and Component Groups with preset values that users can then manually adjust.</t>
  </si>
  <si>
    <t>• Must display all 4 regulatory preset options (WCAG 2.1 AA, EN 301 549, Section 508, AGID AA) as pills or dropdown
• Must pre-fill all configuration fields when a preset is selected
• Must allow manual editing of all fields after a preset has been applied
• Must not pre-select any preset by default on initial load</t>
  </si>
  <si>
    <t>FR-031 / BE-03</t>
  </si>
  <si>
    <t>preset_code</t>
  </si>
  <si>
    <t>Active rule count display</t>
  </si>
  <si>
    <t>Renders the Active Rule Count display that updates dynamically as the user changes filter selections, showing how many Axe rules the current profile will execute.</t>
  </si>
  <si>
    <t>• Renders a live badge displaying the number of Axe rules that will fire given the current accessibility profile configuration.
• Calls BE-02 /accessibility/profile-preview on every configuration field change, showing a spinner during the request.
• Updates the count display after each response and shows an amber warning when the rule count is zero.</t>
  </si>
  <si>
    <t>• Must display a live badge showing the number of Axe rules active for the current configuration
• Must call BE-02 /accessibility/profile-preview on every configuration field change
• Must update the badge within 300ms of any config change
• Must show a spinner during the BE-02 call
• Must display an amber warning badge when rule count is zero
• Must format the badge text as '[N] rules active'</t>
  </si>
  <si>
    <t>FR-031 / BE-02</t>
  </si>
  <si>
    <t>rule_count</t>
  </si>
  <si>
    <t>Renders the Save Changes button that persists the accessibility profile configuration to the ICE database.</t>
  </si>
  <si>
    <t>• Renders the global Save Changes button in the Settings footer that persists the accessibility profile configuration.
• Calls BE-01 PUT /accessibility-config on click with current domain, wcag_level, severity_threshold, and component_groups values.
• Shows success toast on 200 response and immediately applies the saved configuration to subsequent accessibility test runs.</t>
  </si>
  <si>
    <t>• Must render the Save Changes button in the Settings footer
• Must call BE-01 PUT /accessibility-config on click with current domain, wcag_level, severity_threshold, and component_groups values
• Must display a success toast on HTTP 200 response
• Must display inline errors for invalid enum values
• Must disable the button during the save operation
• Must persist the accessibility profile configuration to tenant and be retrievable on subsequent reads</t>
  </si>
  <si>
    <t>Validates the full accessibility profile flow: filters set, active rule count correct, saved, and the correct rules applied during an accessibility test run.</t>
  </si>
  <si>
    <t>• Validates the complete accessibility profile workflow from filter selection through rule count updates to profile application during test execution.
• Tests WCAG 2.1 AA preset selection with field pre-fill, Severity change to Critical only, rule count update, Save Changes, and accessibility test execution.
• Verifies that Axe uses the saved profile configuration (BANKING, AA, CRITICAL) and that selecting All Components increases the rule count.</t>
  </si>
  <si>
    <t>• Must pre-fill all filter fields when WCAG 2.1 AA preset is selected
• Must update the active rule count on every configuration change
• Must persist the configuration to tenant via BE-01 on save
• Must apply the saved profile during Axe test execution
• Must display accurate rule counts for all configuration combinations</t>
  </si>
  <si>
    <t>FR-031 / FE-01 to FE-08, FR-031 / BE-01 to BE-03</t>
  </si>
  <si>
    <t>tenant · wcag_techniques</t>
  </si>
  <si>
    <t>Settings — Visual Testing</t>
  </si>
  <si>
    <t>FR-032</t>
  </si>
  <si>
    <t>Settings › Visual Testing</t>
  </si>
  <si>
    <t>Save Changes (BE: visual testing config entity)</t>
  </si>
  <si>
    <t>Defines and persists the visual testing configuration entity, storing the global threshold, storage provider, bucket, and encrypted credentials for the tenant.</t>
  </si>
  <si>
    <t>• Defines and persists the visual testing configuration entity with global threshold, per-screen thresholds, ignore regions setting, and storage backend.
• Stores visual testing config as JSONB in tenant.visual_config with fields global_threshold (default 2.0%), per_screen_thresholds, ignore_regions_enabled (default false), and storage_backend (S3/GCS/AZURE_BLOB/LOCAL).
• Exposes GET /visual-config to retrieve current configuration and PUT /visual-config to persist changes.</t>
  </si>
  <si>
    <t>• Must return current visual testing config on GET /visual-config
• Must validate global_threshold is between 0.0 and 100.0 on PUT
• Must return HTTP 400 with ERR-VIS-INVALID-THRESHOLD for out-of-range threshold values
• Must default global_threshold to 2.0 for new tenants
• Must store visual testing config as JSONB in tenant.visual_config
• Must provide config to FR-047 SSIM comparison engine on every visual run
• Must persist visual_config to tenant and be retrievable on subsequent reads</t>
  </si>
  <si>
    <t>visual_config JSONB: global_threshold, per_screen_thresholds, ignore_regions_enabled, storage_backend</t>
  </si>
  <si>
    <t>GET /api/v1/visual-config → {global_threshold, per_screen_thresholds, ignore_regions_enabled, storage_backend}
PUT /api/v1/visual-config body: {global_threshold, per_screen_thresholds, ignore_regions_enabled}
Response 200: updated config | 400 ERR-VIS-INVALID-THRESHOLD</t>
  </si>
  <si>
    <t>FR-022 FE-07 (Type of Test Toggles — Visual_UI option) · FR-047 BE-04 (SSIM Comparison Engine reads threshold) · FR-047 BE-05 (Visual Diff Orchestrator uses baseline)</t>
  </si>
  <si>
    <t>Manage / Reset All (BE: baseline management API)</t>
  </si>
  <si>
    <t>Exposes the API to list, reset, and delete baselines stored in the configured S3/GCS bucket for the tenant.</t>
  </si>
  <si>
    <t>• Exposes API endpoints to list, delete individual baselines, and reset all baselines stored in the configured storage backend for the tenant.
• Implements GET /visual/baselines returning journey_id, screen_name, captured_at, and file_size for all stored baselines.
• Implements DELETE /visual/baselines/{baseline_id} to delete a single baseline and DELETE /visual/baselines to delete all tenant baselines, all stored in S3/GCS/Azure Blob/Local.</t>
  </si>
  <si>
    <t>• Must return full baseline list with journey_id, screen_name, captured_at, and file_size on GET /visual/baselines
• Must remove a single baseline on DELETE /visual/baselines/{id} and trigger re-capture on next run
• Must remove all baselines on DELETE /visual/baselines and return HTTP 202 Accepted for async operation
• Must display empty list when no baselines exist for the tenant</t>
  </si>
  <si>
    <t>FR-032 / BE-01</t>
  </si>
  <si>
    <t>Spring Boot · AWS S3 / GCS SDK</t>
  </si>
  <si>
    <t>READ + DELETE</t>
  </si>
  <si>
    <t>PostgreSQL + Object Storage</t>
  </si>
  <si>
    <t>visual_baseline</t>
  </si>
  <si>
    <t>baseline_id, tenant_id, journey_id, screen_name, storage_path, captured_at</t>
  </si>
  <si>
    <t>GET /api/v1/visual/baselines → [{baseline_id, journey_id, screen_name, captured_at, size_kb}]
DELETE /api/v1/visual/baselines/{baseline_id} → 200
DELETE /api/v1/visual/baselines → 202 {job_id, count: N}</t>
  </si>
  <si>
    <t>Test Connection (BE: storage connection test)</t>
  </si>
  <si>
    <t>Exposes the test connection endpoint that validates the storage connection by performing a test write and read to the configured bucket.</t>
  </si>
  <si>
    <t>• Exposes POST /visual-config/test-storage to validate the configured storage backend by attempting to write and read a small test file.
• Checks bucket/container accessibility, write permission, and read permission.
• Returns per-check results indicating success or failure for each validation step.</t>
  </si>
  <si>
    <t>• Must execute 3 checks on POST /visual-config/test-storage: URL accessibility, Write permission, Read permission
• Must return individual results for each check (URL ✓, Write ✓, Read ✓)
• Must indicate which specific check failed on partial failure
• Must allow testing without saving the config first
• Must timeout each check after 10 seconds</t>
  </si>
  <si>
    <t>visual_config</t>
  </si>
  <si>
    <t>storage_backend, bucket_name, credentials</t>
  </si>
  <si>
    <t>POST /api/v1/visual-config/test-storage
Response 200: {checks: [{name: Bucket, passed: true}, {name: Write, passed: true}, {name: Read, passed: true}]}</t>
  </si>
  <si>
    <t>Visual Testing screen display</t>
  </si>
  <si>
    <t>Renders the Visual Testing settings screen with threshold, storage, and baseline management controls.</t>
  </si>
  <si>
    <t>• Renders the Visual Testing panel in Settings showing Global Threshold input, Per-Screen Threshold overrides, Ignore Regions toggle, Manage and Reset All baseline buttons, and Test Connection button.
• Loads current configuration via BE-01 GET endpoint on component mount.
• Provides UI controls for threshold management, storage validation, and baseline operations.</t>
  </si>
  <si>
    <t>• Must render the Visual Testing panel with Global Threshold input, Per-Screen Threshold overrides, Ignore Regions toggle, Manage Baselines button, Reset All button, and Test Connection button
• Must load current configuration via BE-01 GET /visual-config on panel open
• Must pre-fill all fields with saved values
• Must load the panel within 1 second</t>
  </si>
  <si>
    <t>Global Threshold input (pixel diff %)</t>
  </si>
  <si>
    <t>Renders the Global Threshold input that sets the SSIM score below which a visual comparison is marked as FAIL.</t>
  </si>
  <si>
    <t>• Renders the Global Threshold numeric input that sets the SSIM score below which a visual comparison is marked as FAIL.
• Accepts values between 0.0 and 100.0 with default of 2.0, displayed with unit label '% pixel diff to fail'.
• Performs inline validation on blur and rejects values outside the 0.0–100.0 range.</t>
  </si>
  <si>
    <t>• Must render the Global Threshold numeric input with unit label '% pixel diff to fail'
• Must accept values between 0.0 and 100.0 with a default of 2.0
• Must pre-fill the input with the currently saved threshold value
• Must perform inline validation on blur and reject out-of-range values
• Must display a required error on save when the field is empty
• Must display the unit label at all times</t>
  </si>
  <si>
    <t>global_threshold</t>
  </si>
  <si>
    <t>Per-screen threshold override</t>
  </si>
  <si>
    <t>Renders the per-screen threshold override table that allows setting a different threshold for specific screens.</t>
  </si>
  <si>
    <t>• Renders a collapsible section for per-screen threshold overrides allowing different thresholds for specific screens.
• Displays existing overrides as rows with screen_name and threshold input, plus a + Add Override button to add new rows.
• Each row includes a remove button, and overrides take precedence over the global threshold.</t>
  </si>
  <si>
    <t>• Must display existing per-screen threshold overrides as editable rows showing screen_name and threshold input fields
• Must provide an '+ Add Override' button that appends a new editable row to the overrides table
• Must include a Remove button on each row that deletes the override row from the table
• Must show a validation error on save when any override row has an empty screen_name field</t>
  </si>
  <si>
    <t>per_screen_thresholds</t>
  </si>
  <si>
    <t>Ignore regions toggle</t>
  </si>
  <si>
    <t>Renders the Ignore Regions toggle and region editor that allows the user to define areas of a screen to exclude from visual comparison.</t>
  </si>
  <si>
    <t>• Renders an Ignore Regions enable/disable toggle that controls whether visual tests skip regions marked as ignored in the baseline.
• When enabled, areas defined as ignore regions are excluded from visual comparison during test execution.
• Provides a tooltip explaining 'Ignore dynamic content like timestamps and ads'.</t>
  </si>
  <si>
    <t>• Must render an Ignore Regions toggle control reflecting the saved enabled/disabled value
• Must display a tooltip on hover explaining the ignore regions functionality
• Must mark the form as dirty when the toggle state is changed
• Must preserve the saved toggle value after page reload or navigation</t>
  </si>
  <si>
    <t>ignore_regions_enabled</t>
  </si>
  <si>
    <t>Manage baselines button</t>
  </si>
  <si>
    <t>Renders the Manage Baselines button that opens the baseline management panel showing all stored baselines with reset controls.</t>
  </si>
  <si>
    <t>• Renders the 'Manage' button next to Baseline Management label that opens a modal or panel for baseline management.
• Displays all stored baselines retrieved from BE-02 GET showing journey_id, screen_name, captured_at, and file_size.
• Each baseline row includes a delete button for individual baseline removal.</t>
  </si>
  <si>
    <t>• Must render a 'Manage' button that calls BE-02 GET and opens a modal or panel displaying all stored baselines
• Must display each baseline row showing journey_id, screen_name, captured_at timestamp, and file_size
• Must provide a Delete button on each baseline row that calls BE-02 DELETE to remove that individual baseline
• Must show an empty state message when no baselines exist for the tenant</t>
  </si>
  <si>
    <t>FR-032 / BE-02</t>
  </si>
  <si>
    <t>baseline_id, journey_id, screen_name, captured_at</t>
  </si>
  <si>
    <t>Reset All baselines button</t>
  </si>
  <si>
    <t>Renders the Reset All Baselines button that calls BE-02 to delete all stored baselines for the tenant.</t>
  </si>
  <si>
    <t>• Renders the 'Reset All' button that deletes all stored baselines for the tenant via BE-02 DELETE /visual/baselines.
• On click displays a confirmation dialog with message 'Reset all baselines? Next visual run will re-capture all screens as new baselines.'.
• Shows progress toast after confirmation and successful deletion.</t>
  </si>
  <si>
    <t>• Must render a 'Reset All' button that displays a confirmation dialog with message 'Reset all baselines? Next visual run will re-capture all screens as new baseline.' before execution
• Must call BE-02 DELETE /visual/baselines to delete all stored baselines when the user confirms the dialog
• Must show a 'Resetting N baselines...' toast message on 202 response
• Must disable the Reset All button during the reset operation to prevent duplicate requests
• Must remove deleted baselines from visual_baseline and confirm deletion on subsequent reads</t>
  </si>
  <si>
    <t>DELETE</t>
  </si>
  <si>
    <t>baseline_id (all for tenant)</t>
  </si>
  <si>
    <t>Test Connection button</t>
  </si>
  <si>
    <t>Renders the Test Connection button that calls BE-03 and displays the storage connection result inline.</t>
  </si>
  <si>
    <t>• Renders the 'Test Connection' button that validates the storage backend configuration by calling BE-03.
• On click calls BE-03 with current storage config values and shows animated progress per check (Bucket → Write → Read).
• Displays final result as ✓/✗ per check indicating success or failure for each validation step.</t>
  </si>
  <si>
    <t>• Must render a 'Test Connection' button that calls BE-03 with current storage configuration values on click
• Must display animated progress indicators for each check step (Bucket → Write → Read) during validation
• Must show a green checkmark (✓) for passed checks and a red cross (✗) for failed checks in the final result
• Must disable the Test Connection button during the active test operation</t>
  </si>
  <si>
    <t>FR-032 / BE-03</t>
  </si>
  <si>
    <t>Renders the Save Changes button that persists the visual testing configuration to the ICE database.</t>
  </si>
  <si>
    <t>• Renders the global 'Save Changes' button in Settings footer that persists visual testing configuration to the ICE database.
• On click calls BE-01 PUT with global_threshold, per_screen_thresholds, and ignore_regions_enabled.
• Shows success toast on 200 response and displays inline errors for invalid threshold values.</t>
  </si>
  <si>
    <t>• Must render a global 'Save Changes' button in the Settings footer that calls BE-01 PUT with global_threshold, per_screen_thresholds, and ignore_regions_enabled on click
• Must display a success toast message on 200 response from BE-01 PUT
• Must show an inline error message when threshold values are out of the acceptable range
• Must disable the Save Changes button during the save operation
• Must persist updated configuration to tenant and be retrievable on subsequent reads</t>
  </si>
  <si>
    <t>global_threshold, per_screen_thresholds, ignore_regions_enabled</t>
  </si>
  <si>
    <t>Manage / Reset All / Save Changes (E2E)</t>
  </si>
  <si>
    <t>Validates the full visual testing settings flow: threshold set, storage configured, connection tested, baselines managed, and settings saved.</t>
  </si>
  <si>
    <t>• Validates the full visual testing settings flow including threshold configuration, storage setup, connection testing, baseline management, and settings persistence.
• E2E test sets global threshold to 3.0, adds per-screen override for Login (1.5), enables Ignore Regions, tests connection with all 3 checks passing, saves changes, and runs visual test verifying SSIM uses 1.5 threshold for Login screen.
• Also tests baseline management by deleting one baseline and verifying removal, then tests Reset All with confirmation and verifies all baselines are cleared.</t>
  </si>
  <si>
    <t>• Must validate that global threshold set to 3.0 persists and is applied to visual comparisons
• Must validate that per-screen override for Login screen set to 1.5 is used only for that specific screen
• Must validate that ignore regions are active and excluded from visual comparison when enabled
• Must validate that Test Connection passes with valid storage configuration
• Must validate that individual baseline deletion and reset all baselines operations execute correctly and persist changes to visual_baseline</t>
  </si>
  <si>
    <t>FR-032 / FE-01 to FE-08, FR-032 / BE-01 to BE-03</t>
  </si>
  <si>
    <t>READ + WRITE + DELETE</t>
  </si>
  <si>
    <t>tenant · visual_baseline</t>
  </si>
  <si>
    <t>Settings — Load Testing</t>
  </si>
  <si>
    <t>FR-033</t>
  </si>
  <si>
    <t>Settings › Load Testing</t>
  </si>
  <si>
    <t>Save Changes (BE: load testing config entity)</t>
  </si>
  <si>
    <t>Defines and persists the load testing configuration entity, storing virtual users, ramp-up period, duration, and response time and error rate thresholds for the tenant.</t>
  </si>
  <si>
    <t>• Defines and persists the load testing configuration entity storing virtual users, ramp-up period, duration, response time threshold, and error rate threshold.
• Stored as JSONB in tenant.load_config with fields: default_profile (ENUM: BASELINE, STRESS, SPIKE, CUSTOM), ramp_up_seconds (INT, default 30), p95_response_time_ms (INT, default 3000), error_rate_threshold_pct (DECIMAL, default 5.0).
• Exposes GET /load-config to return current configuration and PUT /load-config to persist changes with validation of all numeric fields.</t>
  </si>
  <si>
    <t>• Must return current load testing configuration on GET including default_profile, ramp_up_seconds, duration_seconds, response_time_threshold, and error_rate_threshold
• Must validate on PUT that all numeric fields (virtual users, ramp-up period, duration, thresholds) are positive numbers
• Must reject invalid p95 threshold values with 400 ERR-LOAD-INVALID-THRESHOLD error response
• Must provide configuration values to FR-049 JMeter Executor on every load test run
• Must persist updated load configuration to tenant.load_config and be retrievable on subsequent reads</t>
  </si>
  <si>
    <t>load_config JSONB: default_profile, ramp_up_seconds, p95_response_time_ms, error_rate_threshold_pct</t>
  </si>
  <si>
    <t>GET /api/v1/load-config → {default_profile, ramp_up_seconds, p95_response_time_ms, error_rate_threshold_pct, custom_profiles[]}
PUT /api/v1/load-config body: {default_profile, ramp_up_seconds, p95_response_time_ms, error_rate_threshold_pct}
Response 200: updated config | 400 ERR-LOAD-INVALID-THRESHOLD</t>
  </si>
  <si>
    <t>FR-022 FE-07 (Type of Test Toggles — App Performance/Network Perf) · FR-049 BE-05 (JMeter Executor reads profile) · FR-049 BE-06 (Load Test Results Aggregator reads thresholds)</t>
  </si>
  <si>
    <t>+ Add Custom Profile (BE: custom profile CRUD)</t>
  </si>
  <si>
    <t>Exposes the API to create, update, and delete custom load profiles, storing each profile with its virtual user count and ramp-up settings.</t>
  </si>
  <si>
    <t>• Exposes API endpoints to create, update, and delete custom load profiles storing virtual user count and ramp-up settings per tenant.
• POST /load-profiles creates a new profile with name, threads (concurrent users), ramp_up_seconds, duration_seconds, and think_time_ms.
• GET /load-profiles returns all profiles (built-in + custom) and DELETE /load-profiles/{id} removes a custom profile.</t>
  </si>
  <si>
    <t>• Must create a new custom load profile via POST /load-profiles with name, threads, ramp_up_seconds, and duration_seconds fields
• Must reject duplicate profile names with 409 ERR-LOAD-DUPLICATE-PROFILE error response
• Must return all built-in profiles (BASELINE, STRESS, SPIKE) and custom profiles on GET /load-profiles
• Must remove custom profiles via DELETE endpoint while preventing deletion of built-in profiles
• Must exclude deleted profiles from the dropdown list on subsequent GET requests
• Must persist created profiles to load_profile and be retrievable on subsequent reads</t>
  </si>
  <si>
    <t>FR-033 / BE-01</t>
  </si>
  <si>
    <t>load_profile</t>
  </si>
  <si>
    <t>profile_id, tenant_id, name, threads, ramp_up_seconds, duration_seconds, think_time_ms, is_built_in</t>
  </si>
  <si>
    <t>GET /api/v1/load-profiles → [{id, name, threads, ramp_up_seconds, duration_seconds, is_built_in}]
POST /api/v1/load-profiles body: {name, threads, ramp_up_seconds, duration_seconds, think_time_ms}
DELETE /api/v1/load-profiles/{id} → 200 | 403 ERR-LOAD-CANNOT-DELETE-BUILTIN</t>
  </si>
  <si>
    <t>Load Testing screen display</t>
  </si>
  <si>
    <t>Renders the Load Testing settings screen with the default profile selector and custom profile management controls.</t>
  </si>
  <si>
    <t>• Renders the Load Testing panel in Settings showing Default Load Profile dropdown, Ramp-up Period input, Response Time Threshold input, Error Rate Threshold input, and + Add Custom Profile button.
• Loads current configuration and profiles via BE-01 GET endpoint on component mount.
• Provides UI controls for profile selection, threshold configuration, and custom profile management.</t>
  </si>
  <si>
    <t>• Must render the Load Testing panel with Default Load Profile dropdown, Ramp-up Period input, Response Time Threshold input, Error Rate Threshold input, and '+ Add Custom Profile' button
• Must pre-fill all input fields with currently saved configuration values from BE-01 GET
• Must display custom profiles alongside built-in profiles in the dropdown list
• Must load and render the complete panel within 1 second</t>
  </si>
  <si>
    <t>tenant · load_profile</t>
  </si>
  <si>
    <t>default_profile, ramp_up_seconds, p95_response_time_ms, error_rate_threshold_pct</t>
  </si>
  <si>
    <t>Default Load Profile dropdown</t>
  </si>
  <si>
    <t>Renders the Default Load Profile dropdown (Baseline / Stress / Spike / Soak) that sets the pre-defined profile used for load test runs.</t>
  </si>
  <si>
    <t>• Renders the Default Load Profile dropdown that sets the pre-defined profile used for load test runs.
• Options include Baseline (10 users), Stress (100 users), Spike (500 users), plus any custom profiles from BE-02.
• Current saved profile is pre-selected and on change marks the form as dirty.</t>
  </si>
  <si>
    <t>• Must render a Default Load Profile dropdown displaying built-in profiles (Baseline with 10 users, Stress with 100 users, Spike with 500 users) and all custom profiles from BE-02
• Must pre-select the currently saved profile value in the dropdown on page load
• Must append custom profiles after built-in options in the dropdown list
• Must mark the form as dirty when the selected profile is changed</t>
  </si>
  <si>
    <t>default_profile</t>
  </si>
  <si>
    <t>Ramp-up Period input</t>
  </si>
  <si>
    <t>Renders the Ramp-up Period input that sets the time in seconds over which virtual users are gradually introduced.</t>
  </si>
  <si>
    <t>• Renders the Ramp-up Period numeric input that sets the time in seconds over which virtual users are gradually introduced.
• Displays unit label 'seconds' with default value of 30.
• Performs inline validation on blur and rejects negative values.</t>
  </si>
  <si>
    <t>• Must render a Ramp-up Period numeric input field with unit label 'seconds' and default value of 30
• Must pre-fill the input with the saved ramp-up period value from tenant configuration
• Must reject negative values on blur and display an inline validation error
• Must display unit label 'seconds' at all times adjacent to the input field
• Must show a required field error on save attempt when the input field is empty</t>
  </si>
  <si>
    <t>ramp_up_seconds</t>
  </si>
  <si>
    <t>Response Time Threshold input (P95)</t>
  </si>
  <si>
    <t>Renders the Response Time Threshold input (P95) that sets the maximum acceptable 95th percentile response time in milliseconds.</t>
  </si>
  <si>
    <t>• Renders the Response Time Threshold numeric input that sets the maximum acceptable 95th percentile response time in milliseconds.
• Shows unit label 'ms (P95)' with a default value of 3000.
• Inline validation rejects values below 100ms.</t>
  </si>
  <si>
    <t>• Must pre-fill the Response Time Threshold input with the saved value from tenant.healing_config or default to 3000 ms
• Must display the unit label 'ms (P95)' adjacent to the input field at all times
• Must reject values below 100 ms with an inline validation error on blur
• Must show a required error message if the field is empty when the user attempts to save
• Must allow valid values ≥100 ms to be entered and pass validation</t>
  </si>
  <si>
    <t>p95_response_time_ms</t>
  </si>
  <si>
    <t>Error Rate Threshold input</t>
  </si>
  <si>
    <t>Renders the Error Rate Threshold input that sets the maximum acceptable error percentage before a load test run is marked as FAIL.</t>
  </si>
  <si>
    <t>• Renders the Error Rate Threshold numeric input that sets the maximum acceptable error percentage before marking a load test run as FAIL.
• Shows unit label '%' with a default value of 5.0.
• Inline validation rejects values outside the range 0.0–100.0.
• Run fails if the error rate exceeds this threshold value.</t>
  </si>
  <si>
    <t>• Must pre-fill the Error Rate Threshold input with the saved value from tenant.healing_config or default to 5.0%
• Must display the unit label '%' adjacent to the input field at all times
• Must reject values outside the range 0.0–10.0 with an inline validation error on blur
• Must accept any decimal value within 0.0–10.0 inclusive</t>
  </si>
  <si>
    <t>error_rate_threshold_pct</t>
  </si>
  <si>
    <t>+ Add Custom Profile button</t>
  </si>
  <si>
    <t>Renders the Add Custom Profile button and form for creating a new named load profile with custom parameters.</t>
  </si>
  <si>
    <t>• Renders the '+ Add Custom Profile' button below the profile dropdown that opens an inline form for creating a new named load profile.
• The form includes fields for Profile Name, Concurrent Users (threads), Ramp-up (seconds), Duration (seconds), and Think Time (ms).
• Save calls BE-02 POST and the new profile appears in the dropdown, while Cancel closes the form.</t>
  </si>
  <si>
    <t>• Must render the '+ Add Custom Profile' button below the profile dropdown
• Must open an inline form with fields for Profile Name, Concurrent Users, Ramp-up, and Duration when the button is clicked
• Must validate all fields and reject invalid entries with inline error messages
• Must display ERR-LOAD-DUPLICATE-PROFILE inline if a duplicate profile name is entered
• Must append the newly saved profile to the dropdown list upon successful save
• Must close the form without saving when Cancel is clicked
• Must persist the new profile to load_profile and be retrievable on subsequent reads</t>
  </si>
  <si>
    <t>FR-033 / BE-02</t>
  </si>
  <si>
    <t>name, threads, ramp_up_seconds, duration_seconds, think_time_ms</t>
  </si>
  <si>
    <t>Renders the Save Changes button that persists the load testing configuration to the ICE database.</t>
  </si>
  <si>
    <t>• Renders the global 'Save Changes' button in the Settings footer that persists load testing configuration to the ICE database.
• On click calls BE-01 PUT with default_profile, ramp_up_seconds, p95_response_time_ms, and error_rate_threshold_pct.
• Shows success toast on 200 response and displays inline errors on invalid values.</t>
  </si>
  <si>
    <t>• Must render the 'Save Changes' button in the Settings footer
• Must call BE-01 PUT with default_profile, ramp_up_seconds, p95_response_time_ms, and error_rate_threshold_pct on click
• Must display a success toast message on HTTP 200 response
• Must show inline errors for invalid threshold values on failure
• Must disable the button during the save operation to prevent duplicate submissions
• Must persist the updated configuration to tenant and be retrievable on subsequent reads</t>
  </si>
  <si>
    <t>+ Add Custom Profile / Save Changes (E2E)</t>
  </si>
  <si>
    <t>Validates the full load testing settings flow: default profile set, thresholds configured, custom profile created, and settings saved.</t>
  </si>
  <si>
    <t>• Validates the full load testing settings flow including default profile selection, threshold configuration, custom profile creation, and settings persistence.
• E2E test adds custom profile 'Soak Test' (50 users, 60s ramp, 300s duration), sets it as default, configures P95=2000ms and Error Rate=3%, saves changes, and verifies JMeter uses the correct profile and thresholds.
• Tests duplicate profile name scenario and verifies ERR-LOAD-DUPLICATE-PROFILE error is returned.</t>
  </si>
  <si>
    <t>• Must allow creation of a custom profile named 'Soak Test' with 50 users, 60s ramp, and 300s duration
• Must display the newly created 'Soak Test' profile in the dropdown list
• Must persist the selected default profile and retrieve it correctly on page reload
• Must apply the configured P95 and error rate thresholds during JMeter test execution
• Must reject duplicate profile names with ERR-LOAD-DUPLICATE-PROFILE inline error</t>
  </si>
  <si>
    <t>FR-033 / FE-01 to FE-07, FR-033 / BE-01 to BE-02</t>
  </si>
  <si>
    <t>Settings — Self-Healing</t>
  </si>
  <si>
    <t>FR-034</t>
  </si>
  <si>
    <t>Settings › Self-Healing</t>
  </si>
  <si>
    <t>Save Changes (BE: self-healing config entity)</t>
  </si>
  <si>
    <t>Defines and persists the self-healing configuration entity, storing the enabled flag, algorithm thresholds, auto-PR flag, and healing branch prefix for the tenant.</t>
  </si>
  <si>
    <t>• Defines and persists the self-healing configuration entity storing enabled flag, algorithm thresholds, auto-PR flag, and healing branch prefix.
• Stored as JSONB in tenant.healing_config with fields: enabled (BOOLEAN, default false), algo1_threshold (DECIMAL 0.0–1.0, Levenshtein confidence, default 0.85), algo2_threshold (DECIMAL 0.0–1.0, tree edit distance, default 0.75), auto_pr (BOOLEAN, default true), and branch_prefix (TEXT, default 'ice-heal/').
• GET /healing-config returns current configuration.</t>
  </si>
  <si>
    <t>• Must return the current healing_config JSONB from tenant on GET
• Must validate that algo1_threshold and algo2_threshold are in the range 0.0–1.0 on PUT
• Must return HTTP 400 with ERR-HEAL-INVALID-THRESHOLD if any threshold is out of range
• Must return HTTP 400 with ERR-HEAL-MISSING-PREFIX if branch_prefix is empty
• Must make the updated config immediately readable by the healing proxy on the next run
• Must persist healing_config to tenant and be retrievable on subsequent reads</t>
  </si>
  <si>
    <t>healing_config JSONB: enabled, algo1_threshold, algo2_threshold, auto_pr, branch_prefix</t>
  </si>
  <si>
    <t>GET /api/v1/healing-config → {enabled, algo1_threshold, algo2_threshold, auto_pr, branch_prefix}
PUT /api/v1/healing-config body: {enabled, algo1_threshold, algo2_threshold, auto_pr, branch_prefix}
Response 200: updated config | 400 ERR-HEAL-INVALID-THRESHOLD | ERR-HEAL-MISSING-PREFIX</t>
  </si>
  <si>
    <t>FR-050 BE-05 (Healing Engine Orchestrator reads thresholds) · FR-050 BE-06 (ICE Healing Proxy reads enabled flag) · FR-050 BE-07 (Active Repair Service reads auto_pr and branch prefix)</t>
  </si>
  <si>
    <t>Self-Healing screen display</t>
  </si>
  <si>
    <t>Renders the Self-Healing settings screen with the enable toggle and all algorithm and PR configuration controls.</t>
  </si>
  <si>
    <t>• Renders the Self-Healing panel in Settings with master Enable toggle and all algorithm and PR configuration controls.
• Displays Algorithm 1 and Algorithm 2 threshold inputs, Auto-raise PR toggle, and Healing Branch Prefix input.
• All configuration fields are disabled when the master toggle is OFF, and loads current config via BE-01 GET on mount.</t>
  </si>
  <si>
    <t>• Must render the Self-Healing panel in Settings with the master Enable toggle
• Must display Algorithm 1 Threshold, Algorithm 2 Threshold, Auto-raise PR toggle, and Healing Branch Prefix input fields
• Must pre-fill all fields with saved values from tenant.healing_config
• Must disable all configuration fields when enabled is set to false
• Must load and render the panel within 1 second</t>
  </si>
  <si>
    <t>enabled, algo1_threshold, algo2_threshold, auto_pr, branch_prefix</t>
  </si>
  <si>
    <t>Enable Self-Healing toggle</t>
  </si>
  <si>
    <t>Renders the Enable Self-Healing toggle that activates or deactivates the healing proxy for the tenant's test runs.</t>
  </si>
  <si>
    <t>• Renders the master Enable Self-Healing toggle that activates or deactivates the healing proxy for the tenant's test runs.
• When ON, the ICE Healing Proxy intercepts WebDriver calls and attempts auto-healing on locator failure; when OFF, the healing proxy is bypassed.
• All other config fields are disabled when the toggle is OFF, and the current saved value is pre-set.</t>
  </si>
  <si>
    <t>• Must render the Enable Self-Healing toggle reflecting the saved enabled value from tenant.healing_config
• Must disable all other configuration fields when the toggle is in the OFF state
• Must enable all other configuration fields when the toggle is in the ON state
• Must mark the form as dirty when the toggle state is changed</t>
  </si>
  <si>
    <t>FR-034 / BE-01</t>
  </si>
  <si>
    <t>enabled</t>
  </si>
  <si>
    <t>Algorithm 1 Threshold input (Levenshtein)</t>
  </si>
  <si>
    <t>Renders the Algorithm 1 Threshold input that sets the minimum Levenshtein similarity score required for an attribute-based healing match.</t>
  </si>
  <si>
    <t>• Renders the Algorithm 1 Threshold numeric input that sets the minimum Levenshtein similarity score required for an attribute-based healing match.
• Shows hint 'Levenshtein confidence' with a default value of 0.85 and accepts values in the range 0.0–1.0.
• Inline validation on blur rejects values outside 0.0–1.0, and the field is disabled when the master toggle is OFF.</t>
  </si>
  <si>
    <t>• Must pre-fill the Algorithm 1 Threshold input with the saved algo1_threshold value or default to 0.85
• Must enforce the valid range of 0.0–1.0 and reject out-of-range values with inline validation
• Must display the hint text 'Levenshtein confidence' near the input
• Must disable the input when enabled is false</t>
  </si>
  <si>
    <t>algo1_threshold</t>
  </si>
  <si>
    <t>Algorithm 2 Threshold input (Tree edit distance)</t>
  </si>
  <si>
    <t>Renders the Algorithm 2 Threshold input that sets the minimum tree edit distance score required for a DOM position-based healing match.</t>
  </si>
  <si>
    <t>• Renders the Algorithm 2 Threshold numeric input that sets the minimum tree edit distance score required for a DOM position-based healing match.
• Shows hint 'Tree edit distance' with a default value of 0.75 and accepts values in the range 0.0–1.0.
• Inline validation on blur rejects values outside 0.0–1.0, and the field is disabled when the master toggle is OFF.</t>
  </si>
  <si>
    <t>• Must pre-fill the Algorithm 2 Threshold input with the saved algo2_threshold value or default to 0.75
• Must enforce the valid range of 0.0–1.0 and reject out-of-range values with inline validation
• Must display the hint text 'Tree edit distance' near the input
• Must disable the input when enabled is false</t>
  </si>
  <si>
    <t>algo2_threshold</t>
  </si>
  <si>
    <t>Auto-raise PR on heal toggle</t>
  </si>
  <si>
    <t>Renders the Auto-raise PR on Heal toggle that enables automatic GitHub/GitLab PR creation when a locator is successfully healed.</t>
  </si>
  <si>
    <t>• Renders the Auto-raise PR on heal toggle that enables automatic GitHub/GitLab PR creation when a locator is successfully healed.
• When ON, ICE automatically raises a Git PR with the corrected locator on the configured healing branch after a successful heal.
• The toggle is disabled when the master Enable Self-Healing toggle is OFF.</t>
  </si>
  <si>
    <t>• Must render the Auto-raise PR on heal toggle reflecting the saved auto_pr value from tenant.healing_config
• Must disable the toggle when enabled is false
• Must mark the form as dirty when the toggle state is changed</t>
  </si>
  <si>
    <t>auto_pr</t>
  </si>
  <si>
    <t>Healing Branch Prefix input</t>
  </si>
  <si>
    <t>Renders the Healing Branch Prefix input that sets the Git branch naming prefix used for healed locator PRs (e.g. healing/).</t>
  </si>
  <si>
    <t>• Renders the Healing Branch Prefix text input that sets the Git branch naming prefix used for healed locator PRs.
• Default value is 'ice-heal/' and branch names for auto-PR are constructed as {prefix}{journey_id}.
• Validates that the prefix ends with '/' and is disabled when the master toggle is OFF.</t>
  </si>
  <si>
    <t>• Must pre-fill the Healing Branch Prefix input with the saved branch_prefix value or default to 'ice-heal/'
• Must display an inline warning if the prefix does not end with a trailing '/'
• Must disable the input when enabled is false</t>
  </si>
  <si>
    <t>branch_prefix</t>
  </si>
  <si>
    <t>Renders the Save Changes button that persists the self-healing configuration to the ICE database.</t>
  </si>
  <si>
    <t>• Renders the global 'Save Changes' button in the Settings footer that persists the self-healing configuration to the ICE database.
• On click calls BE-01 PUT with all healing config values.
• Shows success toast on 200 response and displays inline errors on invalid threshold or missing prefix.</t>
  </si>
  <si>
    <t>• Must trigger BE-01 PUT endpoint on button click with all self-healing configuration values
• Must display success toast on 200 response from the backend
• Must display inline errors on validation failure with specific field-level error messages
• Must disable the button during the save operation to prevent duplicate requests
• Must persist the self-healing configuration to tenant table and be retrievable on subsequent reads</t>
  </si>
  <si>
    <t>Enable / Save Changes (E2E)</t>
  </si>
  <si>
    <t>Validates the full self-healing settings flow: enabled, thresholds set, auto-PR configured, saved, and healing proxy activated on next test run.</t>
  </si>
  <si>
    <t>• Validates the full self-healing settings flow including enabling, setting thresholds, configuring auto-PR, saving, and activating the healing proxy.
• E2E test enables Self-Healing, sets algo1=0.90 and algo2=0.80, enables Auto-PR, sets branch prefix 'ice-heal/', saves changes, runs journey with broken locator, and verifies healing proxy fires with correct algorithm and PR raised on ice-heal/ branch.
• Tests invalid threshold scenario (algo1=1.5) and verifies ERR-HEAL-INVALID-THRESHOLD inline error is displayed.</t>
  </si>
  <si>
    <t>• Must enable Self-Healing and set algo1=0.90 and algo2=0.80 thresholds successfully
• Must enable Auto-PR and set branch prefix, then save the configuration
• Must verify the healing proxy uses the correct thresholds after configuration is saved
• Must raise a PR on the correct branch when auto-PR is enabled
• Must reject invalid threshold values with inline validation errors
• Must persist the full self-healing configuration to tenant table and be retrievable on subsequent reads</t>
  </si>
  <si>
    <t>FR-034 / FE-01 to FE-07, FR-034 / BE-01</t>
  </si>
  <si>
    <t>Settings — Design Integration</t>
  </si>
  <si>
    <t>FR-035</t>
  </si>
  <si>
    <t>Settings › Design Integration</t>
  </si>
  <si>
    <t>Save Changes (BE: design config entity)</t>
  </si>
  <si>
    <t>Defines and persists the design integration configuration entity, storing the provider type, Figma file URL, encrypted access token, and auto-sync flag for the tenant.</t>
  </si>
  <si>
    <t>• Defines and persists the design integration configuration entity storing provider type, Figma file URL, encrypted access token, and auto-sync flag.
• Stored in tenant.design_config JSONB with fields: provider (ENUM: FIGMA, SKETCH, PENPOT, default FIGMA), file_url (TEXT), file_id (TEXT, parsed from URL), access_token (TEXT, AES-256 encrypted), auto_sync (BOOLEAN, default false), and webhook_secret (TEXT, AES-256 encrypted).
• GET /design-config returns current configuration with access token masked.</t>
  </si>
  <si>
    <t>• Must return current design_config via GET with access token masked
• Must validate file_url is a valid Figma, Sketch, or Penpot URL format on PUT and parse file_id
• Must return 400 ERR-DESIGN-INVALID-URL for invalid or malformed file_url
• Must return 400 ERR-DESIGN-MISSING-TOKEN when access token is empty or missing
• Must store provider, file_url, encrypted access token, and auto_sync flag in tenant.design_config JSONB
• Must make the configuration accessible to FR-048 Design Sync Orchestrator for integration workflows
• Must persist design_config to tenant table and be retrievable on subsequent reads</t>
  </si>
  <si>
    <t>design_config JSONB: provider, file_url, file_id, access_token, auto_sync, webhook_secret</t>
  </si>
  <si>
    <t>GET /api/v1/design-config → {provider, file_url, file_id, access_token(masked), auto_sync}
PUT /api/v1/design-config body: {provider, file_url, access_token, auto_sync}
Response 200: updated config | 400 ERR-DESIGN-INVALID-URL | ERR-DESIGN-MISSING-TOKEN</t>
  </si>
  <si>
    <t>FR-048 BE-06 (Design Sync Orchestrator reads config) · FR-048 BE-07 (Figma Webhook uses webhook_secret) · FR-048 BE-08 (.gspec Generator reads file_id)</t>
  </si>
  <si>
    <t>Test Connection (BE: design connection test)</t>
  </si>
  <si>
    <t>Exposes the test connection endpoint that validates the design provider connection by calling the Figma API with the stored credentials.</t>
  </si>
  <si>
    <t>• Exposes POST /design-config/test endpoint that validates the design provider connection by calling the Figma API with stored credentials.
• Runs two checks: (1) Connected — token accepted by provider API, (2) Screens — file accessible and screen list returned.
• Returns per-check results with screen count indicating successful connection and file access.</t>
  </si>
  <si>
    <t>• Must run two sequential checks via POST /design-config/test: Connected and Screens
• Must confirm Connected ✓ when the stored token is accepted by the design provider API
• Must confirm Screens ✓ when the file is accessible and return the screen count
• Must return Connected ✗ for invalid or expired access tokens
• Must return Screens ✗ when the file is not found or inaccessible
• Must enforce a 10-second timeout per check and fail gracefully on timeout</t>
  </si>
  <si>
    <t>FR-035 / BE-01</t>
  </si>
  <si>
    <t>Spring Boot · Figma REST API</t>
  </si>
  <si>
    <t>PostgreSQL + Figma API</t>
  </si>
  <si>
    <t>design_config</t>
  </si>
  <si>
    <t>provider, file_url, file_id, access_token</t>
  </si>
  <si>
    <t>POST /api/v1/design-config/test body: {provider, file_url, access_token}
Response 200: {checks: [{name: Connected, passed: true}, {name: Screens, passed: true, screen_count: 12}]}</t>
  </si>
  <si>
    <t>Auto-sync on Figma update (BE: webhook receiver)</t>
  </si>
  <si>
    <t>Receives the Figma file update webhook and triggers the design sync orchestrator to re-pull the screen specs and regenerate affected .gspec files.</t>
  </si>
  <si>
    <t>• Receives Figma/Penpot file-update webhooks via POST /webhooks/design/{tenant_slug} endpoint.
• Validates HMAC-SHA256 webhook_secret signature to authenticate the incoming webhook request.
• On valid webhook, triggers the Design Sync Orchestrator (FR-048 BE-06) to re-pull screen definitions and regenerate .gspec files.</t>
  </si>
  <si>
    <t>• Must receive Figma and Penpot file-update webhooks via POST /webhooks/design/{tenant_slug}
• Must validate the HMAC-SHA256 webhook_secret signature to authenticate the incoming webhook
• Must return 401 for webhooks with invalid or missing signatures
• Must trigger the Design Sync Orchestrator (FR-048) on valid webhook delivery
• Must return 404 for unknown tenant_slug values
• Must handle duplicate webhook deliveries idempotently without triggering duplicate sync operations</t>
  </si>
  <si>
    <t>FR-035 / BE-01; triggers FR-047 BE-06 (Design Sync Orchestrator)</t>
  </si>
  <si>
    <t>design_config · tenant</t>
  </si>
  <si>
    <t>webhook_secret, tenant_slug</t>
  </si>
  <si>
    <t>POST /webhooks/design/{tenant_slug}
Headers: X-Figma-Signature (HMAC)
Response 200: {received: true} | 401: invalid signature | 404: unknown tenant</t>
  </si>
  <si>
    <t>Design Integration screen display</t>
  </si>
  <si>
    <t>Renders the Design Integration settings screen with provider selection, credentials, and auto-sync controls.</t>
  </si>
  <si>
    <t>• Renders the Design Integration panel in Settings with provider selection, credentials, and auto-sync controls.
• Displays Provider dropdown, Figma File URL input, Access Token input (masked), Auto-sync toggle, and Test Connection button.
• Loads current configuration via BE-01 GET endpoint on component mount.</t>
  </si>
  <si>
    <t>• Must render the Design Integration panel with Provider dropdown, Figma File URL input, Access Token input (masked), Auto-sync toggle, and Test Connection button
• Must pre-fill all fields with saved configuration values on panel load
• Must mask the Access Token field to prevent plaintext display
• Must load the panel within 1 second of navigation</t>
  </si>
  <si>
    <t>provider, file_url, access_token, auto_sync</t>
  </si>
  <si>
    <t>Renders the Provider dropdown (Figma / Sketch) that selects the design tool integration to configure.</t>
  </si>
  <si>
    <t>• Renders the Provider dropdown for selecting the design tool integration to configure.
• Options include Figma (active), Sketch (coming soon — disabled), and Penpot (coming soon — disabled).
• Pre-selects the current saved provider and shows tooltip for disabled options.</t>
  </si>
  <si>
    <t>• Must render a Provider dropdown with Figma as selectable and Sketch and Penpot as disabled options
• Must show 'coming soon' tooltip for Sketch and Penpot disabled options
• Must pre-select the currently saved provider value on panel load
• Must mark the form as dirty when the provider selection is changed</t>
  </si>
  <si>
    <t>Figma File URL input</t>
  </si>
  <si>
    <t>Renders the Figma File URL input for the URL of the Figma file containing the application screen designs.</t>
  </si>
  <si>
    <t>• Renders the Figma File URL text input for the URL of the Figma file containing application screen designs.
• Accepts full Figma file URL format (e.g. https://www.figma.com/file/AbCdEf123/ICE-Banking-UI).
• Validates URL format on blur — must be a valid Figma/Sketch/Penpot URL for the selected provider.
• Displays inline error message on invalid URL format.</t>
  </si>
  <si>
    <t>• Must render a text input for Figma File URL that accepts full Figma file URL format
• Must pre-fill the input with the saved file_url value on panel load
• Must validate URL format on blur and check that it is a valid Figma, Sketch, or Penpot URL
• Must display an inline error message for invalid URL format
• Must clear the inline error when a valid URL is entered</t>
  </si>
  <si>
    <t>FR-035 / FE-02</t>
  </si>
  <si>
    <t>file_url</t>
  </si>
  <si>
    <t>Access Token input (masked)</t>
  </si>
  <si>
    <t>Renders the Access Token input (masked) for the Figma API personal access token.</t>
  </si>
  <si>
    <t>• Renders the Access Token password input (masked) for the Figma API personal access token.
• Shows placeholder '••••••••' when a saved value exists in the configuration.
• Clear button allows user to re-enter the token value.</t>
  </si>
  <si>
    <t>• Must render a password input field for Access Token with masking enabled at all times
• Must display placeholder '••••••••' when a saved token value exists in the configuration
• Must provide a Clear button that allows the user to re-enter the token value
• Must show a required field error on save if the Access Token field is empty</t>
  </si>
  <si>
    <t>access_token</t>
  </si>
  <si>
    <t>Auto-sync on Figma update toggle</t>
  </si>
  <si>
    <t>Renders the Auto-sync on Figma update toggle that enables automatic sync when Figma sends a file update webhook.</t>
  </si>
  <si>
    <t>• Renders the Auto-sync on Figma update toggle that enables automatic sync when Figma sends a file update webhook.
• When ON — ICE registers a Figma webhook and re-pulls screen definitions automatically whenever the Figma file is updated.
• When OFF — sync only happens manually via the Design Sync screen.</t>
  </si>
  <si>
    <t>• Must render a toggle control for Auto-sync on Figma update that reflects the saved auto_sync value
• Must display info text about webhook registration when the toggle is in the ON state
• Must mark the form as dirty when the toggle state is changed
• Must reflect OFF state without showing webhook registration info</t>
  </si>
  <si>
    <t>auto_sync</t>
  </si>
  <si>
    <t>Renders the Test Connection button that calls BE-02 and displays the Figma API connection result inline.</t>
  </si>
  <si>
    <t>• Renders the Test button that validates the Figma API connection using current (unsaved) file URL and access token.
• Calls BE-02 endpoint on click and shows animated progress per check (Connected → Screens).
• Displays final result as ✓/✗ per check with screen count indicating connection status.</t>
  </si>
  <si>
    <t>• Must call BE-02 endpoint on button click using current unsaved file_url and access_token values
• Must display animated progress for each sequential check (Connected → Screens)
• Must show Connected ✓ when the token is valid and accepted by the design provider API
• Must show Screens ✓ with the screen count when the file is accessible
• Must display failed checks in red with ✗ indicator
• Must disable the button during the test operation to prevent duplicate requests</t>
  </si>
  <si>
    <t>FR-035 / BE-02</t>
  </si>
  <si>
    <t>provider, file_url, access_token</t>
  </si>
  <si>
    <t>Renders the Save Changes button that persists the design integration configuration to the ICE database.</t>
  </si>
  <si>
    <t>• Renders the global Save Changes button in Settings footer that persists the design integration configuration.
• Calls BE-01 PUT endpoint with provider, file_url, access_token, and auto_sync values on click.
• Shows success toast on 200 response and inline errors on invalid URL or missing token.</t>
  </si>
  <si>
    <t>• Must trigger BE-01 PUT endpoint on button click with provider, file_url, access_token, and auto_sync values
• Must display success toast on 200 response from the backend
• Must display inline errors on validation failure with specific field-level error messages
• Must disable the button during the save operation to prevent duplicate requests
• Must persist the design integration configuration to tenant table and be retrievable on subsequent reads</t>
  </si>
  <si>
    <t>provider, file_url, file_id, access_token, auto_sync</t>
  </si>
  <si>
    <t>Validates the full design integration settings flow: Figma URL and token entered, connection tested, auto-sync enabled, and a webhook-triggered sync verified.</t>
  </si>
  <si>
    <t>• Validates the full design integration settings flow from Figma URL and token entry through webhook-triggered sync.
• E2E: Select Figma → enter valid file URL → enter access token → Test Connection (Connected ✓, Screens ✓ — 12 screens) → enable Auto-sync → Save Changes → simulate Figma webhook → verify sync pipeline triggered → verify .gspec files regenerated.
• Tests invalid URL entry and verifies ERR-DESIGN-INVALID-URL inline error is displayed.</t>
  </si>
  <si>
    <t>• Must display 'Connected ✓, Screens ✓ — 12 screens' when Test Connection is clicked with a valid Figma file URL and access token
• Must persist the Figma URL, access token, and Auto-sync enabled state to design_config after save
• Must trigger the webhook sync pipeline and regenerate .gspec files when Auto-sync is enabled and a webhook is received
• Must reject an invalid Figma URL inline with a clear error message before allowing save
• Must retrieve the saved design_config on subsequent settings screen loads
• Must persist the updated design integration settings to design_config and be retrievable on subsequent reads</t>
  </si>
  <si>
    <t>FR-035 / FE-01 to FE-07, FR-035 / BE-01 to BE-03</t>
  </si>
  <si>
    <t>tenant · design_config</t>
  </si>
  <si>
    <t>Settings - Targeted Regression</t>
  </si>
  <si>
    <t>FR-036</t>
  </si>
  <si>
    <t>Settings › Targeted Regression</t>
  </si>
  <si>
    <t>Settings load</t>
  </si>
  <si>
    <t>Loads the targeted regression settings from the ICE database and returns the current configuration for the settings screen.</t>
  </si>
  <si>
    <t>• Loads and manages the targeted regression settings from the ICE database for the settings screen.
• GET/POST /api/v1/settings/targeting manages the targeting_config entity per tenant.
• Fields include enabled, watch_branches[], auto_trigger_scan, auto_run_journeys, pr_check_enabled, nightly_scan_enabled, and notification_email.</t>
  </si>
  <si>
    <t>• Must return the full targeting_config for the tenant on GET /api/v1/settings/targeting
• Must validate all fields on POST /api/v1/settings/targeting and reject invalid payloads with a 400 error
• Must reject POST requests where enabled=true and watch_branches[] is empty with a validation error
• Must validate notification_email as a valid email format and reject invalid entries
• Must scope all targeting_config operations per tenant
• Must persist the updated targeting_config to targeting_config and be retrievable on subsequent reads</t>
  </si>
  <si>
    <t>targeting_config</t>
  </si>
  <si>
    <t>enabled, watch_branches[], auto_trigger_scan, auto_run_journeys, pr_check_enabled, nightly_scan_enabled, notification_email</t>
  </si>
  <si>
    <t>GET/POST /api/v1/settings/targeting → targeting_config{}</t>
  </si>
  <si>
    <t>Config available for webhook trigger</t>
  </si>
  <si>
    <t>Auto-trigger scan on push</t>
  </si>
  <si>
    <t>Implements the auto-trigger scan on push, receiving the Git webhook and running the changed-file impact analysis for the affected journeys.</t>
  </si>
  <si>
    <t>• Implements the auto-trigger scan on push by receiving the Git webhook and running changed-file impact analysis.
• When auto_trigger_scan=true, incoming Git webhook fires Impact Resolver for each commit on watched branch.
• Stores scan result against SHA in ice_commit_scans table.</t>
  </si>
  <si>
    <t>• Must check the incoming Git webhook branch against watch_branches[] and proceed only on match
• Must call the Impact Resolver for each commit on a watched branch when auto_trigger_scan=true
• Must store the scan result with sha, fn[], journey_ids[], and unowned_files[] in ice_commit_scans
• Must surface the scan result via GET /api/v1/commits after storage
• Must list the commit without pre-scanning when auto_trigger_scan=false
• Must persist the scan result to ice_commit_scans and be retrievable on subsequent reads</t>
  </si>
  <si>
    <t>BE-01, FR-024 BE-03, FR-022 BE-03; extended by FR-050 BE-03 (getChangedFiles + impact resolver)</t>
  </si>
  <si>
    <t>ice_commit_scans</t>
  </si>
  <si>
    <t>sha, branch, fn[], journey_ids[], unowned_files[], scanned_at</t>
  </si>
  <si>
    <t>POST /webhook/git → Impact Resolver → ice_commit_scans</t>
  </si>
  <si>
    <t>Pre-scanned commits in FR-022 commit list</t>
  </si>
  <si>
    <t>Auto-run journeys on push</t>
  </si>
  <si>
    <t>Implements the auto-run journeys on push, dispatching a targeted run_execution for the impacted journeys after the scan completes.</t>
  </si>
  <si>
    <t>• Implements the auto-run journeys on push by dispatching a targeted run_execution for impacted journeys after scan completes.
• When auto_run_journeys=true, after scan completes with non-empty journey_ids[], automatically dispatches run via FR-022 BE-05 with default config.
• Skips automatic run if unowned_files[] array is present in scan results.</t>
  </si>
  <si>
    <t>• Must dispatch a targeted run_execution only when auto_run_journeys=true AND journey_ids[] is non-empty after scan completes
• Must not dispatch a run when unowned_files[] is non-empty and must alert notification_email with the list of unowned files
• Must dispatch the run via FR-022 with source=commit and trigger=auto
• Must store the run result in run_executions with the associated commit sha and journey_ids[]
• Must send a notification email to notification_email on run completion
• Must persist the run result to run_executions and be retrievable on subsequent reads</t>
  </si>
  <si>
    <t>BE-01, BE-02, FR-022 BE-05</t>
  </si>
  <si>
    <t>run_id, sha, source=auto, trigger=auto, status</t>
  </si>
  <si>
    <t>POST /api/v1/run {source=commit, sha, auto=true}</t>
  </si>
  <si>
    <t>Auto-triggered run in Analytics</t>
  </si>
  <si>
    <t>PR check — fail on unmapped files</t>
  </si>
  <si>
    <t>Implements the PR check, blocking a pull request if it introduces new files that are not mapped in the ownership map.</t>
  </si>
  <si>
    <t>• Implements the PR check that blocks a pull request if it introduces new files not mapped in the ownership map.
• When pr_check_enabled=true, ICE posts a commit status check for every PR.
• Unowned files cause the check to fail with a list of unmapped file paths.</t>
  </si>
  <si>
    <t>• Must resolve the PR diff against the ownership_map when a pull request is opened and pr_check_enabled=true
• Must pass the check named 'ICE / Ownership Coverage' when all changed files are mapped in ownership_map
• Must fail the check with status failure and list all unowned file paths when any file is not mapped
• Must not post any commit status check when pr_check_enabled=false
• Must retrieve ownership_map data on each PR check without persisting new data</t>
  </si>
  <si>
    <t>BE-01, FR-024 BE-03, FR-022 BE-03</t>
  </si>
  <si>
    <t>Spring Boot + Git Status API</t>
  </si>
  <si>
    <t>ownership_map</t>
  </si>
  <si>
    <t>sha, unowned_files[], check_status</t>
  </si>
  <si>
    <t>POST /repos/{owner}/{repo}/statuses/{sha}</t>
  </si>
  <si>
    <t>PR check visible in Git provider</t>
  </si>
  <si>
    <t>Scheduled nightly scan</t>
  </si>
  <si>
    <t>Implements the nightly scheduled scan, comparing the previous day's main branch to today's to identify changed journeys for overnight regression.</t>
  </si>
  <si>
    <t>• Implements the nightly scheduled scan that compares the previous day's main branch to today's to identify changed journeys.
• When nightly_scan_enabled=true, ICE runs scheduled release scan at 02:00 tenant timezone comparing main HEAD vs last release tag.
• Sends scan summary to notification_email address for overnight regression reporting.</t>
  </si>
  <si>
    <t>• Must fire the scheduled scan at 02:00 in the tenant's configured timezone when nightly_scan_enabled=true
• Must fetch HEAD of main branch and the latest release tag for comparison
• Must call the Impact Resolver with from_ref=last_tag and to_ref=main to identify changed journeys
• Must store the scan result with from_ref, to_ref, journey_ids[], and timestamp in ice_scheduled_scans
• Must send a summary email to notification_email with the scan result after completion
• Must persist the nightly scan result to ice_scheduled_scans and be retrievable on subsequent reads</t>
  </si>
  <si>
    <t>BE-01, FR-022 BE-04</t>
  </si>
  <si>
    <t>Spring Boot + Quartz</t>
  </si>
  <si>
    <t>ice_scheduled_scans</t>
  </si>
  <si>
    <t>scan_id, from_ref, to_ref, fn[], journey_ids[], unowned_files[], scanned_at</t>
  </si>
  <si>
    <t>Scheduled job → /api/v1/impact/release internally</t>
  </si>
  <si>
    <t>Nightly scan in Analytics; email alert</t>
  </si>
  <si>
    <t>Renders the Targeted Regression settings screen with all toggle and configuration controls.</t>
  </si>
  <si>
    <t>• Renders the Settings › Targeted Regression section with all toggle and configuration controls.
• Loads targeting_config data from BE-01 to populate the screen.
• Displays all FR-036 controls in a single cohesive settings panel.</t>
  </si>
  <si>
    <t>• Must render the Settings › Targeted Regression section on navigation click
• Must load and pre-populate all field values from the targeting_config returned by BE-01
• Must display all FR-036 controls in a single cohesive settings panel matching the platform settings style
• Must dim all controls when enabled=false is loaded from targeting_config</t>
  </si>
  <si>
    <t>All FR-036 controls visible</t>
  </si>
  <si>
    <t>Enable toggle</t>
  </si>
  <si>
    <t>Renders the Enable toggle that activates the targeted regression feature for the tenant.</t>
  </si>
  <si>
    <t>• Renders the master Enable toggle that activates or deactivates the targeted regression feature for the tenant.
• When toggle is OFF, all other FR-036 controls are dimmed and non-interactive.
• Controls the enabled field in the targeting_config table.</t>
  </si>
  <si>
    <t>• Must dim and disable all other FR-036 controls when the Enable toggle is OFF
• Must default the Enable toggle to ON for new tenants or when no targeting_config exists
• Must save the enabled field value to targeting_config via BE-01 when Save Changes is clicked
• Must allow toggling between ON and OFF states without requiring a page refresh</t>
  </si>
  <si>
    <t>enabled in payload</t>
  </si>
  <si>
    <t>Watch Branches input</t>
  </si>
  <si>
    <t>Renders the Watch Branches input that defines which branches trigger the auto-scan on push.</t>
  </si>
  <si>
    <t>• Renders the Watch Branches input field that defines which branches trigger the auto-scan on push.
• Accepts a comma-separated list of branch names.
• Field must be non-empty when enabled is true.</t>
  </si>
  <si>
    <t>• Must accept a comma-separated list of branch names in the Watch Branches input field
• Must reject save with a validation error when watch_branches[] is empty and enabled=true
• Must default the Watch Branches field to 'develop, main' for new tenants
• Must trim whitespace from each branch name before saving to targeting_config</t>
  </si>
  <si>
    <t>watch_branches[] in payload</t>
  </si>
  <si>
    <t>Auto-trigger scan toggle</t>
  </si>
  <si>
    <t>Renders the Auto-trigger Scan toggle that enables the changed-file scan on every push to a watched branch.</t>
  </si>
  <si>
    <t>• Renders the Auto-trigger Scan toggle that enables the changed-file scan on every push to a watched branch.
• Controls the auto_trigger_scan field in targeting_config.
• Default value is ON.</t>
  </si>
  <si>
    <t>• Must enable ICE to pre-scan every commit on watched branches when the Auto-trigger Scan toggle is ON
• Must list commits without pre-scanning when the Auto-trigger Scan toggle is OFF
• Must default the Auto-trigger Scan toggle to ON for new tenants
• Must save the auto_trigger_scan field value to targeting_config via BE-01 on Save Changes</t>
  </si>
  <si>
    <t>auto_trigger_scan in payload</t>
  </si>
  <si>
    <t>Auto-run toggle</t>
  </si>
  <si>
    <t>Renders the Auto-run toggle that enables automatic journey execution after a scan completes.</t>
  </si>
  <si>
    <t>• Renders the Auto-run toggle that enables automatic journey execution after a scan completes.
• Controls the auto_run field in targeting_config and defaults to OFF.
• Displays a warning hint when the toggle is set to ON.</t>
  </si>
  <si>
    <t>• Must default the Auto-run toggle to OFF for new tenants or when no targeting_config exists
• Must display a warning hint explaining automatic execution behavior when the Auto-run toggle is set to ON
• Must save the auto_run_journeys field value to targeting_config via BE-01 on Save Changes
• Must allow toggling between ON and OFF without clearing other field values</t>
  </si>
  <si>
    <t>auto_run_journeys in payload</t>
  </si>
  <si>
    <t>PR check toggle</t>
  </si>
  <si>
    <t>Renders the PR Check toggle that enables the unmapped file gate on pull requests.</t>
  </si>
  <si>
    <t>• Renders the PR Check toggle that enables the unmapped file gate on pull requests.
• Controls the pr_check field in targeting_config and posts commit status on PRs with unowned files.
• Default value is ON.</t>
  </si>
  <si>
    <t>• Must post the 'ICE / Ownership Coverage' commit status check on all pull requests when the PR Check toggle is ON
• Must not post any commit status check on pull requests when the PR Check toggle is OFF
• Must default the PR Check toggle to ON for new tenants
• Must save the pr_check_enabled field value to targeting_config via BE-01 on Save Changes</t>
  </si>
  <si>
    <t>pr_check_enabled in payload</t>
  </si>
  <si>
    <t>Scheduled nightly scan toggle</t>
  </si>
  <si>
    <t>Renders the Scheduled Nightly Scan toggle that enables the overnight baseline comparison scan.</t>
  </si>
  <si>
    <t>• Renders the Scheduled Nightly Scan toggle that enables the overnight baseline comparison scan.
• Compares main branch vs last release tag nightly at 02:00.
• Default value is ON.</t>
  </si>
  <si>
    <t>• Must render the Scheduled Nightly Scan toggle with default value ON
• Must trigger cron job at 02:00 for nightly baseline comparison scan (main branch vs last release tag) when toggle is ON
• Must prevent scheduled scan execution when toggle is OFF
• Must maintain toggle state across page reloads</t>
  </si>
  <si>
    <t>nightly_scan_enabled in payload</t>
  </si>
  <si>
    <t>Notification email input</t>
  </si>
  <si>
    <t>Renders the Notification Email input that sets the email address for scan completion notifications.</t>
  </si>
  <si>
    <t>• Renders the Notification Email input field that sets the email address for scan completion notifications.
• Used for sending scan summaries and alerts.
• Input is validated as a proper email format.</t>
  </si>
  <si>
    <t>• Must render the Notification Email input field for scan completion notifications
• Must validate input as proper email format when value is entered
• Must allow empty value only when notifications are disabled (enabled=false)
• Must reject invalid email formats with inline validation error</t>
  </si>
  <si>
    <t>notification_email in payload</t>
  </si>
  <si>
    <t>Save Changes button</t>
  </si>
  <si>
    <t>Renders the Save Changes button that persists the targeted regression configuration to the ICE database.</t>
  </si>
  <si>
    <t>• Renders the Save Changes button that persists the targeted regression configuration to the ICE database.
• Saves all FR-036 targeting_config fields via BE-01 POST endpoint.
• Button is part of the global Save Changes footer.</t>
  </si>
  <si>
    <t>• Must render the Save Changes button in the global footer
• Must send POST request with full targeting_config payload when clicked
• Must display success toast on successful save
• Must highlight validation errors inline when save fails due to invalid input</t>
  </si>
  <si>
    <t>targeting_config saved</t>
  </si>
  <si>
    <t>Settings save E2E</t>
  </si>
  <si>
    <t>Validates the full targeted regression settings save flow: all toggles set, branches configured, email entered, and settings persisted.</t>
  </si>
  <si>
    <t>• Validates the full targeted regression settings save flow from load to persist.
• E2E flow: Load screen, verify defaults, toggle Auto-run ON, set branches, save.
• Verifies both POST and GET requests confirm the settings are correctly persisted.</t>
  </si>
  <si>
    <t>• Must render all targeted regression controls with correct default values on load
• Must send correct POST payload containing all FR-036 targeting_config fields when Save Changes is clicked
• Must return updated values via GET after successful save
• Must display validation errors for invalid configurations before allowing save</t>
  </si>
  <si>
    <t>All BE + FE</t>
  </si>
  <si>
    <t>Settings persisted</t>
  </si>
  <si>
    <t>Auto-trigger scan E2E</t>
  </si>
  <si>
    <t>Validates the auto-trigger scan flow: code pushed to watched branch, scan runs, impacted journeys identified correctly.</t>
  </si>
  <si>
    <t>• Validates the auto-trigger scan flow when code is pushed to a watched branch.
• E2E flow: Enable auto_trigger_scan, simulate push webhook, verify Impact Resolver is called.
• Confirms the commit appears correctly in the Execute Tests screen.</t>
  </si>
  <si>
    <t>• Must invoke Impact Resolver within 5 seconds when code is pushed to a watched branch with auto_trigger_scan enabled
• Must display the commit in Execute Tests screen with function count and journey count
• Must display warning indicator (⚠) for commits containing unowned files
• Must not trigger scan when code is pushed to a non-watched branch</t>
  </si>
  <si>
    <t>BE-01, BE-02, FR-022 BE-03</t>
  </si>
  <si>
    <t>Playwright AI + WireMock</t>
  </si>
  <si>
    <t>Pre-scanned commits in Execute Tests</t>
  </si>
  <si>
    <t>PR check E2E</t>
  </si>
  <si>
    <t>Validates the PR check flow: PR with unmapped files is blocked, PR with all files mapped is allowed through.</t>
  </si>
  <si>
    <t>• Validates the PR check flow for both blocked and allowed scenarios.
• E2E flow: Enable pr_check, PR with unowned files fails check, PR with all files mapped passes check.
• Disabling pr_check removes the commit status check entirely.</t>
  </si>
  <si>
    <t>• Must set commit status check to failure when PR contains files not covered by ownership map and pr_check is enabled
• Must set commit status check to success when all PR files are mapped to functionalities and pr_check is enabled
• Must use check name 'ICE / Ownership Coverage' for all commit status updates
• Must not create commit status check when pr_check is disabled</t>
  </si>
  <si>
    <t>BE-01, BE-04, FR-024 BE-03</t>
  </si>
  <si>
    <t>PR check enforced</t>
  </si>
  <si>
    <t>Settings -Ownership Map</t>
  </si>
  <si>
    <t>FR-037</t>
  </si>
  <si>
    <t>Settings › Ownership Map</t>
  </si>
  <si>
    <t>Screen load</t>
  </si>
  <si>
    <t>Loads the ownership map screen by fetching the current ice-ownership.yml content from Git and the cached ownership map from the ICE database.</t>
  </si>
  <si>
    <t>• Loads the ownership map screen by fetching ice-ownership.yml from Git and the cached ownership map from the ICE database.
• GET/POST/PUT/DELETE /api/v1/settings/ownership manages the ownership_map table with fields: id, tenant_id, glob_pattern, functionality_name, ignore, file_count.
• POST validates glob syntax and GET returns the full map sorted by functionality_name.</t>
  </si>
  <si>
    <t>• Must return full ownership map for tenant sorted by functionality on GET /api/v1/settings/ownership
• Must validate glob_pattern syntax on POST and reject invalid patterns with error
• Must update glob_pattern or functionality on PUT for existing records
• Must remove ownership_map record on DELETE
• Must scope all GET/POST/PUT/DELETE operations by tenant_id
• Must persist all ownership_map changes to ownership_map table and be retrievable on subsequent reads</t>
  </si>
  <si>
    <t>id, tenant_id, glob_pattern, functionality_name, ignore, file_count</t>
  </si>
  <si>
    <t>GET /api/v1/settings/ownership → {patterns[]} | POST/PUT/DELETE /api/v1/settings/ownership/{id}</t>
  </si>
  <si>
    <t>Patterns available for Impact Resolver (FR-022 BE-03/04) and PR check (FR-036 BE-04)</t>
  </si>
  <si>
    <t>↻ Sync now</t>
  </si>
  <si>
    <t>Pulls the latest ice-ownership.yml from Git and re-parses it into the ownership map cache, updating the last-synced timestamp.</t>
  </si>
  <si>
    <t>• Pulls the latest ice-ownership.yml from Git repo root and re-parses it into the ownership map cache.
• Compares existing DB records to parsed YAML: adds new records, updates changed records, marks removed records as inactive.
• Auto-sync runs every 15 minutes via scheduler and stores last_synced_at timestamp.</t>
  </si>
  <si>
    <t>• Must pull ice-ownership.yml from repository root via Git API
• Must parse YAML structure including version, functionalities, patterns[], and ignore fields
• Must upsert ownership_map records based on parsed YAML data
• Must flag removed patterns as inactive without deleting records
• Must update last_synced_at timestamp on every sync completion
• Must execute auto-sync scheduler every 15 minutes automatically
• Must persist updated ownership_map and sync_log entries to ownership_map and sync_log tables and be retrievable on subsequent reads</t>
  </si>
  <si>
    <t>BE-01, FR-024 BE-01</t>
  </si>
  <si>
    <t>Spring Boot + SnakeYAML + Quartz</t>
  </si>
  <si>
    <t>Spring Boot + SnakeYAML</t>
  </si>
  <si>
    <t>ownership_map, sync_log</t>
  </si>
  <si>
    <t>glob_pattern, functionality_name, ignore, last_synced_at</t>
  </si>
  <si>
    <t>GET /api/v1/settings/ownership/sync → {synced_at, added, updated, removed}</t>
  </si>
  <si>
    <t>Ownership map kept in sync; used by all Impact Resolver calls</t>
  </si>
  <si>
    <t>Save &amp; push / Validate &amp; push</t>
  </si>
  <si>
    <t>Saves the current ownership map as ice-ownership.yml and pushes the updated file to the configured Git repository.</t>
  </si>
  <si>
    <t>• Saves the current ownership map as ice-ownership.yml and pushes the updated file to the configured Git repository.
• Generates YAML from ownership_map DB records, validates YAML structure, and pushes to repo root via Git Bridge.
• Called by Save &amp; push (mapping table), Validate &amp; push (YAML editor), and Bulk assign (unowned files tab).</t>
  </si>
  <si>
    <t>• Must generate valid ice-ownership.yml from current ownership_map DB records
• Must validate YAML syntax and glob_pattern correctness before push
• Must push ice-ownership.yml to repository root via Git Bridge
• Must use commit message 'chore: update ice-ownership.yml [ICE auto]' for all pushes
• Must return pushed_sha on successful push</t>
  </si>
  <si>
    <t>BE-01, FR-023 (Git Bridge)</t>
  </si>
  <si>
    <t>glob_pattern, functionality_name, ignore</t>
  </si>
  <si>
    <t>POST /api/v1/settings/ownership/push → {pushed_sha, commit_url}</t>
  </si>
  <si>
    <t>Updated yaml in repo; auto-sync picks it up within 15 min</t>
  </si>
  <si>
    <t>Unowned files tab</t>
  </si>
  <si>
    <t>Queries the Git repository for file paths not matched by any ownership pattern, returning the list of unowned files for the Unowned Files tab.</t>
  </si>
  <si>
    <t>• Queries the Git repository for file paths not matched by any active glob_pattern in ownership_map and returns the list of unowned files for the Unowned Files tab.
• GET /api/v1/settings/ownership/unowned returns all files in the repo not covered by any ownership pattern.
• Results are grouped by inferred path prefix with file count and sample paths per group.</t>
  </si>
  <si>
    <t>• Must scan repository file tree via Git API and match each file against active ownership_map glob_patterns
• Must return unmatched files grouped by path_prefix via GET /api/v1/settings/ownership/unowned
• Must include path_prefix, file_count, and sample_files[] for each group in response
• Must cache response for 10 minutes to reduce repository scan load
• Must exclude files matched by ignore patterns from unowned list</t>
  </si>
  <si>
    <t>path_prefix, file_count, sample_files[]</t>
  </si>
  <si>
    <t>GET /api/v1/settings/ownership/unowned → {groups[], total_unowned}</t>
  </si>
  <si>
    <t>Unowned files surfaced in FE-06 tab; used by FR-036 PR check</t>
  </si>
  <si>
    <t>Renders the Ownership Map settings screen with the sync status bar, mapping table, and tab navigation.</t>
  </si>
  <si>
    <t>• Renders the Settings › Ownership Map section with sync status bar, 3 tab buttons (Mapping table / Unowned files / Edit YAML), and tab content panels.
• Loads ownership_map from BE-01 and sync status from BE-02 on initial render.
• Displays the sync status bar, mapping table, and tab navigation controls.</t>
  </si>
  <si>
    <t>• Must render Settings › Ownership Map section with sync status bar and 3 tab navigation (Mapping table / Unowned files / Edit YAML)
• Must load ownership_map data from BE-01 and sync status from BE-02 on initial render
• Must display Mapping table tab as active by default
• Must show FR-037 FE-01 badge on section title</t>
  </si>
  <si>
    <t>All 3 tabs accessible; sync status visible</t>
  </si>
  <si>
    <t>Sync status bar</t>
  </si>
  <si>
    <t>Renders the sync status bar showing the last sync timestamp, current sync status badge, and the owning Git repository.</t>
  </si>
  <si>
    <t>• Renders a green status bar displaying ● ice-ownership.yml · Last synced N hours ago · X functionalities · Y files mapped.
• Persists across all 3 tabs with status fetched from BE-02.
• Shows amber if last_synced_at &gt; 1 hour, red if sync failed.</t>
  </si>
  <si>
    <t>• Must display green status bar when last_synced_at is within 1 hour showing ● ice-ownership.yml · Last synced N hours ago · X functionalities · Y files mapped
• Must display amber status bar when last_synced_at is more than 1 hour ago
• Must display red status bar when last sync failed
• Must show current functionality count and mapped file count in status bar
• Must update status bar display after Sync now operation completes
• Must persist status bar across all 3 tabs</t>
  </si>
  <si>
    <t>Sync status always visible; user knows map freshness</t>
  </si>
  <si>
    <t>↻ Sync now button</t>
  </si>
  <si>
    <t>Renders the Sync Now button that triggers BE-02 to pull and re-parse the latest ownership map from Git.</t>
  </si>
  <si>
    <t>• Renders a Sync Now button in the status bar that calls BE-02 sync endpoint to pull and re-parse the latest ownership map from Git.
• Shows spinner while syncing is in progress.
• On success updates status bar with new last_synced_at and counts, on failure shows error toast.</t>
  </si>
  <si>
    <t>• Must call BE-02 GET /ownership/sync on button click
• Must display a spinner while sync is in progress and disable the button
• Must update the status bar with new last_synced_at timestamp and file counts on sync success
• Must display an error toast with failure reason if sync fails
• Must re-enable the button after sync completes or fails</t>
  </si>
  <si>
    <t>Map refreshed from repo; status bar updated</t>
  </si>
  <si>
    <t>Mapping table tab — + Add pattern</t>
  </si>
  <si>
    <t>Renders the Mapping Table tab with an editable table of functionality-to-file-pattern mappings and an Add Pattern button.</t>
  </si>
  <si>
    <t>• Renders the Mapping Table tab with an editable table of functionality-to-file-pattern mappings and an Add Pattern button.
• Adds a new editable row to the mapping table with empty pattern input and functionality dropdown.
• Row is inline-editable and Save &amp; push persists all changes.</t>
  </si>
  <si>
    <t>• Must append a new editable row to the mapping table when Add Pattern is clicked
• Must auto-focus the pattern input field in the new row
• Must populate the functionality dropdown with all tenant functionalities
• Must allow the row to be persisted via Save &amp; push (FE-05)
• Must remove the unsaved row if Cancel is clicked</t>
  </si>
  <si>
    <t>New pattern available for Impact Resolver after push</t>
  </si>
  <si>
    <t>Mapping table tab — Save &amp; push</t>
  </si>
  <si>
    <t>Renders the Save and Push button on the Mapping Table tab that calls BE-03 to persist and push the updated ownership map to Git.</t>
  </si>
  <si>
    <t>• Renders the Save and Push button on the Mapping Table tab that persists and pushes the updated ownership map to Git.
• Saves all edited/added/deleted patterns via BE-01 PUT/POST/DELETE, then calls BE-03 to regenerate and push ice-ownership.yml to repo.
• Shows success toast with commit URL after push completes.</t>
  </si>
  <si>
    <t>• Must save all edited, added, and deleted patterns via BE-01 PUT/POST/DELETE when Save and Push is clicked
• Must call BE-03 to regenerate and push ice-ownership.yml to the repository after saving changes
• Must display a success toast with commit URL on successful push
• Must update the status bar last_synced_at timestamp after successful push
• Must display an error toast with explanation if push fails</t>
  </si>
  <si>
    <t>BE-01, BE-03</t>
  </si>
  <si>
    <t>Updated ownership.yml in repo; Impact Resolver uses new map</t>
  </si>
  <si>
    <t>Unowned files tab — Bulk assign</t>
  </si>
  <si>
    <t>Renders the Unowned Files tab with the list of unmapped files and a Bulk Assign control for assigning them to functionalities.</t>
  </si>
  <si>
    <t>• Renders the Unowned Files tab with the list of unmapped files and a Bulk Assign control for assigning them to functionalities.
• Loads unowned files from BE-04 and shows amber warning banner with count, lists file groups (path_prefix, count, sample paths) with per-group Assign dropdown and Ignore button.
• Bulk assign button assigns all files in a path group to selected functionality in one action, then Save &amp; re-scan pushes YAML and triggers Impact Resolver.</t>
  </si>
  <si>
    <t>• Must load unowned files from BE-04 and display them grouped by path_prefix
• Must show an amber warning banner with total unowned file count
• Must render a functionality dropdown and Ignore button for each path group
• Must assign all files in a path group to the selected functionality when Bulk Assign is triggered
• Must trigger BE-03 push and Impact Resolver re-run after Save &amp; re-scan
• Must update the tab badge count after save completes</t>
  </si>
  <si>
    <t>BE-03, BE-04</t>
  </si>
  <si>
    <t>Unowned files resolved; ownership map updated</t>
  </si>
  <si>
    <t>Run wizard button</t>
  </si>
  <si>
    <t>Renders the Run Wizard button that opens the ownership map setup wizard for new tenants.</t>
  </si>
  <si>
    <t>• Renders the Run Wizard button that opens the ownership map setup wizard for new tenants.
• Launches the 5-step Ownership Map Builder wizard (full-screen overlay): Step 1 Connect repo, Step 2 Analyse commit history, Step 3 Confirm mappings, Step 4 Mark infrastructure, Step 5 Preview &amp; push.
• Used for first-time setup or major rebuilds of the ownership map.</t>
  </si>
  <si>
    <t>• Must open a full-screen wizard overlay when Run Wizard is clicked
• Must confirm the connected repository in Step 1 using existing FR-024 Git Config without re-entry
• Must analyse 90-day commit history for [Tag] annotations in Step 2
• Must allow QA Lead to confirm or reassign suggested patterns in Step 3
• Must allow marking infrastructure paths as ignore=true in Step 4
• Must complete the wizard and persist the ownership map configuration</t>
  </si>
  <si>
    <t>BE-01, BE-02, BE-03; triggers FR-050 BE-05 (targeted run)</t>
  </si>
  <si>
    <t>First-time ownership map built and pushed to repo</t>
  </si>
  <si>
    <t>Edit YAML tab — Validate &amp; push</t>
  </si>
  <si>
    <t>Renders the Edit YAML tab with a raw YAML editor and a Validate and Push button for advanced ownership map editing.</t>
  </si>
  <si>
    <t>• Renders the Edit YAML tab with a syntax-highlighted read-only YAML view (editable in future phase) and a Validate and Push button for advanced ownership map editing.
• Validate &amp; push button calls BE-03 to validate current DB state as YAML and push to Git.
• Download button exports ice-ownership.yml locally.</t>
  </si>
  <si>
    <t>• Must render YAML with syntax colouring: keys in green, values in blue, ignore in amber
• Must call BE-03 to validate current DB state as YAML and push when Validate &amp; push is clicked
• Must display inline error with line reference if validation fails
• Must display success toast with commit URL if validation and push succeed
• Must export current YAML as a downloadable file when Download is clicked</t>
  </si>
  <si>
    <t>YAML pushed to repo; ownership map refreshed</t>
  </si>
  <si>
    <t>Renders the Save Changes button that persists any unsaved mapping table changes to the ICE database.</t>
  </si>
  <si>
    <t>• Renders the Save Changes button as part of global Settings Save Changes footer.
• For Ownership Map the primary save actions are Save &amp; push (FE-05) and Validate &amp; push (FE-08) which operate per-tab.
• The global Save Changes button triggers a final sync confirmation with badge FR-037 FE-09 on Save Changes button.</t>
  </si>
  <si>
    <t>• Must trigger a confirmation prompt if unsaved pattern edits exist when global Save Changes is clicked
• Must display toast 'Ownership map is up to date' if no unsaved changes exist
• Must display badge FR-037 FE-09 on the global Save Changes footer button</t>
  </si>
  <si>
    <t>No unsaved changes left pending</t>
  </si>
  <si>
    <t>Mapping table E2E</t>
  </si>
  <si>
    <t>Validates the mapping table flow: pattern added, saved, pushed to Git, and the ownership map cache updated.</t>
  </si>
  <si>
    <t>• Validates the mapping table flow end-to-end: pattern added, saved, pushed to Git, and the ownership map cache updated.
• E2E test loads Ownership Map, verifies patterns table renders from DB, adds new pattern src/lending/** → Lending, then Save &amp; push.
• Verifies BE-03 pushes YAML, ice-ownership.yml updated in repo, Sync now updates status bar.</t>
  </si>
  <si>
    <t>• Must render patterns table from BE-01 when Ownership Map settings loads
• Must allow new pattern src/lending/** → Lending to be added and saved
• Must trigger BE-03 to push YAML to repository after Save &amp; push
• Must refresh status bar when Sync now is clicked after push
• Must resolve the newly added pattern in Impact Resolver for subsequent commits</t>
  </si>
  <si>
    <t>Ownership map correct in DB and repo</t>
  </si>
  <si>
    <t>Unowned files E2E</t>
  </si>
  <si>
    <t>Validates the unowned files flow: unmapped files detected, bulk assigned to a functionality, and the ownership map updated.</t>
  </si>
  <si>
    <t>• Validates the unowned files flow end-to-end: unmapped files detected, bulk assigned to a functionality, and the ownership map updated.
• E2E test opens Unowned files tab, verifies 8 unowned files shown, bulk assigns src/lending/** → Lending, then Save &amp; re-scan.
• Verifies Impact Resolver re-runs and commit c2a7f99 now shows Lending journeys instead of ⚠ unowned.</t>
  </si>
  <si>
    <t>• Must display correct unowned file count in the Unowned files tab
• Must assign all files in a path group when bulk assign is triggered for src/lending/** → Lending
• Must trigger BE-03 push and Impact Resolver re-run after Save &amp; re-scan
• Must remove ⚠ warning from commit c2a7f99 in Execute Tests commit list after ownership assignment
• Must update journey count for commit c2a7f99 to greater than 0 after re-scan</t>
  </si>
  <si>
    <t>BE-01, BE-03, BE-04, FR-022 BE-03</t>
  </si>
  <si>
    <t>Unowned commit now shows impacted journeys</t>
  </si>
  <si>
    <t>Auto-sync E2E</t>
  </si>
  <si>
    <t>Validates the auto-sync flow: ice-ownership.yml updated in Git, sync triggered, ownership map cache refreshed.</t>
  </si>
  <si>
    <t>• Validates the auto-sync flow end-to-end: ice-ownership.yml updated in Git, sync triggered, ownership map cache refreshed.
• E2E test has developer push updated ice-ownership.yml to repo, waits up to 15 min for BE-02 scheduler to pull and parse.
• Verifies ownership_map DB updated, status bar shows new last_synced_at, and Impact Resolver uses updated map.</t>
  </si>
  <si>
    <t>• Must detect externally updated ice-ownership.yml in the repository
• Must sync the updated YAML within 15 minutes via BE-02 scheduler
• Must update DB records to match the new YAML content
• Must update status bar last_synced_at timestamp after sync completes
• Must reflect new ownership map in Impact Resolver results immediately after sync</t>
  </si>
  <si>
    <t>Auto-sync keeps ICE in sync with repo without user action</t>
  </si>
  <si>
    <t>Settings -  Library Configuration</t>
  </si>
  <si>
    <t>FR-038</t>
  </si>
  <si>
    <t>Settings › Library Configuration</t>
  </si>
  <si>
    <t>Loads the library configuration from the ICE database and returns the enabled/disabled state for each test type library toggle.</t>
  </si>
  <si>
    <t>• Loads the library configuration from the ICE database and returns the enabled/disabled state for each test type library toggle.
• GET/POST /api/v1/settings/library manages library_config per tenant with fields visual_testing_enabled, accessibility_testing_enabled, performance_testing_enabled, security_testing_enabled, self_healing_enabled.
• Functional testing is always enabled (not stored, always true) and config drives which test type options appear in Execute Tests Type of Test.</t>
  </si>
  <si>
    <t>• Must return full library_config for the tenant on GET /api/v1/settings/library
• Must save all provided fields on POST /api/v1/settings/library
• Must not store functional_testing field as it is always true
• Must reflect config changes immediately in Execute Tests Type of Test row
• Must scope all library_config operations per tenant
• Must persist visual_testing_enabled, accessibility_testing_enabled, performance_testing_enabled, security_testing_enabled, and api_testing_enabled to library_config and be retrievable on subsequent reads</t>
  </si>
  <si>
    <t>library_config</t>
  </si>
  <si>
    <t>visual_testing_enabled, accessibility_testing_enabled, performance_testing_enabled, security_testing_enabled, self_healing_enabled</t>
  </si>
  <si>
    <t>GET/POST /api/v1/settings/library → library_config{}</t>
  </si>
  <si>
    <t>Enabled test types surfaced in FR-022 FE-05 Type of Test checkboxes</t>
  </si>
  <si>
    <t>Renders the Library Configuration settings screen with a toggle row for each supported test type library.</t>
  </si>
  <si>
    <t>• Renders the Settings › Library Configuration section with a toggle row for each supported test type library.
• Loads library_config from BE-01 and shows 6 toggle rows: Functional Testing (always on, dimmed, non-interactive) + 5 optional toggles.
• FR-038 FE-01 badge displayed on section title.</t>
  </si>
  <si>
    <t>• Must render Settings › Library Configuration section with values loaded from BE-01 on navigation click
• Must display Functional Testing toggle always ON with opacity 0.4 and pointer-events none
• Must show hint text 'Always enabled' under Functional Testing toggle
• Must render 5 interactive toggles for visual_testing, accessibility_testing, performance_testing, security_testing, and api_testing
• Must allow all toggles except Functional Testing to be interactively enabled or disabled</t>
  </si>
  <si>
    <t>All library toggles visible</t>
  </si>
  <si>
    <t>Functional Testing toggle (non-interactive)</t>
  </si>
  <si>
    <t>Renders the Functional Testing toggle as permanently enabled and non-interactive, since functional testing is always active.</t>
  </si>
  <si>
    <t>• Renders the Functional Testing toggle as permanently enabled and non-interactive, since functional testing is always active in ICE 3.0.
• The toggle row displays with opacity 0.4, pointer-events set to none, and hint text 'Always enabled'.
• The toggle is not included in the save payload because the server always treats functional testing as true.</t>
  </si>
  <si>
    <t>• Must render the Functional Testing toggle as permanently enabled with visual state ON
• Must apply opacity 0.4 and pointer-events: none to the toggle row to prevent interaction
• Must display hint text 'Always enabled' next to the toggle
• Must exclude the Functional Testing toggle value from any POST payload on save</t>
  </si>
  <si>
    <t>Functional testing always available in Execute Tests</t>
  </si>
  <si>
    <t>Visual Testing toggle</t>
  </si>
  <si>
    <t>Renders the Visual Testing toggle that enables or disables the OpenCV visual diff library for the tenant.</t>
  </si>
  <si>
    <t>• Renders the Visual Testing toggle that enables or disables the OpenCV visual diff library for the tenant.
• The toggle value is stored in library_config.visual_testing_enabled.
• When the toggle is OFF, the Visual UI option is hidden from the Execute Tests Type of Test checkboxes.</t>
  </si>
  <si>
    <t>• Must render the Visual Testing toggle bound to library_config.visual_testing_enabled
• Must default the Visual Testing toggle to ON for new tenants
• Must show the Visual UI option in Execute Tests Type of Test when toggle is ON
• Must hide the Visual UI option from Execute Tests Type of Test when toggle is OFF</t>
  </si>
  <si>
    <t>BE-01; FR-045 BE-07 (Visual Diff Analysis Service)</t>
  </si>
  <si>
    <t>visual_testing_enabled in payload</t>
  </si>
  <si>
    <t>Accessibility Testing toggle</t>
  </si>
  <si>
    <t>Renders the Accessibility Testing toggle that enables or disables the Axe accessibility library for the tenant.</t>
  </si>
  <si>
    <t>• Renders the Accessibility Testing toggle that enables or disables the Axe accessibility library for the tenant.
• The toggle value is stored in library_config.accessibility_testing_enabled.
• When the toggle is OFF, the Accessibility option is hidden from the Execute Tests Type of Test checkboxes.</t>
  </si>
  <si>
    <t>• Must render the Accessibility Testing toggle bound to library_config.accessibility_testing_enabled
• Must default the Accessibility Testing toggle to ON for new tenants
• Must show the Accessibility option in Execute Tests Type of Test when toggle is ON
• Must hide the Accessibility option from Execute Tests Type of Test when toggle is OFF</t>
  </si>
  <si>
    <t>BE-01; FR-045 BE-06 (Axe Accessibility Analysis Service)</t>
  </si>
  <si>
    <t>accessibility_testing_enabled in payload</t>
  </si>
  <si>
    <t>Performance Testing toggle</t>
  </si>
  <si>
    <t>Renders the Performance Testing toggle that enables or disables the performance metrics library for the tenant.</t>
  </si>
  <si>
    <t>• Renders the Performance Testing toggle that enables or disables the performance metrics library for the tenant.
• The toggle value is stored in library_config.performance_testing_enabled.
• When the toggle is OFF, the Performance option is hidden from the Execute Tests Type of Test checkboxes.</t>
  </si>
  <si>
    <t>• Must render the Performance Testing toggle bound to library_config.performance_testing_enabled
• Must default the Performance Testing toggle to ON for new tenants
• Must show the Performance option in Execute Tests Type of Test when toggle is ON
• Must hide the Performance option from Execute Tests Type of Test when toggle is OFF</t>
  </si>
  <si>
    <t>BE-01; FR-045 BE-08 (Performance Metrics Parser Service)</t>
  </si>
  <si>
    <t>performance_testing_enabled in payload</t>
  </si>
  <si>
    <t>Security Testing toggle</t>
  </si>
  <si>
    <t>Renders the Security Testing toggle that enables or disables the security analysis library for the tenant.</t>
  </si>
  <si>
    <t>• Renders the Security Testing toggle that enables or disables the security analysis library for the tenant.
• The toggle value is stored in library_config.security_testing_enabled with default state OFF.
• When the toggle is ON, the Security option appears in the Execute Tests Type of Test checkboxes.
• Default is OFF because security testing requires additional setup beyond basic library enablement.</t>
  </si>
  <si>
    <t>• Must render the Security Testing toggle bound to library_config.security_testing_enabled
• Must default the Security Testing toggle to OFF for new tenants
• Must show the Security option in Execute Tests Type of Test when toggle is ON
• Must hide the Security option from Execute Tests Type of Test when toggle is OFF</t>
  </si>
  <si>
    <t>BE-01; FR-045 BE-09 (Security Analysis Service)</t>
  </si>
  <si>
    <t>security_testing_enabled in payload</t>
  </si>
  <si>
    <t>Self-Healing toggle</t>
  </si>
  <si>
    <t>Renders the Self-Healing toggle that enables or disables the healing proxy library for the tenant.</t>
  </si>
  <si>
    <t>• Renders the Self-Healing toggle that enables or disables the healing proxy library for the tenant.
• The toggle value is stored in library_config.self_healing_enabled and links to FR-034 Self-Healing Settings for threshold configuration.
• Controls whether the ICE Self-Healing proxy is active during test runs.</t>
  </si>
  <si>
    <t>• Must render the Self-Healing toggle bound to library_config.self_healing_enabled
• Must default the Self-Healing toggle to ON for new tenants
• Must activate the Self-Healing proxy during test runs when toggle is ON
• Must bypass the Self-Healing proxy during test runs when toggle is OFF
• Must display hint text linking to FR-034 Self-Healing Settings for threshold configuration</t>
  </si>
  <si>
    <t>BE-01; FR-045 BE-10 (Galen Sidecar JAR) + FR-045 BE-11 (SDK Injection)</t>
  </si>
  <si>
    <t>self_healing_enabled in payload</t>
  </si>
  <si>
    <t>Renders the Save Changes button that persists the library configuration to the ICE database.</t>
  </si>
  <si>
    <t>• Renders the Save Changes button that persists the library configuration to the ICE database.
• The button triggers BE-01 POST /api/v1/settings/library-config and is part of the global Save Changes footer.
• On success, displays toast message 'Library configuration saved' and disabled test types are immediately hidden from Execute Tests on next load.</t>
  </si>
  <si>
    <t>• Must render the Save Changes button that triggers BE-01 POST /api/v1/settings/library-config
• Must include all 5 boolean fields in the POST payload (visual_testing_enabled, accessibility_testing_enabled, performance_testing_enabled, security_testing_enabled, self_healing_enabled)
• Must display toast message 'Library configuration saved' on successful save
• Must reflect changes in Execute Tests Type of Test checkboxes on next screen load after save
• Must display badge FR-038 FE-08 on the Save Changes button</t>
  </si>
  <si>
    <t>library_config saved; Execute Tests Type of Test updated</t>
  </si>
  <si>
    <t>Library Config E2E</t>
  </si>
  <si>
    <t>Validates the library configuration flow: toggles set, saved, and the Execute Tests Type of Test checkboxes reflecting the enabled libraries.</t>
  </si>
  <si>
    <t>• Validates the complete library configuration flow from toggle setting through save to Execute Tests checkbox visibility.
• The E2E test loads Library Configuration, verifies all toggles, disables Visual Testing, saves, and confirms Visual UI is hidden in Execute Tests Type of Test.
• The test then re-enables Visual Testing, saves again, and verifies Visual UI returns to the Type of Test row.</t>
  </si>
  <si>
    <t>• Must render all 6 toggles (Functional, Visual, Accessibility, Performance, Security, Self-Healing) with correct default states on Library Configuration screen load
• Must render Functional Testing toggle as non-interactive with pointer-events: none
• Must hide Visual UI from Execute Tests Type of Test when Visual Testing toggle is disabled and saved
• Must restore Visual UI in Execute Tests Type of Test when Visual Testing toggle is re-enabled and saved
• Must send POST payload with correct boolean values for all 5 configurable library flags</t>
  </si>
  <si>
    <t>BE-01, FE-01 to FE-08, FR-022 FE-05</t>
  </si>
  <si>
    <t>Library config controls Execute Tests test type options</t>
  </si>
  <si>
    <t>Settings - Analytics Provider</t>
  </si>
  <si>
    <t>FR-039</t>
  </si>
  <si>
    <t>Settings › Analytics Provider</t>
  </si>
  <si>
    <t>Loads the analytics provider configuration from the ICE database and returns the current provider, URL, and connection status.</t>
  </si>
  <si>
    <t>• Loads and saves the analytics provider configuration from the ICE database per tenant.
• The configuration is managed via GET/PUT /api/v1/settings/analytics with fields provider (ENUM: grafana/influxdb/custom), url, api_key (encrypted at rest), and dashboard_uid.
• GET returns the configuration with masked api_key, while PUT saves and encrypts the api_key.</t>
  </si>
  <si>
    <t>• Must return analytics configuration via GET /api/v1/settings/analytics with api_key masked as ****
• Must save analytics configuration via PUT /api/v1/settings/analytics with fields provider, url, api_key (encrypted at rest), and dashboard_uid
• Must validate provider ENUM as one of grafana, influxdb, or custom and return 400 for unknown values
• Must validate url field as a valid URL format and reject invalid formats
• Must scope all analytics configuration reads and writes per tenant
• Must persist analytics configuration to analytics_config and be retrievable on subsequent reads</t>
  </si>
  <si>
    <t>analytics_config</t>
  </si>
  <si>
    <t>tenant_id, provider, url, api_key_encrypted, dashboard_uid</t>
  </si>
  <si>
    <t>GET/PUT /api/v1/settings/analytics → analytics_config{}</t>
  </si>
  <si>
    <t>Config used by Analytics dashboard to render Grafana/InfluxDB iframe</t>
  </si>
  <si>
    <t>Test connection button</t>
  </si>
  <si>
    <t>Exposes the test connection endpoint that validates the analytics provider connection using the stored credentials.</t>
  </si>
  <si>
    <t>• Exposes the test connection endpoint that validates the analytics provider connection using stored credentials.
• The endpoint is POST /api/v1/settings/analytics/test and instantiates the configured provider adapter to run a connectivity check.
• Returns structured result with connected (bool), latency_ms, dashboard_accessible (bool), and error_message if the connection fails.</t>
  </si>
  <si>
    <t>• Must trigger live connection test via POST /api/v1/settings/analytics/test using saved analytics configuration from analytics_config
• Must return JSON with fields connected, latency_ms, dashboard_accessible, and error_message
• Must validate Grafana connection by checking /api/health endpoint and api_key validity
• Must validate InfluxDB connection by checking /ping endpoint and bucket access
• Must return response within 10 seconds or return connected=false on timeout</t>
  </si>
  <si>
    <t>Spring Boot + provider SDK</t>
  </si>
  <si>
    <t>POST /api/v1/settings/analytics/test → {connected, latency_ms, dashboard_accessible, error_message}</t>
  </si>
  <si>
    <t>Connection status shown inline in FE-05</t>
  </si>
  <si>
    <t>Import dashboards button</t>
  </si>
  <si>
    <t>Exposes the import dashboards endpoint that provisions the standard ICE dashboard templates in the configured Grafana instance.</t>
  </si>
  <si>
    <t>• Provisions the standard ICE dashboard templates into the configured Grafana instance.
• The endpoint is POST /api/v1/settings/analytics/import-dashboards and imports Run Results, Journey Trends, and Coverage Gap dashboards.
• Returns import_results[] array with status per dashboard.</t>
  </si>
  <si>
    <t>• Must import 3 ICE standard dashboards (Run Results, Journey Trends, Coverage Gap) to the configured Grafana instance via POST /api/v1/settings/analytics/import-dashboards
• Must return import_results with per-dashboard status of imported, already_exists, or failed
• Must use saved api_key and url from analytics_config (BE-01) for authentication
• Must be idempotent such that re-importing updates existing dashboards without error
• Must only support provider=grafana and reject requests for other provider types</t>
  </si>
  <si>
    <t>Spring Boot + Grafana API</t>
  </si>
  <si>
    <t>POST /api/v1/settings/analytics/import-dashboards → {import_results[]}</t>
  </si>
  <si>
    <t>ICE dashboards available in Grafana; Analytics overlay links to them</t>
  </si>
  <si>
    <t>Renders the Analytics Provider settings screen with provider selection, URL, and API key fields.</t>
  </si>
  <si>
    <t>• Renders the Analytics Provider settings screen with provider selection, URL, and API key fields.
• The screen is located at Settings › Analytics Provider and loads analytics_config from BE-01.
• Displays provider dropdown, URL input, API key input, Test Connection button, Import Dashboards button, and FR-039 FE-01 badge on section title.</t>
  </si>
  <si>
    <t>• Must render the Analytics Provider settings screen at Settings › Analytics Provider
• Must load analytics_config from BE-01 GET /api/v1/settings/analytics on screen load
• Must display provider dropdown, URL input, API key input, and dashboard UID fields with loaded values
• Must display API key field value as masked (****) characters
• Must display badge FR-039 FE-01 on the section title</t>
  </si>
  <si>
    <t>All analytics config controls visible</t>
  </si>
  <si>
    <t>Renders the Provider dropdown (InfluxDB / Grafana / Datadog / Custom) that selects the analytics backend.</t>
  </si>
  <si>
    <t>• Renders the Provider dropdown that selects the analytics backend from InfluxDB, Grafana, Datadog, or Custom options.
• The dropdown value is stored in analytics_config.provider.
• Changing the provider shows or hides relevant fields: Grafana displays URL, API Key, and Import Dashboards button; InfluxDB shows URL, Token, Org, and Bucket; Custom shows only URL and API Key.</t>
  </si>
  <si>
    <t>• Must render a dropdown with four provider options: InfluxDB, Grafana, Datadog, Custom
• Must default to Grafana as the selected provider
• Must show or hide relevant field sets when the provider selection changes
• Must display the Import Dashboards button only when provider=Grafana
• Must include the provider value in the save payload</t>
  </si>
  <si>
    <t>provider in payload; controls visible field set</t>
  </si>
  <si>
    <t>URL input</t>
  </si>
  <si>
    <t>Renders the URL input for the analytics provider's API endpoint.</t>
  </si>
  <si>
    <t>• Renders the URL input field for the analytics provider's API endpoint.
• The field value is stored in analytics_config.url with hint text 'Base URL of your Grafana / InfluxDB instance'.
• The URL is validated as a valid URL format on save.</t>
  </si>
  <si>
    <t>• Must accept a full URL including protocol (http:// or https://)
• Must validate the URL as a valid URL format on Save
• Must display a placeholder example URL appropriate to the selected provider
• Must reject invalid URL formats with a clear inline error</t>
  </si>
  <si>
    <t>url in payload</t>
  </si>
  <si>
    <t>API key input</t>
  </si>
  <si>
    <t>Renders the API Key input (masked) for the analytics provider's authentication.</t>
  </si>
  <si>
    <t>• Renders the API Key input field as a masked password input for the analytics provider's authentication.
• The field value is stored in analytics_config.api_key and includes a reveal button to show the value once.
• The value is not pre-populated on load for security reasons and only displays a placeholder.
• On save, the api_key is encrypted at rest in the ICE database.</t>
  </si>
  <si>
    <t>• Must render the input as a masked password field (type=password)
• Must include a reveal button that temporarily shows the masked value
• Must not pre-populate the field on load; must show a placeholder instead
• Must send the api_key value to BE-01 for encryption and storage on save</t>
  </si>
  <si>
    <t>api_key encrypted in payload</t>
  </si>
  <si>
    <t>Renders the Test Connection button that calls BE-02 and displays the connection result inline.</t>
  </si>
  <si>
    <t>• Renders the Test Connection button that calls BE-02 and displays the connection result inline.
• Shows spinner while testing; on success displays green inline result '✓ Connected · Xms · Dashboard accessible'.
• On failure displays red inline result with error message.</t>
  </si>
  <si>
    <t>• Must call BE-02 POST /test on button click
• Must display a spinner while the test is in progress
• Must show a green inline result '✓ Connected · Xms · Dashboard accessible' on success
• Must show a red inline result with the error_message on failure
• Must disable the button while the test is in progress</t>
  </si>
  <si>
    <t>Connection status confirmed before save</t>
  </si>
  <si>
    <t>Renders the Import Dashboards button that calls BE-03 and shows the import result inline.</t>
  </si>
  <si>
    <t>• Renders the Import Dashboards button (📊 Import ICE dashboards to Grafana) that calls BE-03 and shows the import result inline.
• Only shown when provider=Grafana.
• Displays per-dashboard import result inline: Run Results ✓ · Journey Trends ✓ · Coverage Gap ✓.</t>
  </si>
  <si>
    <t>• Must display the Import Dashboards button only when provider=Grafana
• Must call BE-03 POST /import-dashboards on button click
• Must display per-dashboard import results inline (e.g., Run Results ✓, Journey Trends ✓)
• Must show 'Updated' for dashboards that were already imported
• Must show the failed dashboard name with error message on import failure</t>
  </si>
  <si>
    <t>ICE dashboards available in Grafana</t>
  </si>
  <si>
    <t>Renders the Save Changes button that persists the analytics provider configuration to the ICE database.</t>
  </si>
  <si>
    <t>• Renders the Save Changes button that persists the analytics provider configuration to the ICE database via BE-01 PUT.
• Part of global Save Changes footer; validates URL format and non-empty api_key before save.
• On success shows toast 'Analytics provider saved'.</t>
  </si>
  <si>
    <t>• Must send PUT request with provider, url, api_key, and dashboard_uid to BE-01
• Must validate that URL is a valid format and api_key is non-empty before save
• Must show inline error for invalid URL format
• Must display a success toast 'Analytics provider configured' on successful save</t>
  </si>
  <si>
    <t>Analytics config saved; dashboard overlay uses new config</t>
  </si>
  <si>
    <t>Analytics Provider Settings E2E</t>
  </si>
  <si>
    <t>Validates the analytics provider settings flow: provider configured, connection tested, dashboards imported, and settings saved.</t>
  </si>
  <si>
    <t>• Validates the analytics provider settings flow: provider configured, connection tested, dashboards imported, and settings saved.
• E2E flow: Load Analytics Provider → select Grafana → enter URL and API key → click Test Connection → verify green result → click Save → verify PUT payload → click Import Dashboards → verify 3 dashboards imported.
• Final step navigates to Analytics overlay and verifies Grafana iframe loads.</t>
  </si>
  <si>
    <t>• Must render all fields correctly on load
• Must return a green result when Test Connection is clicked
• Must send the correct PUT payload when Save Changes is clicked
• Must return 3 imported dashboards when Import Dashboards is clicked
• Must load the Analytics overlay Grafana iframe with the configured URL</t>
  </si>
  <si>
    <t>Analytics dashboard operational with configured provider</t>
  </si>
  <si>
    <t>Settings - User Management</t>
  </si>
  <si>
    <t>FR-040</t>
  </si>
  <si>
    <t>Settings › User Management</t>
  </si>
  <si>
    <t>Screen load / user table</t>
  </si>
  <si>
    <t>Loads the user management screen by returning the full list of tenant users with their roles, statuses, and last login timestamps.</t>
  </si>
  <si>
    <t>• Loads the user management screen by returning the full list of tenant users with their roles, statuses, and last login timestamps.
• GET /api/v1/settings/users returns all users for tenant with fields: id, full_name, email, role, module_scope, status (active/pending), invited_at, last_active_at.
• POST /api/v1/settings/users/invite accepts {full_name, email, role, module_scope}, creates ice_user record, dispatches invite email, and returns user with status=pending.</t>
  </si>
  <si>
    <t>• Must return all tenant users sorted by invited_at desc on GET /api/v1/settings/users
• Must validate email uniqueness within the tenant on POST
• Must validate that role is a valid ENUM value on POST
• Must require module_scope when role=QA Engineer
• Must dispatch an invite email after the user record is created
• Must return 409 if the email already exists within the tenant
• Must persist the new user to ice_users and be retrievable on subsequent reads</t>
  </si>
  <si>
    <t>ice_users</t>
  </si>
  <si>
    <t>id, tenant_id, full_name, email, role, module_scope, status, invited_at, last_active_at</t>
  </si>
  <si>
    <t>GET /api/v1/settings/users → users[] | POST /api/v1/settings/users/invite → user{}</t>
  </si>
  <si>
    <t>User list rendered in FE-02; invite flow starts</t>
  </si>
  <si>
    <t>Edit user</t>
  </si>
  <si>
    <t>Exposes the API to edit a user's role or status, persisting the change to the ICE database and emailing the user if their status changes.</t>
  </si>
  <si>
    <t>• Exposes the API to edit a user's role or status, persisting the change to the ICE database and emailing the user if their status changes.
• PUT /api/v1/settings/users/{id} updates full_name, role, module_scope for an existing user.
• POST /api/v1/settings/users/{id}/resend-invite regenerates invite token and re-dispatches email for pending users.</t>
  </si>
  <si>
    <t>• Must update full_name, role, and module_scope on PUT /api/v1/settings/users/{id}
• Must apply the role change on the user's next login
• Must allow resend invite only for users with status=pending
• Must generate a new token and invalidate the old token on resend
• Must return 400 with a clear message if resend is attempted for an active user
• Must persist the updated user fields to ice_users and be retrievable on subsequent reads</t>
  </si>
  <si>
    <t>id, full_name, role, module_scope, invite_token, invite_sent_at</t>
  </si>
  <si>
    <t>PUT /api/v1/settings/users/{id} | POST /api/v1/settings/users/{id}/resend-invite</t>
  </si>
  <si>
    <t>User record updated; invite re-sent for pending users</t>
  </si>
  <si>
    <t>Role enforcement</t>
  </si>
  <si>
    <t>Enforces role-based access control for all ICE API endpoints, validating the user's role against the required permission for each operation.</t>
  </si>
  <si>
    <t>• Enforces role-based access control for all ICE API endpoints, validating the user's role against the required permission for each operation.
• Middleware enforcing role-based access on all ICE API endpoints with roles: Tenant Admin (full access), QA Lead (runs + journeys + results), QA Engineer (module-scoped runs + script generation), Read Only (dashboard + results view).
• module_scope limits QA Engineer to one functionality.</t>
  </si>
  <si>
    <t>• Must allow Tenant Admin role to access all endpoints
• Must block QA Lead role from all Settings write endpoints
• Must block QA Engineer role from cross-module journey access
• Must block Read Only role from all write endpoints and Execute Tests
• Must return 403 Forbidden for requests with invalid or insufficient role permissions</t>
  </si>
  <si>
    <t>Spring Boot middleware</t>
  </si>
  <si>
    <t>role, module_scope, tenant_id</t>
  </si>
  <si>
    <t>Middleware on all /api/v1/** endpoints → 403 if role insufficient</t>
  </si>
  <si>
    <t>Role enforcement active across all ICE screens</t>
  </si>
  <si>
    <t>Renders the User Management settings screen with the user table and Invite User button.</t>
  </si>
  <si>
    <t>• Renders the User Management settings screen with the user table and Invite User button.
• Loads user list from BE-01 and displays Settings › User Management section.
• Shows users table (Full Name, Email, Role badge, Module, Status badge, Edit/Resend action) and Roles reference cards below with FR-040 FE-01 badge on section title.</t>
  </si>
  <si>
    <t>• Must render the User Management settings screen on nav click with users loaded from BE-01
• Must display active users with a green status badge and pending users with an amber status badge
• Must show role reference cards below the users table
• Must display the FR-040 FE-01 badge on the section title</t>
  </si>
  <si>
    <t>User list visible; invite and edit actions available</t>
  </si>
  <si>
    <t>+ Invite User button</t>
  </si>
  <si>
    <t>Renders the Invite User button and modal form for entering the invitee's email address and assigning their initial role.</t>
  </si>
  <si>
    <t>• Renders the Invite User button and modal form for entering the invitee's email address and assigning their initial role.
• Opens inline modal with fields: Full Name (text), Email (text), Role (dropdown: Tenant Admin / QA Lead / QA Engineer / Read Only), Module scope (dropdown, shown only when role=QA Engineer).
• Submit calls BE-01 POST invite and new user appears in table with status=Pending.</t>
  </si>
  <si>
    <t>• Must open an inline modal with Full Name, Email, Role dropdown, and Module scope fields on button click
• Must show the Module scope field only when role=QA Engineer is selected
• Must call BE-01 POST /invite on form submit
• Must add a new row to the users table with a Pending badge on success
• Must display an inline error if the email is a duplicate within the tenant</t>
  </si>
  <si>
    <t>New user in table with Pending status; invite email sent</t>
  </si>
  <si>
    <t>Edit button</t>
  </si>
  <si>
    <t>Renders the Edit button per user row that opens the role and status edit form for the selected user.</t>
  </si>
  <si>
    <t>• Renders the Edit button per user row that opens the role and status edit form for the selected user.
• Opens the row inline for editing: Full Name, Role dropdown, Module scope (if QA Engineer).
• Save calls BE-02 PUT; Cancel discards changes.</t>
  </si>
  <si>
    <t>• Must render the Edit button on each user row that makes the row inline-editable when clicked
• Must display editable fields for Full Name, Role dropdown, and Module scope (if role is QA Engineer) when Edit is clicked
• Must call BE-02 PUT with updated values when Save is clicked
• Must update the row display with new values on successful save response
• Must revert the row to original values when Cancel is clicked without calling the backend</t>
  </si>
  <si>
    <t>User record updated; role change effective next login</t>
  </si>
  <si>
    <t>Resend invite button</t>
  </si>
  <si>
    <t>Renders the Resend Invite button for pending users, re-sending the invitation email on click.</t>
  </si>
  <si>
    <t>• Renders the Resend Invite button for pending users, re-sending the invitation email on click.
• Resend button shown only for users with status=Pending and calls BE-02 POST /resend-invite.
• Shows spinner then success toast 'Invite resent to {email}'.</t>
  </si>
  <si>
    <t>• Must render the Resend Invite button only for users with status=Pending
• Must call BE-02 POST /resend-invite with the user's email when the button is clicked
• Must display a spinner while the request is in progress and disable the button during this time
• Must show a success toast 'Invite resent to {email}' on successful response
• Must show the Edit button instead of Resend Invite for users with status=Active</t>
  </si>
  <si>
    <t>New invite token sent; pending user can now accept</t>
  </si>
  <si>
    <t>Roles reference cards</t>
  </si>
  <si>
    <t>Renders the Roles reference cards at the bottom of the screen, showing the permissions granted to each of the four ICE roles.</t>
  </si>
  <si>
    <t>• Renders the Roles reference cards at the bottom of the screen, showing the permissions granted to each of the four ICE roles.
• Read-only cards below the user table showing the 4 role definitions: Tenant Admin, QA Lead, QA Engineer, Read Only — each with a one-line permission summary.
• Current user's role highlighted.</t>
  </si>
  <si>
    <t>• Must render 4 read-only role reference cards below the user table: Tenant Admin, QA Lead, QA Engineer, Read Only
• Must visually highlight the card matching the current user's role
• Must display accurate permission summaries per card that align with BE-03 enforcement rules
• Must render cards as non-interactive (read-only) elements</t>
  </si>
  <si>
    <t>Role permissions visible to Tenant Admin</t>
  </si>
  <si>
    <t>User Management E2E</t>
  </si>
  <si>
    <t>Validates the user management flow: user invited, role assigned, invite accepted, role enforced on API access.</t>
  </si>
  <si>
    <t>• Validates the user management flow: user invited, role assigned, invite accepted, role enforced on API access.
• E2E flow: Load User Management → verify 2 users render → click + Invite User → invite QA Engineer for Transfers module → verify row appears with Pending badge → click Resend → verify toast.
• Final steps: click Edit on Priya → change role to QA Lead → save → verify row updates.</t>
  </si>
  <si>
    <t>• Must load the User Management page and render the user table with at least 2 existing users with correct data
• Must open the Invite User form on + Invite User click, accept QA Engineer role with Transfers module scope, and submit successfully
• Must display the newly invited user in the table with a Pending badge immediately after invite submission
• Must show a success toast when Resend Invite is clicked for a pending user
• Must save and display updated role values when a user row is edited and saved via the Edit flow</t>
  </si>
  <si>
    <t>User management fully operational</t>
  </si>
  <si>
    <t>Settings - Notifications</t>
  </si>
  <si>
    <t>FR-041</t>
  </si>
  <si>
    <t>Settings › Notifications</t>
  </si>
  <si>
    <t>Loads the notification configuration from the ICE database and returns the current event toggle states and channel settings.</t>
  </si>
  <si>
    <t>• Loads the notification configuration from the ICE database and returns the current event toggle states and channel settings.
• GET/PUT /api/v1/settings/notifications manages notification_config per tenant with fields per event: run_completed, run_failed, critical_journey_failure.
• Each event has: enabled (bool), channels[] (email/slack), recipients (string); Slack webhook URL stored separately (encrypted).</t>
  </si>
  <si>
    <t>• Must return full notification_config on GET /api/v1/settings/notifications scoped to the requesting tenant
• Must accept PUT with per-event fields: enabled (bool), channels (array), and recipients (string)
• Must validate recipients field as a comma-separated list of valid email addresses
• Must store slack_webhook_url in encrypted form in the database
• Must reject PUT requests with invalid email formats or missing required fields with a 400 error
• Must persist notification_config to notification_config table and be retrievable on subsequent reads</t>
  </si>
  <si>
    <t>notification_config</t>
  </si>
  <si>
    <t>tenant_id, event_type, enabled, channels[], recipients, slack_webhook_url_encrypted</t>
  </si>
  <si>
    <t>GET/PUT /api/v1/settings/notifications → notification_config{}</t>
  </si>
  <si>
    <t>Config used by BE-02 dispatch service</t>
  </si>
  <si>
    <t>Notification dispatch (background)</t>
  </si>
  <si>
    <t>Dispatches notifications to the configured channels (Slack, email, webhook) when a subscribed event occurs such as run complete, run failed, or healing PR raised.</t>
  </si>
  <si>
    <t>• Dispatches notifications to the configured channels (Slack, email, webhook) when a subscribed event occurs such as run complete, run failed, or critical journey failure.
• After run_execution reaches terminal status (passed/failed), dispatch notifications per config via Email (SMTP) and Slack (webhook POST).
• Critical journey failure triggered when any journey with priority=critical fails; uses template engine for message formatting.</t>
  </si>
  <si>
    <t>• Must dispatch notifications when run_execution reaches a terminal status (passed/failed) if the corresponding event is enabled in notification_config
• Must send email notifications via SMTP using the ICE template with run details when Email or Both channels are selected
• Must POST to the configured Slack webhook URL with a structured message when Slack or Both channels are selected
• Must dispatch a notification for critical journey failure events when at least one critical journey fails in a run and the event is enabled
• Must log delivery failures without retrying or blocking run completion</t>
  </si>
  <si>
    <t>BE-01, FR-022 BE-06; alert rules from FR-052 BE-06</t>
  </si>
  <si>
    <t>Spring Boot + JavaMail + Slack API</t>
  </si>
  <si>
    <t>notification_config, run_executions</t>
  </si>
  <si>
    <t>event_type, channels[], recipients, slack_webhook_url</t>
  </si>
  <si>
    <t>Internal trigger from run_execution terminal state → dispatch</t>
  </si>
  <si>
    <t>Notifications sent on run completion/failure</t>
  </si>
  <si>
    <t>Test webhook button</t>
  </si>
  <si>
    <t>Exposes the test webhook endpoint that sends a test message to the configured Slack webhook to verify delivery.</t>
  </si>
  <si>
    <t>• Exposes POST /api/v1/settings/notifications/test-webhook to send a test message to the configured Slack webhook URL and verify delivery.
• Returns a JSON response containing delivered (bool), status_code, and error_message if the test failed.
• Allows administrators to validate Slack webhook configuration before saving notification settings.</t>
  </si>
  <si>
    <t>• Must accept POST /api/v1/settings/notifications/test-webhook and send a test message to the saved Slack webhook URL
• Must use the message text 'ICE notification test — webhook configured successfully' in the test payload
• Must return a JSON response containing delivered (bool), status_code (int), and error_message (string or null)
• Must return HTTP 400 with error_message when no webhook URL is saved in notification_config
• Must complete the test request and return a response within 5 seconds</t>
  </si>
  <si>
    <t>Spring Boot + Slack API</t>
  </si>
  <si>
    <t>POST /api/v1/settings/notifications/test-webhook → {delivered, status_code, error_message}</t>
  </si>
  <si>
    <t>Slack connectivity confirmed before save</t>
  </si>
  <si>
    <t>Renders the Notifications settings screen with the event table and Slack webhook configuration.</t>
  </si>
  <si>
    <t>• Renders the Settings › Notifications section with an event table, Slack webhook URL input, and Test webhook button.
• Loads notification_config from BE-01 and displays per-event toggles and channel selectors in the events table.
• Displays FR-041 FE-01 badge on the section title to indicate the feature requirement reference.</t>
  </si>
  <si>
    <t>• Must render the Settings › Notifications section when the user navigates to it from the settings menu
• Must load notification_config from BE-01 GET on page load and populate the event table with current toggle and channel states
• Must display the Slack webhook URL input field and Test webhook button below the event table
• Must display the FR-041 FE-01 badge on the Notifications section title</t>
  </si>
  <si>
    <t>All notification controls visible</t>
  </si>
  <si>
    <t>Events table — per-event toggle + channel</t>
  </si>
  <si>
    <t>Renders the event table with a per-event toggle and channel selector, allowing the user to subscribe individual events to specific notification channels.</t>
  </si>
  <si>
    <t>• Renders a table with 3 event rows: Run completed, Run failed, and Critical journey failure.
• Each row contains an event name, editable recipients input, channel dropdown (Email / Slack / Both), and an active toggle.
• All events are set to active by default when the notification configuration is first loaded.</t>
  </si>
  <si>
    <t>• Must render a table with exactly 3 event rows: Run completed, Run failed, and Critical journey failure
• Must display an editable recipients input field, a channel dropdown (Email / Slack / Both), and an active toggle per event row
• Must allow inline editing of recipients per row without requiring a separate edit mode
• Must default all events to active=true on first render if no saved config exists
• Must store changes locally until the user clicks Save Changes (FE-06)</t>
  </si>
  <si>
    <t>Per-event config in payload</t>
  </si>
  <si>
    <t>Slack webhook URL input</t>
  </si>
  <si>
    <t>Renders the Slack Webhook URL input for the incoming webhook URL used to send Slack notifications.</t>
  </si>
  <si>
    <t>• Renders a text input field for entering the Slack incoming webhook URL with a hint 'Paste your Slack incoming webhook URL'.
• Stores the value in notification_config.slack_webhook_url and validates the URL format on save.
• Validation requires the URL to start with https://hooks.slack.com before allowing the configuration to be saved.</t>
  </si>
  <si>
    <t>• Must render a text input field with placeholder 'https://hooks.slack.com/services/...' and hint 'Paste your Slack incoming webhook URL'
• Must validate on save that the URL starts with 'https://hooks.slack.com' and reject other formats with a clear error
• Must send the webhook URL to BE-01 PUT where it is stored encrypted in notification_config.slack_webhook_url
• Must display the saved webhook URL (unencrypted) when the page loads from BE-01 GET</t>
  </si>
  <si>
    <t>slack_webhook_url encrypted in payload</t>
  </si>
  <si>
    <t>Renders the Test Webhook button that calls BE-03 and displays a success or failure result inline.</t>
  </si>
  <si>
    <t>• Renders a 🔔 Test webhook button that calls BE-03 to send a test message to the configured Slack webhook.
• Displays a spinner during the test, then shows an inline result: ✓ Delivered on success or ✗ Failed with error message on failure.
• The button is disabled when no webhook URL has been entered in the Slack webhook URL input field.</t>
  </si>
  <si>
    <t>• Must render the 🔔 Test webhook button disabled when the Slack webhook URL input is empty
• Must call BE-03 POST /test-webhook when the button is clicked with a non-empty webhook URL
• Must display a spinner on the button while the test request is in progress
• Must display an inline green ✓ Delivered message on successful test response with delivered=true
• Must display an inline red ✗ Failed message with the error_message text on failed test response or delivered=false</t>
  </si>
  <si>
    <t>Slack connectivity confirmed</t>
  </si>
  <si>
    <t>Renders the Save Changes button that persists the notification configuration to the ICE database.</t>
  </si>
  <si>
    <t>• Renders the Save Changes button that persists the notification configuration to the ICE database via BE-01 PUT.
• Validates recipients as email addresses and webhook URL format before allowing the save operation to proceed.
• Displays a success toast message 'Notification settings saved' after the configuration is successfully persisted.</t>
  </si>
  <si>
    <t>• Must call BE-01 PUT /api/v1/settings/notifications with the full notification_config when Save Changes is clicked
• Must validate all recipients fields as comma-separated valid email addresses before allowing the PUT request
• Must validate the Slack webhook URL format (starts with https://hooks.slack.com) before allowing the PUT request
• Must display a success toast message on successful save response
• Must display the FR-041 FE-05 badge on the Save Changes button</t>
  </si>
  <si>
    <t>Notification config saved; BE-02 uses updated config</t>
  </si>
  <si>
    <t>Notifications E2E</t>
  </si>
  <si>
    <t>Validates the notifications flow: events configured, webhook URL saved, test message delivered, and a real event triggers the notification correctly.</t>
  </si>
  <si>
    <t>• Validates the end-to-end notifications flow from configuration through test delivery to real event triggering.
• Tests the workflow: load Notifications, verify 3 events render, enable Slack for Run failed, enter webhook URL, test webhook delivery, save configuration, and verify PUT payload.
• Triggers a real failed run and verifies that the Slack message is correctly received at the configured webhook.</t>
  </si>
  <si>
    <t>• Must render 3 notification events with correct default states on page load
• Must return ✓ Delivered status when test webhook button is clicked and delivery succeeds
• Must send correct PUT payload to /api/v1/notifications/config when Save is clicked
• Must trigger Slack notification when a test run fails and Slack is enabled for Run failed event
• Must send email notification on run completion when email is enabled for that event
• Must display clear error message if webhook test fails or webhook URL is invalid</t>
  </si>
  <si>
    <t>All BE + FE tasks, FR-022 BE-06</t>
  </si>
  <si>
    <t>Playwright AI + Slack test webhook</t>
  </si>
  <si>
    <t>Notifications delivered on run events</t>
  </si>
  <si>
    <t>Settings - Onboarding</t>
  </si>
  <si>
    <t>FR-042</t>
  </si>
  <si>
    <t>Settings › Onboarding</t>
  </si>
  <si>
    <t>New Client Setup Wizard — Step 1</t>
  </si>
  <si>
    <t>Processes Step 1 of the New Client Setup Wizard, creating the tenant record, provisioning the default module structure, and seeding the functionality labels.</t>
  </si>
  <si>
    <t>• Processes Step 1 of the New Client Setup Wizard via POST /api/v1/admin/tenants to provision a new tenant.
• Accepts org_name, plan (starter/pro/enterprise), admin_email, and admin_name, then creates a tenant record with auto-generated tenant_slug, default library_config, and default notification_config.
• Dispatches an invite email to the admin_email address after the tenant record is successfully created.</t>
  </si>
  <si>
    <t>• Must validate org_name is unique across the platform and reject duplicate names with 409 Conflict
• Must auto-generate tenant_slug from org_name (lowercase, hyphens, alphanumeric only)
• Must create default library_config with all modules enabled except Security
• Must create default notification_config for the new tenant
• Must dispatch invite email to admin_email after tenant provisioning completes
• Must return tenant_id, tenant_slug, and status in the response payload
• Must persist tenant record to tenants, library_config to library_config, and notification_config to notification_config and be retrievable on subsequent reads</t>
  </si>
  <si>
    <t>tenants, library_config, notification_config</t>
  </si>
  <si>
    <t>tenant_id, org_name, tenant_slug, plan, admin_email, status</t>
  </si>
  <si>
    <t>POST /api/v1/admin/tenants → {tenant_id, tenant_slug, status}</t>
  </si>
  <si>
    <t>New tenant provisioned; admin can complete setup</t>
  </si>
  <si>
    <t>New Client Setup Wizard — Step 2</t>
  </si>
  <si>
    <t>Processes Step 2 of the wizard, configuring the module layout and assigning the initial set of functionalities to the new tenant.</t>
  </si>
  <si>
    <t>• Processes Step 2 of the wizard via POST /api/v1/admin/tenants/{id}/functionalities to seed the functionality list for the new tenant.
• Accepts an array of functionality objects containing name, description, and journey_prefix fields.
• Creates functionality records scoped to the tenant with default suggestions: Transfers, Auth, Payments, Checkout, and Refunds.</t>
  </si>
  <si>
    <t>• Must accept an array of functionality objects containing name, description, and journey_prefix fields
• Must validate journey_prefix is unique within the tenant and reject duplicates with 400 Bad Request
• Must create functionality records for all valid entries in the array
• Must return 5 default functionality suggestions on GET request before custom functionalities are added
• Must support custom functionalities provided by the admin in addition to defaults
• Must persist all functionality records to functionalities and be retrievable on subsequent reads</t>
  </si>
  <si>
    <t>functionalities</t>
  </si>
  <si>
    <t>tenant_id, name, description, journey_prefix</t>
  </si>
  <si>
    <t>POST /api/v1/admin/tenants/{id}/functionalities → functionalities[]</t>
  </si>
  <si>
    <t>Functionalities available for journey creation</t>
  </si>
  <si>
    <t>New Client Setup Wizard — Step 3 (background)</t>
  </si>
  <si>
    <t>Sends the invitation email to the new client's admin user in the background after the wizard completes, with a time-limited activation link.</t>
  </si>
  <si>
    <t>• Marks onboarding as complete via POST /api/v1/admin/tenants/{id}/complete after the wizard completes all steps.
• Exposes GET /api/v1/admin/tenants/{id}/status to return current onboarding progress including step (1-4), completed_steps array, and next_action.
• Sends the invitation email to the new client's admin user in the background with a time-limited activation link.</t>
  </si>
  <si>
    <t>• Must set onboarding_complete=true when POST /api/v1/admin/tenants/{id}/complete is called
• Must return current step number (1-4), completed_steps array, and next_step on GET /api/v1/admin/tenants/{id}/status
• Must track each step completion independently in completed_steps array
• Must block tenant from accessing Execute Tests until onboarding_complete=true
• Must allow admin to resume incomplete onboarding from the last completed step
• Must return 404 if tenant ID does not exist
• Must persist onboarding_complete and completed_steps to tenants and be retrievable on subsequent reads</t>
  </si>
  <si>
    <t>tenants</t>
  </si>
  <si>
    <t>tenant_id, onboarding_step, completed_steps[], onboarding_complete</t>
  </si>
  <si>
    <t>GET /api/v1/admin/tenants/{id}/status | POST /api/v1/admin/tenants/{id}/complete</t>
  </si>
  <si>
    <t>Onboarding status tracked; tenant unlocked after completion</t>
  </si>
  <si>
    <t>Active Clients list</t>
  </si>
  <si>
    <t>Exposes the API to list all active client tenants for the Codiem admin, returning tenant name, plan, user count, and onboarding status.</t>
  </si>
  <si>
    <t>• Exposes GET /api/v1/admin/tenants to list all active client tenants for Codiem admin users.
• Returns a paginated list of tenants with tenant_id, org_name, tenant_slug, plan, user_count, functionality_count, status (active/pending/suspended), and created_at.
• Allows administrators to view and monitor all onboarded tenants from a central API endpoint.</t>
  </si>
  <si>
    <t>• Must return all tenants for Super Admin role with tenant_id, org_name, tenant_slug, plan, user_count, functionality_count, status, and created_at
• Must sort tenants by created_at descending order
• Must paginate results with page_size=20 and support page parameter
• Must return 403 Forbidden if requesting user does not have Super Admin role
• Must filter to only active, pending, or suspended tenants based on status query parameter if provided</t>
  </si>
  <si>
    <t>BE-01; extended by FR-053 BE-06</t>
  </si>
  <si>
    <t>tenant_id, org_name, tenant_slug, plan, user_count, functionality_count, status</t>
  </si>
  <si>
    <t>GET /api/v1/admin/tenants → {tenants[], total}</t>
  </si>
  <si>
    <t>Active clients list rendered in FE-02</t>
  </si>
  <si>
    <t>Settings › Onboarding screen</t>
  </si>
  <si>
    <t>Renders the Onboarding settings screen with the Active Clients list and the New Client Setup Wizard button.</t>
  </si>
  <si>
    <t>• Renders the Settings › Onboarding section with an Active Clients list and a + New Client Setup Wizard button.
• Loads the active clients list from BE-04 to display all provisioned tenants.
• Replaces the stale FR-025 badge with FR-042 FE-01 to indicate the updated feature requirement reference.</t>
  </si>
  <si>
    <t>• Must render Active Clients list populated from BE-04 GET /api/v1/admin/tenants
• Must display plan badge (Enterprise/Pro/Starter) and status badge (Active/Pending) for each client
• Must render + New Client Setup Wizard button that opens the wizard overlay on click
• Must display FR-042 FE-01 badge on the Onboarding section title
• Must show loading state while fetching active clients list</t>
  </si>
  <si>
    <t>Active clients visible; wizard accessible</t>
  </si>
  <si>
    <t>Renders the Active Clients list table showing all onboarded tenants with their plan, status, and user count.</t>
  </si>
  <si>
    <t>• Renders a list of provisioned tenants, each displayed as a card with avatar initials (gradient), org name, tenant slug, functionality count, user count, plan badge (Enterprise/Pro/Starter), and status badge (Active/Pending).
• Each tenant card is clickable and opens the tenant's settings context for detailed management.
• Displays aggregated metadata for quick overview of each tenant's configuration and status.</t>
  </si>
  <si>
    <t>• Must render tenant cards populated from BE-04 with avatar initials, org name, tenant slug, functionality count, user count, plan badge, and status badge
• Must auto-generate avatar initials from first two characters of org_name with gradient background
• Must display plan badge in correct colour: Enterprise=purple, Pro=blue, Starter=grey
• Must display status badge: Active=green, Pending=amber
• Must make each tenant card clickable to navigate to tenant detail view</t>
  </si>
  <si>
    <t>All active tenants visible to Super Admin</t>
  </si>
  <si>
    <t>+ New Client Setup Wizard button</t>
  </si>
  <si>
    <t>Renders the New Client Setup Wizard button that opens the multi-step wizard overlay for onboarding a new client.</t>
  </si>
  <si>
    <t>• Renders a + New Client Setup Wizard button that opens a full-screen onboarding wizard overlay.
• The wizard contains 4 steps: Step 1 Client Setup (org name, plan, admin email), Step 2 Functionalities (seed with defaults or customise), Step 3 Invite Users, and Step 4 Done summary.
• Guides administrators through the complete new client onboarding process in a structured multi-step flow.</t>
  </si>
  <si>
    <t>• Must open full-screen wizard overlay when + New Client Setup Wizard button is clicked
• Must display Step 1 with org name input, plan dropdown (Starter/Pro/Enterprise), and admin email input
• Must display Step 2 with functionality chips (5 defaults pre-selected) and + Add Custom option
• Must display Step 3 with user invite table showing Full Name, Email, Role dropdown, and Module assignment
• Must display Step 4 with completion summary showing tenant_slug and quick links to tenant dashboard
• Must allow ESC key or Close button to exit wizard with unsaved changes warning if data entered</t>
  </si>
  <si>
    <t>BE-01, BE-02, BE-03</t>
  </si>
  <si>
    <t>New tenant provisioned through wizard</t>
  </si>
  <si>
    <t>Wizard stepper</t>
  </si>
  <si>
    <t>Renders the wizard stepper showing progress through the four setup steps (Client Details / Module Setup / Users and Roles / Done).</t>
  </si>
  <si>
    <t>• Renders a 4-step horizontal stepper at the top of the wizard overlay: 1 Client Setup → 2 Functionalities → 3 Invite Users → 4 Done.
• The active step is highlighted, completed steps display a ✓ checkmark, and users can navigate via Next/Back buttons or direct step click.
• Provides visual progress indication and flexible navigation throughout the New Client Setup Wizard.</t>
  </si>
  <si>
    <t>• Must render 4-step horizontal stepper with labels: 1 Client Setup, 2 Functionalities, 3 Invite Users, 4 Done
• Must highlight the active step and display ✓ checkmark on completed steps
• Must allow direct navigation by clicking on any completed step
• Must enable Back button only after Step 1 is completed
• Must disable Next button until all required fields in current step are valid</t>
  </si>
  <si>
    <t>Wizard progress tracked; user can navigate steps</t>
  </si>
  <si>
    <t>Create Client &amp; Send Invite button</t>
  </si>
  <si>
    <t>Renders the Create Client and Send Invite button in Step 1 that submits the new client form and triggers BE-01.</t>
  </si>
  <si>
    <t>• Renders the Create Client and Send Invite button at the bottom of Wizard Step 1 that submits the new client form containing org_name, plan, and admin_email.
• Calls BE-01 POST /admin/tenants to create the tenant and on success advances to Step 2.
• Shows a spinner while provisioning is in progress and displays an inline error on failure such as org_name already taken.</t>
  </si>
  <si>
    <t>• Must submit Step 1 form to BE-01 POST /api/v1/admin/tenants when Create Client and Send Invite button is clicked
• Must validate org_name is not empty, plan is selected, and admin_email is valid email format before submit
• Must display spinner on button during provisioning API call
• Must advance to Step 2 with tenant_slug confirmed on successful tenant creation
• Must display inline error 'Organisation name already taken' if BE-01 returns 409 for duplicate org_name
• Must confirm invite email dispatched to admin_email with toast notification after successful submit</t>
  </si>
  <si>
    <t>Tenant provisioned; wizard advances to Step 2</t>
  </si>
  <si>
    <t>Wizard Step 2 — Module Setup</t>
  </si>
  <si>
    <t>Renders the Module Setup step where the admin configures the initial module structure for the new tenant.</t>
  </si>
  <si>
    <t>• Renders Step 2 of the onboarding wizard where the admin configures the initial module structure for the new tenant.
• Displays existing module cards with Module Name input, Description input, and Git Config dropdown, and a + Add Module button appends a new blank module card.
• Each module card is deletable via ✕ and the Next: Users &amp; Roles button advances to Step 3 by calling BE-02 to seed functionalities.</t>
  </si>
  <si>
    <t>• Must render Step 2 with pre-seeded module cards for Transfers and Login &amp; Auth with Module Name, Description, and Git Config dropdown
• Must append new blank module card when + Add Module button is clicked
• Must remove module card when ✕ button is clicked on that card
• Must populate Git Config dropdown from FR-024 saved git configurations
• Must call BE-02 POST /api/v1/admin/tenants/{id}/functionalities with array of module objects when Next is clicked
• Must validate Module Name and journey_prefix are unique before allowing Next</t>
  </si>
  <si>
    <t>BE-02, FR-024 BE-01</t>
  </si>
  <si>
    <t>Functionalities seeded; wizard advances to Step 3</t>
  </si>
  <si>
    <t>Wizard Step 3 — Users &amp; Roles</t>
  </si>
  <si>
    <t>Renders the Users and Roles step where the admin adds the initial users and assigns their roles for the new tenant.</t>
  </si>
  <si>
    <t>• Renders Step 3 of the onboarding wizard where the admin invites initial users and assigns their roles for the new tenant.
• Displays 4 role reference cards and a Team Members table showing Full Name, Email, Role badge, Module, Status, and Edit/Resend actions.
• The + Invite User button adds a new row and the Finish Setup button calls BE-03 POST /complete to advance to Step 4.</t>
  </si>
  <si>
    <t>• Must render 4 role reference cards with Tenant Admin role marked as active
• Must display Team Members table showing Full Name, Email, Role badge, Module, Status, and Edit/Resend actions
• Must add inline invite row to Team Members table when + Invite User is clicked
• Must enable Resend button for users with Pending status to resend invite email
• Must call BE-03 POST /api/v1/admin/tenants/{id}/complete when Finish Setup is clicked and advance to Step 4
• Must validate at least one Tenant Admin is assigned before allowing Finish Setup</t>
  </si>
  <si>
    <t>BE-03, FR-040 BE-01</t>
  </si>
  <si>
    <t>Users invited; onboarding marked complete</t>
  </si>
  <si>
    <t>Wizard Step 4 — Done</t>
  </si>
  <si>
    <t>Renders the Done step confirming onboarding is complete and providing a link to the new tenant's ICE environment.</t>
  </si>
  <si>
    <t>• Renders Step 4 of the onboarding wizard confirming that onboarding is complete and the new tenant's ICE environment is ready.
• Displays a ✓ success icon, 'ICE is ready for your team' heading, and summary cards showing Tenant slug, Module count, and User count.
• The Go to ICE button closes the wizard and navigates to the main ICE screen.</t>
  </si>
  <si>
    <t>• Must render Step 4 with a ✓ success icon and 'ICE is ready for your team' heading
• Must display summary cards showing the correct tenant slug, module count, and user count for the newly onboarded tenant
• Must provide a 'Go to ICE' button that closes the wizard and navigates to the ICE main screen
• Must only be reachable when onboarding_complete=true
• Must reject navigation to this step if onboarding_complete is false or undefined</t>
  </si>
  <si>
    <t>Tenant ready; admin navigates to ICE</t>
  </si>
  <si>
    <t>New Client E2E</t>
  </si>
  <si>
    <t>Validates the new client onboarding flow: tenant created, modules configured, users invited, and the new tenant can log in.</t>
  </si>
  <si>
    <t>• Validates the new client onboarding flow end-to-end by opening the + New Client Setup Wizard and entering org name 'Test Bank', selecting Pro plan, and entering admin email.
• Verifies that tenant_slug is auto-populated and that BE-01 POST /admin/tenants creates the tenant successfully.
• Verifies that the invite email is dispatched to the admin email address.</t>
  </si>
  <si>
    <t>• Must open the + New Client Setup Wizard and allow entry of org_name 'Test Bank', Pro plan selection, and admin_email
• Must auto-populate tenant_slug derived from org_name
• Must call BE-01 POST /admin/tenants and create a tenant record in the database
• Must dispatch an invite email to the admin_email address
• Must display the new client in the Active Clients list immediately after creation</t>
  </si>
  <si>
    <t>BE-01, FE-03, FE-04</t>
  </si>
  <si>
    <t>New tenant created; admin invite sent</t>
  </si>
  <si>
    <t>Full Onboarding E2E</t>
  </si>
  <si>
    <t>Validates the full onboarding journey: all four wizard steps completed, all settings provisioned, and the client can begin using ICE.</t>
  </si>
  <si>
    <t>• Validates the full onboarding journey end-to-end by completing all four wizard steps: Step 1 creates tenant, Step 2 seeds 3 functionalities, Step 3 invites QA Lead and QA Engineer, and Step 4 displays the done summary.
• Verifies that the tenant's onboarding_complete flag is set to true after Step 4.
• Verifies that the new tenant can log in to ICE successfully.</t>
  </si>
  <si>
    <t>• Must complete all 4 wizard steps without error: Step 1 creates tenant, Step 2 seeds 3 functionalities, Step 3 invites QA Lead and QA Engineer, Step 4 displays done summary
• Must seed functionalities correctly for the new tenant
• Must invite users with the correct roles (QA Lead and QA Engineer)
• Must display the done summary showing the correct tenant slug, module count, and user count
• Must set onboarding_complete=true in the database
• Must allow the new admin to log in and access ICE after onboarding is complete</t>
  </si>
  <si>
    <t>Tenant fully onboarded; all settings pre-configured</t>
  </si>
  <si>
    <t>Analytics Dashboard</t>
  </si>
  <si>
    <t>FR-043</t>
  </si>
  <si>
    <t>Analytics Dashboard › Results</t>
  </si>
  <si>
    <t>📊 Analytics open</t>
  </si>
  <si>
    <t>Exposes the GET /api/v1/analytics/runs endpoint that returns the run history for the tenant with summary counts and per-journey results.</t>
  </si>
  <si>
    <t>• Exposes the GET /api/v1/analytics/run/{run_id}/summary endpoint that returns run history with summary counts and per-journey results for the tenant.
• Returns run_id, project_name, started_at, duration_ms, total, passed, failed, skipped, pass_rate, confidence_score, triggered_by, environment, and browser.
• The triggered_by field indicates whether the run was initiated manually, automatically, or via webhook.</t>
  </si>
  <si>
    <t>• Must return run_id, project_name, started_at, duration_ms, total, passed, failed, skipped, pass_rate, confidence_score, and triggered_by for the specified run
• Must calculate confidence_score as (passed / total) * 100
• Must reflect the actual trigger source in triggered_by (manual, scheduled, CI/CD)
• Must respond within 500ms
• Must return 404 if run_id is not found in run_executions</t>
  </si>
  <si>
    <t>FR-022 BE-06</t>
  </si>
  <si>
    <t>run_id, total, passed, failed, pass_rate, confidence_score, triggered_by</t>
  </si>
  <si>
    <t>GET /api/v1/analytics/run/{run_id}/summary → summary{}</t>
  </si>
  <si>
    <t>Summary displayed in stat cards (FE-01)</t>
  </si>
  <si>
    <t>📊 Analytics open — results table</t>
  </si>
  <si>
    <t>Exposes the GET /api/v1/analytics/runs/{runId} endpoint returning the full per-TC result detail for a specific run.</t>
  </si>
  <si>
    <t>• Exposes the GET /api/v1/analytics/run/{run_id}/results endpoint that returns the full per-TC result detail for a specific run.
• Returns a paginated array of per-TC results containing tc_id, display_id, description, module, status, duration_ms, error_message, stack_trace, and screenshot_url.
• The status field indicates pass, fail, skip, or running for each test case.</t>
  </si>
  <si>
    <t>• Must return a paginated array of per-TC results containing tc_id, display_id, description, module, status, duration_ms, error_message, stack_trace, and screenshot_url
• Must sort results by status (failed first), then by tc_id
• Must paginate results with page_size=50
• Must include error_message and stack_trace for all failed TCs
• Must populate screenshot_url when visual testing is enabled for the run
• Must return 404 if run_id is not found in run_results</t>
  </si>
  <si>
    <t>run_results</t>
  </si>
  <si>
    <t>tc_id, display_id, description, module, status, duration_ms, error_message</t>
  </si>
  <si>
    <t>GET /api/v1/analytics/run/{run_id}/results → {results[], total}</t>
  </si>
  <si>
    <t>Results table rendered (FE-02)</t>
  </si>
  <si>
    <t>Confidence gate display</t>
  </si>
  <si>
    <t>Evaluates the CLAP confidence gate for the current run, returning whether the overall confidence score meets the tenant's configured threshold.</t>
  </si>
  <si>
    <t>• Evaluates the CLAP confidence gate for the current run by comparing the overall confidence score against the tenant's configured threshold.
• The confidence_threshold is stored per tenant in GET/PUT /api/v1/settings/confidence with a default of 85% and a range of 0–100%.
• The gate result (PASS or FAIL) is stored in run_executions based on whether pass_rate meets or exceeds the threshold at run completion.</t>
  </si>
  <si>
    <t>• Must GET /api/v1/settings/confidence return the current confidence_threshold for the tenant from tenant_config
• Must PUT /api/v1/settings/confidence validate that the threshold is in the range 0–100 and reject invalid values with a 400 error
• Must compute gate_status as PASS if pass_rate &gt;= threshold, otherwise FAIL
• Must store the gate_status in run_executions.gate_status for the current run
• Must default confidence_threshold to 85% for new tenants
• Must persist the updated confidence_threshold to tenant_config and be retrievable on subsequent reads</t>
  </si>
  <si>
    <t>tenant_config, run_executions</t>
  </si>
  <si>
    <t>confidence_threshold, gate_status (PASS/FAIL)</t>
  </si>
  <si>
    <t>GET/PUT /api/v1/settings/confidence → {threshold}</t>
  </si>
  <si>
    <t>Gate result displayed in FE-03 sidebar card</t>
  </si>
  <si>
    <t>Run fails — async background</t>
  </si>
  <si>
    <t>Runs CLAP root cause analysis in the background for failed test cases, identifying the likely failure reason and suggested fix.</t>
  </si>
  <si>
    <t>• Runs CLAP root cause analysis asynchronously in the background for failed test cases to identify the likely failure reason and suggested fix.
• After run completion with failures, an async POST /api/v1/analytics/run/{run_id}/analyse reads failed TC stack traces and DOM diffs.
• CLAP identifies the likely root cause, generates a fix suggestion, and stores the result in the run_analysis table.</t>
  </si>
  <si>
    <t>• Must trigger asynchronously after run completion when there is at least 1 failed TC
• Must read error_message and stack_trace from run_results for each failed TC
• Must return root_cause_summary, affected_element, fix_suggestion, and confidence for each failed TC via CLAP analysis
• Must store the analysis results in run_analysis keyed by run_id
• Must complete the analysis within 30 seconds
• Must persist the analysis to run_analysis and be retrievable on subsequent reads</t>
  </si>
  <si>
    <t>BE-02, FR-028 BE-01 (LLM Config)</t>
  </si>
  <si>
    <t>Spring Boot + CLAP</t>
  </si>
  <si>
    <t>run_analysis</t>
  </si>
  <si>
    <t>run_id, root_cause_summary, affected_element, fix_suggestion, confidence</t>
  </si>
  <si>
    <t>POST /api/v1/analytics/run/{run_id}/analyse → analysis{}</t>
  </si>
  <si>
    <t>Root cause displayed in FE-04 sidebar card</t>
  </si>
  <si>
    <t>Generate Report button</t>
  </si>
  <si>
    <t>Generates a PDF or Excel report of the run results including the confidence gate result, per-TC outcomes, and CLAP root cause analysis.</t>
  </si>
  <si>
    <t>• Generates a PDF or Excel report of the run results including the confidence gate result, per-TC outcomes, and CLAP root cause analysis.
• POST /api/v1/analytics/run/{run_id}/report generates a downloadable PDF/HTML report containing run summary, pass/fail breakdown, per-TC results table, CLAP root cause analysis, and confidence gate result.
• Returns a report_url for accessing the generated report.</t>
  </si>
  <si>
    <t>• Must generate a PDF report from run summary, per-TC results, and CLAP root cause analysis via POST /api/v1/analytics/run/{run_id}/report
• Must include all failed TC details with stack traces in the report
• Must include CLAP root cause analysis if available in run_analysis
• Must return a report_url valid for 24 hours
• Must complete report generation within 15 seconds
• Must return 404 if run_id is not found</t>
  </si>
  <si>
    <t>BE-01, BE-02, BE-04</t>
  </si>
  <si>
    <t>Spring Boot + iText/Jasper</t>
  </si>
  <si>
    <t>run_executions, run_results, run_analysis</t>
  </si>
  <si>
    <t>run_id, report_url, generated_at</t>
  </si>
  <si>
    <t>POST /api/v1/analytics/run/{run_id}/report → {report_url}</t>
  </si>
  <si>
    <t>Report downloaded by user</t>
  </si>
  <si>
    <t>Create Jira ticket button</t>
  </si>
  <si>
    <t>Creates a Jira issue for a failed TC by calling the Jira API, pre-populating the issue with TC details and CLAP root cause analysis.</t>
  </si>
  <si>
    <t>• Creates a Jira issue for a failed TC by calling the Jira API and pre-populating the issue with TC details and CLAP root cause analysis.
• POST /api/v1/analytics/run/{run_id}/create-jira uses xray_config credentials to create a Jira issue with a body containing CLAP root cause summary, affected TC IDs, and fix suggestion.
• Returns jira_issue_key and issue_url for the created Jira issue.</t>
  </si>
  <si>
    <t>• Must use FR-027 Xray/Jira config credentials from xray_config to authenticate with the Jira API
• Must create a Jira issue in the configured Jira project with title 'Test failure — {root_cause_summary}' and a body containing TC details and CLAP analysis
• Must return jira_issue_key and issue_url after successful issue creation
• Must return 400 with a setup link if FR-027 Xray/Jira config is not configured
• Must reject the request if xray_config credentials are invalid or expired</t>
  </si>
  <si>
    <t>BE-04, FR-027 BE-01</t>
  </si>
  <si>
    <t>Spring Boot + Jira REST API</t>
  </si>
  <si>
    <t>POST /api/v1/analytics/run/{run_id}/create-jira → {jira_issue_key, issue_url}</t>
  </si>
  <si>
    <t>Jira issue created; key shown in FE-04</t>
  </si>
  <si>
    <t>Renders the Analytics button in the ICE navigation that opens the Analytics Dashboard overlay.</t>
  </si>
  <si>
    <t>• Renders the Analytics button in the ICE navigation that opens the Analytics Dashboard as a full-screen overlay with position:fixed and z-index:900.
• The overlay header displays a 📊 icon, 'Analytics Dashboard' title, and run ID, followed by stat cards row showing Total, Passed, Failed, and Confidence %.
• The layout includes a scrollable results table on the left and a right sidebar containing Confidence Gate card, CLAP Root Cause card, Generate Report button, and Close button.</t>
  </si>
  <si>
    <t>• Must render the Analytics button (📊) in the ICE navigation
• Must open the Analytics Dashboard as a full-screen overlay with position:fixed and z-index:900 on click
• Must display the overlay header with a 📊 icon, 'Analytics Dashboard' title, and run ID
• Must populate stat cards from BE-01 GET /api/v1/analytics/runs endpoint
• Must populate the results table from BE-02 GET /api/v1/analytics/runs/{runId} endpoint
• Must keep the right sidebar cards always visible during scroll
• Must dismiss the overlay on ✕ Close button click</t>
  </si>
  <si>
    <t>Analytics overlay visible; all panels render</t>
  </si>
  <si>
    <t>Results table</t>
  </si>
  <si>
    <t>Renders the Results tab in the Analytics Dashboard showing the run summary and the per-TC results table.</t>
  </si>
  <si>
    <t>• Renders the Results tab in the Analytics Dashboard showing the run summary and the per-TC results table in a scrollable left pane.
• The table columns display TC ID (monospace), Description, Module badge, Status badge (pass=green, fail=red, skip=grey, running=amber), and Duration.
• Failed rows are expandable inline to show error_message and stack trace, and each failed row includes a Rerun button.</t>
  </si>
  <si>
    <t>• Must render the Results tab in the Analytics Dashboard with a scrollable left pane showing the run summary and per-TC results table
• Must display table columns: TC ID (monospace), Description, Module badge, Status badge (pass=green, fail=red, skip=grey), and Duration
• Must populate the table from BE-02 GET /api/v1/analytics/runs/{runId}/results
• Must show error_message and stack_trace on expand for failed rows
• Must sort rows with failed TCs first, then by tc_id
• Must render a Rerun button on failed rows that triggers a new run for that specific TC</t>
  </si>
  <si>
    <t>All TC results visible with failure details</t>
  </si>
  <si>
    <t>Confidence gate card</t>
  </si>
  <si>
    <t>Renders the Confidence Gate card displaying the overall CLAP confidence score and whether it meets the tenant's threshold.</t>
  </si>
  <si>
    <t>• Renders the Confidence Gate card in the right sidebar displaying the overall CLAP confidence score and whether it meets the tenant's threshold.
• On PASS the card shows a green background with ✓ PASS — release approved and pass_rate% ≥ threshold%, while on FAIL it shows a red background with ✗ FAIL — release blocked and pass_rate% &lt; threshold%.
• The card displays the threshold value and provides a link to Settings › Confidence to adjust the threshold.</t>
  </si>
  <si>
    <t>• Must render the Confidence Gate card in the right sidebar displaying the overall CLAP confidence score and gate result
• Must show PASS state with green background, ✓ PASS — release approved, and pass_rate% ≥ threshold%
• Must show FAIL state with red background, ✗ FAIL — release blocked, and pass_rate% &lt; threshold%
• Must display the actual pass_rate and the configured threshold
• Must provide a Settings link to adjust the threshold via PUT /api/v1/settings/confidence
• Must update the card on page load by fetching the latest gate_status from BE-03</t>
  </si>
  <si>
    <t>Gate verdict visible; user knows if release is approved</t>
  </si>
  <si>
    <t>CLAP Root Cause card + Create Jira ticket</t>
  </si>
  <si>
    <t>Renders the CLAP Root Cause card showing the AI-generated failure analysis for failed TCs, with a Create Jira Ticket button.</t>
  </si>
  <si>
    <t>• Renders the CLAP Root Cause card in the right sidebar with purple tint, displaying AI-generated failure analysis for failed test cases.
• Shows root_cause_summary, affected_element in monospace font, and fix_suggestion fields from the CLAP analysis.
• Create Jira Ticket button calls BE-06 and displays the returned jira_issue_key as a clickable link.
• Displays loading state while BE-04 runs the AI analysis in the background.</t>
  </si>
  <si>
    <t>• Must render the CLAP Root Cause card with purple tint background in the right sidebar
• Must display root_cause_summary and fix_suggestion fields from the CLAP analysis
• Must render affected_element in monospace code style
• Must show Create Jira Ticket button that calls BE-06 and displays returned Jira key as a clickable link
• Must display loading spinner while CLAP analysis is in progress</t>
  </si>
  <si>
    <t>BE-04, BE-06</t>
  </si>
  <si>
    <t>Root cause visible; Jira ticket created from dashboard</t>
  </si>
  <si>
    <t>Renders the Generate Report button that calls BE-05 and triggers a download of the run results report.</t>
  </si>
  <si>
    <t>• Renders a full-width primary button in the right sidebar that triggers report generation when clicked.
• Calls BE-05 on button click and displays a spinner during report generation.
• Triggers a file download of the PDF report on successful response.
• Shows a toast notification with the error message on failure.</t>
  </si>
  <si>
    <t>• Must render a full-width primary button that triggers POST /report to BE-05 on click
• Must display spinner during report generation and disable the button while in progress
• Must trigger PDF file download on successful response from BE-05
• Must display toast with error message on failure</t>
  </si>
  <si>
    <t>Report PDF downloaded</t>
  </si>
  <si>
    <t>Results table E2E</t>
  </si>
  <si>
    <t>Validates the Analytics Dashboard results table: run data loaded, per-TC results shown, and filter by status working correctly.</t>
  </si>
  <si>
    <t>• Validates that the Analytics Dashboard results table loads run data, displays per-test-case results, and filters by status correctly.
• E2E test triggers a run with 5 journeys (3 pass, 2 fail), opens the Analytics Dashboard, and verifies stat cards show correct counts.
• Verifies the results table shows 5 rows with correct status badges, expands a failed row, and confirms error_message is displayed.</t>
  </si>
  <si>
    <t>• Must display stat cards showing Total=5, Passed=3, Failed=2 for a run with 3 passing and 2 failing test cases
• Must render results table with 5 rows corresponding to all test cases in the run
• Must make failed rows expandable to show error details
• Must display status badges with correct colours for each test case status
• Must sort results with failed rows appearing first</t>
  </si>
  <si>
    <t>BE-01, BE-02, FE-01, FE-02</t>
  </si>
  <si>
    <t>Results display verified end-to-end</t>
  </si>
  <si>
    <t>Confidence gate + CLAP E2E</t>
  </si>
  <si>
    <t>Validates the confidence gate and CLAP root cause flow: gate evaluated, root cause generated, and Jira ticket created correctly.</t>
  </si>
  <si>
    <t>• Validates that the confidence gate is evaluated, CLAP root cause is generated, and Jira ticket is created correctly in an end-to-end flow.
• E2E test sets threshold to 90%, triggers a run with 87% pass rate, opens Analytics, and verifies FAIL gate status is shown.
• Verifies the CLAP analysis card populates within 30 seconds and that clicking Create Jira ticket returns a valid jira_issue_key.</t>
  </si>
  <si>
    <t>• Must display FAIL gate indicator when pass_rate is below the configured threshold
• Must display PASS gate indicator when pass_rate is at or above the configured threshold
• Must populate CLAP root cause analysis within 30 seconds of run completion
• Must return a valid Jira issue key when Create Jira Ticket button is clicked
• Must reflect threshold changes immediately on the next run without restart</t>
  </si>
  <si>
    <t>BE-03, BE-04, BE-06, FE-03, FE-04</t>
  </si>
  <si>
    <t>Gate and CLAP pipeline verified end-to-end</t>
  </si>
  <si>
    <t>Generate Report E2E</t>
  </si>
  <si>
    <t>Validates the Generate Report flow: report generated with all required fields and downloaded correctly.</t>
  </si>
  <si>
    <t>• Validates that the Generate Report flow produces a report with all required fields and triggers a download correctly.
• E2E test opens the Analytics Dashboard, clicks Generate Report, verifies a spinner is shown, and confirms a PDF download is triggered.
• Verifies the downloaded report contains run summary, failed test case details, and CLAP analysis.</t>
  </si>
  <si>
    <t>• Must display spinner while report generation is in progress
• Must trigger PDF download on successful report generation
• Must include run summary section in the generated report
• Must include failed test cases with stack traces in the report
• Must include CLAP analysis section in the generated report</t>
  </si>
  <si>
    <t>BE-05, FE-05</t>
  </si>
  <si>
    <t>Report generation verified end-to-end</t>
  </si>
  <si>
    <t>Accessibility Pipeline</t>
  </si>
  <si>
    <t>FR-044</t>
  </si>
  <si>
    <t>Deployment — one-time</t>
  </si>
  <si>
    <t>Deploys the Axe accessibility JAR to the ICE agent pool, making it available to the accessibility analysis service on test execution.</t>
  </si>
  <si>
    <t>• Defines and creates the wcag_techniques PostgreSQL table to store WCAG technique mappings for accessibility analysis.
• Table contains 13 columns including id (SERIAL PK), technique_id, criterion_id, wcag_level, axe_rule_id, domain, site_type, component_group, component, severity, runtime_filter (bool), and description.
• Seeded from WCAG_Full_Mapping_ICE.xlsx with 1,551 rows to provide comprehensive WCAG rule data.</t>
  </si>
  <si>
    <t>• Must create wcag_techniques table with all 13 columns and correct data types
• Must define unique constraint on (technique_id, axe_rule_id, domain, component)
• Must create index on (domain, wcag_level, component_group, axe_rule_id)
• Must seed table with 1,551 rows imported from WCAG_Full_Mapping_ICE.xlsx
• Must verify row count equals 1,551 after seeding completes
• Must persist all imported rows to wcag_techniques and be retrievable on subsequent reads</t>
  </si>
  <si>
    <t>PostgreSQL DDL + Flyway</t>
  </si>
  <si>
    <t>PostgreSQL DDL</t>
  </si>
  <si>
    <t>technique_id, criterion_id, wcag_level, axe_rule_id, domain, component, severity, runtime_filter</t>
  </si>
  <si>
    <t>DDL migration + seed script</t>
  </si>
  <si>
    <t>wcag_techniques table available for Profile Builder query (BE-02)</t>
  </si>
  <si>
    <t>Registers the Axe JAR version and deployment status in the ICE database, enabling the accessibility analysis service to locate the correct JAR.</t>
  </si>
  <si>
    <t>• Python/Java import script reads WCAG_Full_Mapping_ICE.xlsx and performs bulk insert into wcag_techniques table.
• Handles header row skip, empty cell handling, boolean mapping for runtime_filter field, and duplicate detection.
• Idempotent operation that truncates and reloads the table on re-run to ensure data consistency.</t>
  </si>
  <si>
    <t>• Must read WCAG_Full_Mapping_ICE.xlsx correctly, skipping header row and handling empty cells
• Must import all 1,551 rows without errors, mapping boolean values for runtime_filter field
• Must detect and skip duplicate rows during import
• Must complete import in under 30 seconds
• Must be idempotent so that re-running produces the same result
• Must persist all 1,551 rows to wcag_techniques and be retrievable on subsequent reads</t>
  </si>
  <si>
    <t>Python + openpyxl / Java</t>
  </si>
  <si>
    <t>Python</t>
  </si>
  <si>
    <t>All 13 columns from Excel</t>
  </si>
  <si>
    <t>Script: import_wcag.py --file WCAG_Full_Mapping_ICE.xlsx</t>
  </si>
  <si>
    <t>Registry populated; BE-03 can query it</t>
  </si>
  <si>
    <t>Run starts — profile resolution</t>
  </si>
  <si>
    <t>Resolves the active accessibility profile for the current tenant at run start, querying the WCAG rule registry to build the Axe rule set.</t>
  </si>
  <si>
    <t>• Resolves the active accessibility profile for the current tenant at run start by querying the wcag_techniques table.
• Translates the FR-031 AccessibilityRunConfig (domain, wcag_level, component_groups[], severity_threshold, runtime_filter) into a list of Axe rule IDs.
• Called by the run orchestrator before JAR invocation and returns axe_rule_ids[] array to pass to the Axe JAR.</t>
  </si>
  <si>
    <t>• Must query wcag_techniques filtered by domain, wcag_level, component_group, severity, and runtime_filter
• Must return array of distinct axe_rule_ids matching the resolved profile
• Must return 400 error with clear message when no matching rules are found
• Must cache response per tenant profile config with 10-minute TTL
• Must return rule count matching the FR-031 profile configuration</t>
  </si>
  <si>
    <t>BE-01, FR-031 BE-01</t>
  </si>
  <si>
    <t>Spring Boot + JPA</t>
  </si>
  <si>
    <t>wcag_techniques, accessibility_config</t>
  </si>
  <si>
    <t>domain, wcag_level, component_groups[], severity_threshold → axe_rule_ids[]</t>
  </si>
  <si>
    <t>GET /api/v1/accessibility/resolve-rules?profile={tenant_id} → {axe_rule_ids[], rule_count}</t>
  </si>
  <si>
    <t>Rule list passed to jar (BE-04)</t>
  </si>
  <si>
    <t>Run Locally / Run From Jenkins</t>
  </si>
  <si>
    <t>Executes the Axe JAR against the current page during a journey run, passing the resolved rule set and returning the raw violation report.</t>
  </si>
  <si>
    <t>• Wires the accessibility JAR into the ICE run orchestrator (FR-022 BE-06) to execute Axe analysis during journey runs.
• When test_types[] includes 'accessibility', calls BE-03 to resolve axe_rule_ids[] and passes AccessibilityProfile to JAR via CLI args or REST.
• Collects JAR output and passes raw violation report to BE-05 for enrichment with WCAG context.</t>
  </si>
  <si>
    <t>• Must invoke Axe JAR only when 'accessibility' is included in test_types array
• Must call BE-03 to resolve axe_rule_ids array before starting JAR execution
• Must pass AccessibilityProfile as structured input to the JAR via CLI
• Must pass JAR output JSON violations to BE-05 for enrichment
• Must enforce 120-second timeout per page for JAR execution</t>
  </si>
  <si>
    <t>BE-03, FR-022 BE-06</t>
  </si>
  <si>
    <t>Spring Boot + Process/REST</t>
  </si>
  <si>
    <t>Orchestrator calls jar with resolved rule list</t>
  </si>
  <si>
    <t>Jar output available for enrichment (BE-05)</t>
  </si>
  <si>
    <t>Run completes</t>
  </si>
  <si>
    <t>Enriches the raw Axe violation report with WCAG technique IDs, help URLs, and component group tags from the rule registry.</t>
  </si>
  <si>
    <t>• Enriches each Axe violation with WCAG context by joining axe_rule_id with the wcag_techniques table.
• For each violation, retrieves criterion_id, criterion_name, wcag_level, severity, and component from wcag_techniques.
• Produces enriched AccessibilityResult records ready for storage and further processing.</t>
  </si>
  <si>
    <t>• Must enrich each Axe violation with criterion_id, criterion_name, wcag_level, severity, and component by joining on axe_rule_id
• Must retrieve WCAG metadata from wcag_techniques table for each violation
• Must store violations with unknown axe_rule_id with wcag_level set to UNKNOWN
• Must complete enrichment within 5 seconds for up to 200 violations
• Must persist enriched records to accessibility_results and be retrievable on subsequent reads</t>
  </si>
  <si>
    <t>BE-01, BE-04</t>
  </si>
  <si>
    <t>wcag_techniques, accessibility_results</t>
  </si>
  <si>
    <t>axe_rule_id → criterion_id, criterion_name, wcag_level, severity</t>
  </si>
  <si>
    <t>Internal: enrichment pipeline after jar execution</t>
  </si>
  <si>
    <t>Enriched results written to DB (BE-06)</t>
  </si>
  <si>
    <t>Applies the configured severity threshold to the enriched violation report, classifying each violation as within or exceeding the threshold.</t>
  </si>
  <si>
    <t>• Computes WCAG verdict per Success Criterion (SC) using three-state logic: FAIL if any violation, WARN if advisory only, PASS if no violations.
• Aggregates individual criterion verdicts to produce a journey-level verdict for the accessibility run.
• Stores the computed verdict in the accessibility_results.verdict field for reporting and analysis.</t>
  </si>
  <si>
    <t>• Must classify Success Criterion as FAIL if any violation has severity at or above threshold
• Must classify Success Criterion as WARN if only advisory violations are present
• Must classify Success Criterion as PASS if no violations are found
• Must compute journey-level verdict as FAIL if any Success Criterion fails
• Must persist verdict per Success Criterion and per journey to accessibility_results and be retrievable on subsequent reads</t>
  </si>
  <si>
    <t>accessibility_results</t>
  </si>
  <si>
    <t>sc_id, verdict (PASS/FAIL/WARN), violation_count</t>
  </si>
  <si>
    <t>Internal: verdict computation after enrichment</t>
  </si>
  <si>
    <t>Verdict available for results API (BE-07) and Analytics panel (FE-02)</t>
  </si>
  <si>
    <t>Run completes — results written</t>
  </si>
  <si>
    <t>Writes the processed accessibility results to the accessibility_results table, keyed by run ID, journey ID, and screen name.</t>
  </si>
  <si>
    <t>• Defines and creates the accessibility_results table to store processed accessibility test results.
• Contains fields: id, run_id, journey_id, page_url, axe_rule_id, criterion_id, wcag_level, severity, element_selector, verdict, violation_count, created_at.
• Provides JPA repository with queries by run_id, journey_id, wcag_level, and verdict for flexible data retrieval.</t>
  </si>
  <si>
    <t>• Must create accessibility_results table with all required columns including id, run_id, journey_id, page_url, axe_rule_id, criterion_id, wcag_level, severity, element_selector, verdict, violation_count, and created_at
• Must create index on (run_id, journey_id, verdict)
• Must support JPA repository filtering by run_id, wcag_level, and verdict
• Must cascade delete accessibility_results records when parent run_execution is deleted
• Must write results within 2 seconds of enrichment completion
• Must persist all accessibility results to accessibility_results and be retrievable on subsequent reads</t>
  </si>
  <si>
    <t>PostgreSQL DDL + Spring Data JPA</t>
  </si>
  <si>
    <t>Spring Data JPA</t>
  </si>
  <si>
    <t>run_id, journey_id, page_url, axe_rule_id, criterion_id, wcag_level, severity, verdict</t>
  </si>
  <si>
    <t>DDL migration + JPA Repository</t>
  </si>
  <si>
    <t>Results queryable by BE-08 API</t>
  </si>
  <si>
    <t>📊 Analytics / Execute Tests results</t>
  </si>
  <si>
    <t>Exposes the accessibility results via the Analytics API, returning violations grouped by screen and severity for the Analytics Dashboard.</t>
  </si>
  <si>
    <t>• Exposes accessibility results via GET /api/v1/accessibility/runs/{run_id}/results with filtering by wcag_level, severity, verdict, and journey_id.
• Provides GET /api/v1/accessibility/runs/{run_id}/summary endpoint that returns aggregated counts.
• Summary includes total_violations, fail_count, warn_count, pass_count, and journeys_affected for dashboard display.</t>
  </si>
  <si>
    <t>• Must return accessibility results via GET /api/v1/accessibility/runs/{run_id}/results with filters for wcag_level, severity, verdict, and journey_id
• Must provide GET /api/v1/accessibility/runs/{run_id}/summary endpoint that returns aggregated violation counts
• Must paginate results with page_size=50
• Must respond within 1 second
• Must return 404 if run_id is not found</t>
  </si>
  <si>
    <t>run_id, wcag_level, severity, verdict, violation_count</t>
  </si>
  <si>
    <t>GET /api/v1/accessibility/runs/{run_id}/results → {results[], total}
GET /api/v1/accessibility/runs/{run_id}/summary → summary{}</t>
  </si>
  <si>
    <t>Results displayed in FE-02 panel</t>
  </si>
  <si>
    <t>↓ Export accessibility results</t>
  </si>
  <si>
    <t>Generates an Excel export of the accessibility results for a run, formatted with violation details, WCAG references, and element selectors.</t>
  </si>
  <si>
    <t>• POST /api/v1/accessibility/runs/{run_id}/export generates a downloadable accessibility report in Excel (.xlsx) or CSV format.
• Report includes one row per violation with fields: journey_id, page_url, criterion_id, wcag_level, severity, element_selector, verdict, fix_suggestion.
• Provides formatted export for offline analysis and sharing with stakeholders.</t>
  </si>
  <si>
    <t>• Must generate Excel (.xlsx) and CSV export formats via POST /api/v1/accessibility/runs/{run_id}/export
• Must include one row per violation with fields: journey_id, page_url, criterion_id, wcag_level, severity, element_selector, and all enriched fields
• Must return a download URL valid for 24 hours
• Must complete generation in under 10 seconds for up to 2,000 rows
• Must return 404 if run_id is not found</t>
  </si>
  <si>
    <t>Spring Boot + Apache POI</t>
  </si>
  <si>
    <t>All accessibility_results fields</t>
  </si>
  <si>
    <t>POST /api/v1/accessibility/runs/{run_id}/export?format=xlsx → {download_url}</t>
  </si>
  <si>
    <t>Accessibility report downloaded</t>
  </si>
  <si>
    <t>Accessibility jar — internal</t>
  </si>
  <si>
    <t>Manages the Axe sidecar JAR lifecycle, starting and stopping the JAR process around each journey test execution.</t>
  </si>
  <si>
    <t>• Standalone Java component that receives AccessibilityProfile containing axe_rule_ids[] and page_urls[] for execution.
• Launches browser, navigates to each page in the profile, executes axe-core with the specified rule subset, and captures violations as JSON.
• Returns structured AxeResult per page containing violation details for processing by BE-05.</t>
  </si>
  <si>
    <t>• Must accept AccessibilityProfile containing axe_rule_ids[] and page_urls[]
• Must execute axe-core rules on each page_url in the profile
• Must return violations as structured JSON per page
• Must manage browser lifecycle internally using Selenium or Playwright
• Must enforce execution timeout of 120 seconds per page</t>
  </si>
  <si>
    <t>Java + Selenium + axe-core</t>
  </si>
  <si>
    <t>Java + Selenium</t>
  </si>
  <si>
    <t>CLI/REST: AccessibilityProfile → AxeResult[]</t>
  </si>
  <si>
    <t>Violations passed to BE-05 enrichment</t>
  </si>
  <si>
    <t>Accessibility checkbox — Execute Tests Type of Test row</t>
  </si>
  <si>
    <t>Renders the Accessibility checkbox in the Execute Tests Type of Test row, enabling accessibility scanning for the run when checked.</t>
  </si>
  <si>
    <t>• Renders the Accessibility checkbox in the Execute Tests Type of Test row, enabling accessibility scanning for the run when checked.
• When checked and run triggered, 'accessibility' is added to the test_types[] payload and activates BE-04 jar wiring path.
• Already rendered as part of FR-022 FE-05; this task covers the accessibility-specific behavior.</t>
  </si>
  <si>
    <t>• Must render Accessibility checkbox in the Execute Tests Type of Test row
• Must add 'accessibility' to test_types[] payload when checkbox is checked and run is triggered
• Must trigger FR-044 BE-04 JAR execution path when accessibility is selected
• Must display Accessibility results tab in Analytics Dashboard after run completes
• Must show active rule count hint from FR-031 profile when checkbox is enabled</t>
  </si>
  <si>
    <t>BE-03, FR-022 FE-05</t>
  </si>
  <si>
    <t>Accessibility run triggered; jar invoked</t>
  </si>
  <si>
    <t>📊 Analytics — Accessibility tab</t>
  </si>
  <si>
    <t>Renders the Accessibility tab in the Analytics Dashboard, showing the violation count, severity breakdown, and per-screen violation table.</t>
  </si>
  <si>
    <t>• Renders the Accessibility tab in the Analytics Dashboard, showing violation count, severity breakdown, and per-screen violation table.
• Displays summary cards (Total violations, FAIL SCs, WARN SCs, Journeys affected), filter bar (WCAG Level, Severity, Verdict, Journey), and results table (SC ID, Criterion, WCAG Level, Severity badge, Element selector, Verdict badge, Journey).
• Export button calls BE-09 to generate downloadable report.</t>
  </si>
  <si>
    <t>• Must render Accessibility tab in Analytics Dashboard when test_types includes accessibility
• Must display summary cards showing Total violations, FAIL SCs, WARN SCs, and Journeys affected from BE-08 /summary
• Must display results table from BE-08 /results with filters for WCAG Level, Severity, Verdict, and Journey
• Must provide Export button that calls BE-09 to generate downloadable report
• Must display verdict badges with FAIL in red and WARN in amber</t>
  </si>
  <si>
    <t>BE-08, BE-09</t>
  </si>
  <si>
    <t>Accessibility results visible in Analytics</t>
  </si>
  <si>
    <t>Deployment E2E</t>
  </si>
  <si>
    <t>Validates the Axe JAR deployment: JAR available to agents, version registered in ICE DB, and analysis service can locate it.</t>
  </si>
  <si>
    <t>• Validates the Axe JAR deployment end-to-end, ensuring JAR is available to agents, version is registered in ICE DB, and analysis service can locate it.
• Runs import script against test DB and verifies row count equals 1,551, index is created, and sample query (domain=Banking, wcag_level=AA) returns correct rule IDs.
• Verifies duplicate re-run is idempotent.</t>
  </si>
  <si>
    <t>• Must verify row count equals 1,551 after import script execution
• Must confirm index is created on correct columns
• Must return correct axe_rule_ids from sample query
• Must produce same row count on re-run demonstrating idempotency
• Must complete import in under 30 seconds</t>
  </si>
  <si>
    <t>Pytest / JUnit</t>
  </si>
  <si>
    <t>Pytest</t>
  </si>
  <si>
    <t>Registry correctly seeded and queryable</t>
  </si>
  <si>
    <t>Profile Builder query E2E</t>
  </si>
  <si>
    <t>Validates the profile builder query: active profile resolved correctly and matching Axe rules returned for the configured filters.</t>
  </si>
  <si>
    <t>• Validates the profile builder query end-to-end, ensuring active profile is resolved correctly and matching Axe rules are returned for configured filters.
• Tests profile resolution for Banking/AA/Critical-only and verifies axe_rule_ids[] count matches FR-031 BE-02 preview count.
• Tests all 11 standard profiles and verifies each returns a non-empty rule list.</t>
  </si>
  <si>
    <t>• Must return correct axe_rule_ids[] for Banking/AA/Critical profile configuration
• Must match rule count returned by FR-031 BE-02 profile preview
• Must return non-empty axe_rule_ids[] lists for all 11 standard profiles
• Must return 400 for empty profile with no matching rules
• Must return identical result from cached response</t>
  </si>
  <si>
    <t>BE-02, BE-03, FR-031 BE-02</t>
  </si>
  <si>
    <t>Profile resolution verified for all standard profiles</t>
  </si>
  <si>
    <t>Jar execution E2E</t>
  </si>
  <si>
    <t>Validates the JAR execution flow: Axe runs against a live page, violations detected, enriched, thresholded, and written to the database.</t>
  </si>
  <si>
    <t>• Validates the JAR execution flow end-to-end, ensuring Axe runs against a live page, violations are detected, enriched, thresholded, and written to the database.
• Runs accessibility test against known fixture page with intentional violations and verifies jar returns correct violations, BE-05 enrichment adds WCAG metadata, and BE-06 verdict equals FAIL.
• Verifies accessibility_results table is populated with correct data.</t>
  </si>
  <si>
    <t>• Must execute JAR and return violations for fixture page with intentional violations
• Must enrich violations with correct WCAG metadata
• Must set Verdict to FAIL for Success Criteria with violations
• Must populate accessibility_results table with violation data
• Must return correct results via BE-08 API after JAR execution
• Must persist violations to accessibility_results and be retrievable on subsequent reads</t>
  </si>
  <si>
    <t>BE-04, BE-05, BE-06, BE-07, BE-10</t>
  </si>
  <si>
    <t>Playwright AI + fixture page</t>
  </si>
  <si>
    <t>Full accessibility pipeline verified end-to-end</t>
  </si>
  <si>
    <t>📊 Analytics accessibility UI E2E</t>
  </si>
  <si>
    <t>Validates the Analytics Dashboard accessibility tab: violations displayed correctly with correct severity counts and screen grouping.</t>
  </si>
  <si>
    <t>• Validates the Analytics Dashboard accessibility tab end-to-end, ensuring violations are displayed correctly with correct severity counts and screen grouping.
• Runs accessibility test, opens Analytics Dashboard, clicks Accessibility tab, and verifies summary cards are correct and filtered results match applied filters (WCAG Level=AA).
• Clicks Export button and verifies .xlsx file is downloaded with correct columns.</t>
  </si>
  <si>
    <t>• Must display Accessibility tab in Analytics Dashboard after accessibility run completes
• Must show correct violation counts in summary cards
• Must apply WCAG Level, Severity, Verdict, and Journey filters correctly
• Must generate .xlsx export with all required columns via Export button
• Must display verdict badges in correct colours (FAIL=red, WARN=amber)</t>
  </si>
  <si>
    <t>BE-08, BE-09, FE-02</t>
  </si>
  <si>
    <t>Accessibility results UI and export verified</t>
  </si>
  <si>
    <t>ICE SDK — Multi-Language Client Libraries</t>
  </si>
  <si>
    <t>FR-045</t>
  </si>
  <si>
    <t>ICE SDK</t>
  </si>
  <si>
    <t>Java SDK — all 17 methods:
init(), accessibility.analyse(),
visual.analyse(), performance.analyse(),
security.start/stop(),
performance.start/stop(),
responsiveness.check(),
mobile.analyse(), api.start/stop/capture(),
tag(), ignore(), flush()</t>
  </si>
  <si>
    <t>Implements the Java ICE SDK with all 17 analysis methods, providing the primary SDK for Selenium and Playwright Java test projects.</t>
  </si>
  <si>
    <t>• Implements the Java ICE SDK with all 17 analysis methods, providing the primary SDK for Selenium and Playwright Java test projects.
• Includes init(), accessibility.analyse(), visual.analyse(), performance.analyse(), security.start/stop(), performance.start/stop(), responsiveness.check(), mobile.analyse(), api.start/stop/record(), tag(), ignore(), and flush() methods.
• PerformanceObserver implementation is a key deliverable; performance.start(driver) injects the observer.</t>
  </si>
  <si>
    <t>• Must implement all 17 analysis methods callable from Java test scripts
• Must read ICE_RUN_CONFIG in init() method
• Must return in under 1ms for disabled library methods
• Must execute all analyse() methods asynchronously, returning immediately and posting results in background
• Must inject PerformanceObserver JS via CDP in performance.start() and confirm entries are collected after injection</t>
  </si>
  <si>
    <t>GitHub Copilot — async queue + CDP boilerplate + PerformanceObserver JS
Claude — PerformanceObserver entry type coverage + timing field mapping</t>
  </si>
  <si>
    <t>Java 17 · Selenium 4 · CDP DevTools API · CDP Runtime.evaluate (JS injection) · OkHttp · Maven · JUnit 5</t>
  </si>
  <si>
    <t>n/a — posts to ICE analyse receiver</t>
  </si>
  <si>
    <t>n/a</t>
  </si>
  <si>
    <t>journeyId, runId, screenName, label, type, dom, screenshot, metrics</t>
  </si>
  <si>
    <t>ENDPOINT YOU CALL (defined in BE-01):
POST /api/v1/analyse
Called asynchronously from background thread for all capture() methods.
Called synchronously from security.stop() and performance.stop().</t>
  </si>
  <si>
    <t>C# SDK — all 17 methods:
ice.Accessibility.Analyse()
ice.Visual.Analyse()
ice.Performance.Analyse()
ice.Security.Start/Stop()
ice.Responsiveness.Check()
  → calls localhost sidecar JAR
  → full .gspec DOM precision</t>
  </si>
  <si>
    <t>Implements the C# ICE SDK with all 17 analysis methods, calling the localhost sidecar JAR for full DOM-precision analysis.</t>
  </si>
  <si>
    <t>• Implements the C# ICE SDK with all 17 analysis methods, calling the localhost sidecar JAR for full DOM-precision analysis.
• PerformanceObserver implementation uses performance.Start(driver) to inject PerformanceObserver JavaScript via CDP using IDevTools (Selenium C#) or CDPSession (Playwright .NET).
• Uses driver.GetDevToolsSession() and session.SendCommand() to inject observer code.</t>
  </si>
  <si>
    <t>• Must implement all 17 analysis methods for Selenium C# and Playwright .NET
• Must inject PerformanceObserver JS via IDevTools/CDPSession in performance.Start(driver)
• Must collect all 7 entry types correctly in Chrome using PerformanceObserver
• Must read window.performance.timing synchronously in performance.Analyse()
• Must read PerformanceObserver entries in performance.Stop()</t>
  </si>
  <si>
    <t>GitHub Copilot — C# async/await + CDP boilerplate
Claude — IDevTools vs CDPSession branching + PerformanceObserver JS injection</t>
  </si>
  <si>
    <t>.NET 6+ · Selenium C# 4 · Playwright .NET · IDevTools · CDPSession · HttpClient · NuGet</t>
  </si>
  <si>
    <t>Same payload as Java SDK</t>
  </si>
  <si>
    <t>ENDPOINT YOU CALL (defined in BE-01): POST /api/v1/analyse</t>
  </si>
  <si>
    <t>Python SDK — all 17 methods:
ice.accessibility.analyse()
ice.visual.analyse()
ice.performance.analyse()
ice.security.start/stop()
ice.responsiveness.check()
  → calls localhost sidecar JAR
  → full .gspec DOM precision</t>
  </si>
  <si>
    <t>Implements the Python ICE SDK with all 17 analysis methods, calling the localhost sidecar JAR for full DOM-precision analysis.</t>
  </si>
  <si>
    <t>• Implements the Python ICE SDK with all 17 analysis methods, calling the localhost sidecar JAR for full DOM-precision analysis.
• PerformanceObserver implementation uses ice.performance.start(driver) to inject PerformanceObserver JS via CDP.
• Uses driver.execute_cdp_cmd() (Selenium Python) or cdp.send() (Playwright Python) to inject observer code.</t>
  </si>
  <si>
    <t>• Must implement all 17 analysis methods for Selenium Python and Playwright Python
• Must inject PerformanceObserver JS via execute_cdp_cmd in ice.performance.start(driver)
• Must collect all 7 entry types correctly using PerformanceObserver
• Must read window.performance.timing synchronously in ice.performance.analyse()
• Must read PerformanceObserver entries in ice.performance.stop()</t>
  </si>
  <si>
    <t>GitHub Copilot — Python CDP boilerplate + RF keyword wrapper
Claude — execute_cdp_cmd vs Playwright CDPSession branching</t>
  </si>
  <si>
    <t>Python 3.9+ · Selenium Python 4 · Playwright Python · execute_cdp_cmd · requests · threading · PyPI · Robot Framework</t>
  </si>
  <si>
    <t>JS/TS SDK — all 17 methods:
await ice.accessibility.analyse()
await ice.visual.analyse()
await ice.performance.analyse()
await ice.security.start/stop()
await ice.responsiveness.check()
  → calls localhost sidecar JAR
  → full .gspec DOM precision</t>
  </si>
  <si>
    <t>Implements the JavaScript and TypeScript ICE SDK with all 17 async analysis methods, calling the localhost sidecar JAR for full DOM-precision analysis.</t>
  </si>
  <si>
    <t>• Implements the JavaScript and TypeScript ICE SDK with all 17 async analysis methods, calling the localhost sidecar JAR for full DOM-precision analysis.
• PerformanceObserver implementation uses await ice.performance.start(page) to inject PerformanceObserver JS via CDP.
• Uses page.context().newCDPSession() and cdp.send() (Playwright) or browser.cdp() (WebdriverIO) to inject observer code.</t>
  </si>
  <si>
    <t>• Must implement all 17 async analysis methods for Playwright and WebdriverIO
• Must inject PerformanceObserver JS via CDP session when performance.start(page) is called
• Must collect all 7 PerformanceEntry types (navigation, resource, paint, mark, measure, longtask, largest-contentful-paint) correctly
• Must read window.performance.timing when performance.analyse() is invoked
• Must read window.__icePerf and return all entries since start when performance.stop() is called
• Must call the localhost sidecar JAR for full DOM-precision analysis</t>
  </si>
  <si>
    <t>GitHub Copilot — CDP session + async/await boilerplate
Claude — Playwright vs WebdriverIO CDP branching + TS type definitions</t>
  </si>
  <si>
    <t>Node.js · TypeScript · Playwright · WebdriverIO · CDPSession · axios · npm</t>
  </si>
  <si>
    <t>POST /api/v1/analyse
(central analyse receiver)</t>
  </si>
  <si>
    <t>Implements the central POST /api/v1/analyse receiver that accepts analysis requests from all SDK languages and routes them to the appropriate analysis service.</t>
  </si>
  <si>
    <t>• Implements the central POST /api/v1/analyse receiver that accepts analysis requests from all SDK languages and routes them to the appropriate analysis service.
• Accepts JSON payload containing journeyId, runId, screenName, label, type, dom, screenshot, pageMetrics, securityEvents, and performanceEvents.
• Routes to correct analysis service based on type field: accessibility to Axe service, visual to image diff service, performance to metrics parser, security to security analyser, and responsiveness to responsiveness checker.</t>
  </si>
  <si>
    <t>• Must return HTTP 202 immediately without blocking on analysis
• Must route payload to correct analysis service based on type field
• Must return HTTP 400 if required fields (journeyId, runId, type) are missing
• Must return HTTP 400 if type value is invalid
• Must require valid run JWT from ICE_RUN_CONFIG for authentication
• Must persist analysis request metadata to run_execution and write results to InfluxDB analyse_result measurement and be retrievable on subsequent reads</t>
  </si>
  <si>
    <t>GitHub Copilot — REST controller + routing logic
Claude — payload schema design</t>
  </si>
  <si>
    <t>Spring Boot · Spring MVC · OpenAPI 3.0 · JUnit 5</t>
  </si>
  <si>
    <t>InfluxDB + PostgreSQL</t>
  </si>
  <si>
    <t>run_execution, InfluxDB analyse_result measurement</t>
  </si>
  <si>
    <t>journeyId, runId, screenName, label, type, captured_at</t>
  </si>
  <si>
    <t>ENDPOINT YOU CREATE:
POST /api/v1/analyse
Auth: Bearer {run_jwt}
Body: {journeyId, runId, screenName, label, type,
       dom?, screenshot?, pageMetrics?,
       securityEvents?, performanceEvents?}
Response 202: {captureId, status: "queued"}
Error 400: missing required field
Error 401: invalid run JWT</t>
  </si>
  <si>
    <t>accessibility.analyse(label)
→ Axe analysis server-side</t>
  </si>
  <si>
    <t>Implements the accessibility.analyse() backend handler that runs the Axe accessibility pipeline (FR-044) for the current screen.</t>
  </si>
  <si>
    <t>• Implements the accessibility.analyse() backend handler that runs the Axe accessibility pipeline (FR-044) for the current screen.
• Receives capture payload from BE-01 router and runs Axe-core against DOM string.
• Writes violations to InfluxDB tagged with journeyId, runId, screenName, and label.</t>
  </si>
  <si>
    <t>• Must receive DOM string, run Axe-core, and return violations within 3 seconds
• Must write violations to InfluxDB accessibility_result measurement with correct tags
• Must return structured error without crashing if DOM is empty or HTML is unparseable
• Must write a clean result record (not null) when zero violations are found
• Must persist accessibility violations to accessibility_result measurement and be retrievable on subsequent reads</t>
  </si>
  <si>
    <t>enabled by FR-038 FE-04 (Accessibility Toggle)</t>
  </si>
  <si>
    <t>GitHub Copilot — Axe integration boilerplate
Claude — violation schema design</t>
  </si>
  <si>
    <t>Spring Boot · Axe-core (Node.js via Nashorn or REST bridge) · InfluxDB client</t>
  </si>
  <si>
    <t>InfluxDB</t>
  </si>
  <si>
    <t>accessibility_result measurement</t>
  </si>
  <si>
    <t>journeyId, runId, screenName, label, violation_id, impact, description, wcag_criterion, captured_at</t>
  </si>
  <si>
    <t>INTERNAL — called by BE-01 router. No direct HTTP endpoint.</t>
  </si>
  <si>
    <t>ice.visual.analyse(label)
→ SDK captures screenshot
→ POST /api/v1/analyse {type:"visual"}
→ Visual Diff Service: OpenCV SSIM
→ Region classification + tolerance check</t>
  </si>
  <si>
    <t>Implements the visual.analyse() backend handler that captures a screenshot and runs the OpenCV SSIM visual diff pipeline (FR-046).</t>
  </si>
  <si>
    <t>• Implements the visual.analyse() backend handler that captures a screenshot and runs the OpenCV SSIM visual diff pipeline (FR-046).
• Loads baseline from S3 for tenant+journeyId+screenName; on first run, stores screenshot as baseline and returns status=BASELINE_SET.
• Applies ignored regions mask, divides screenshot into 3x3 grid (9 regions), runs SSIM comparison per region using OpenCV, and classifies each region.</t>
  </si>
  <si>
    <t>• Must store screenshot as baseline on first run and return status=BASELINE_SET
• Must load baseline from S3 for tenant+journeyId+screenName on subsequent runs
• Must run SSIM comparison per region (9 regions per screenshot)
• Must classify each failed region as LAYOUT_SHIFT, CONTENT_CHANGE, or RENDERING_DIFFERENCE
• Must write result to InfluxDB with status, overallSimilarity, threshold, failedRegions[], diffImageUrl
• Must persist visual diff results to visual_result measurement and tolerance settings to visual_config and be retrievable on subsequent reads</t>
  </si>
  <si>
    <t>enabled by FR-038 FE-03 (Visual Testing Toggle); implemented by FR-046 BE-05 (Visual Diff Orchestrator)</t>
  </si>
  <si>
    <t>GitHub Copilot — image comparison boilerplate
Claude — baseline management design</t>
  </si>
  <si>
    <t>Spring Boot · Java · OpenCV (opencv-java) · AWS S3 / MinIO · InfluxDB client · Jackson</t>
  </si>
  <si>
    <t>InfluxDB + S3</t>
  </si>
  <si>
    <t>visual_result (InfluxDB measurement)
visual_config (PostgreSQL — tolerance settings)
S3: baseline screenshots + diff images</t>
  </si>
  <si>
    <t>visual_result: journeyId, runId, screenName, status, overallSimilarity, threshold, failedRegions (JSON), diffImageUrl, baselineUrl, captured_at
visual_config: tenant_id, screen_name, threshold, ignore_anti_aliasing, ignored_regions (JSONB)</t>
  </si>
  <si>
    <t>INTERNAL — called by BE-05 router.
Admin baseline reset:
DELETE /api/v1/visual/baseline
  ?tenantId={id}&amp;journeyId={id}&amp;screenName={name}
  Response 200: {message: "baseline cleared"}
Tolerance config:
GET  /api/v1/settings/visual-config
PUT  /api/v1/settings/visual-config
  Body: {globalThreshold, ignoreAntiAliasing,
         screenOverrides: [{screenName, threshold, ignoredRegions}]}</t>
  </si>
  <si>
    <t>performance.analyse(label)
+ performance.start/stop()
→ metrics parser server-side</t>
  </si>
  <si>
    <t>Implements the performance.analyse() backend handler that collects Core Web Vitals and passes them to the performance metrics parser.</t>
  </si>
  <si>
    <t>• Implements the performance.analyse() backend handler that collects Core Web Vitals and passes them to the performance metrics parser.
• Payload 1 sent by performance.analyse(label) contains window.performance.timing snapshot with NavigationTiming fields including navigationStart, fetchStart, domainLookupStart, domainLookupEnd, connectStart, connectEnd, requestStart, responseStart, responseEnd, domLoading, domInteractive, domContentLoadedEventEnd, and loadEventEnd.
• Derives performance metrics from timing data for analysis.</t>
  </si>
  <si>
    <t>• Must extract NavigationTiming fields (TTFB, DOMLoad, PageLoad, ServerTime, DNSLookup, TCPConnect) and write to InfluxDB
• Must extract LCP from largest-contentful-paint entries per screen
• Must aggregate CLS from layout-shift entries cumulatively per screen
• Must extract FID from first-input entries
• Must extract long tasks from longtask entries
• Must persist performance metrics to performance_result measurement with tags journeyId, runId, tenantId, screenName and be retrievable on subsequent reads</t>
  </si>
  <si>
    <t>enabled by FR-038 FE-05 (Performance Toggle)</t>
  </si>
  <si>
    <t>GitHub Copilot — InfluxDB write boilerplate + NavigationTiming parsing
Claude — PerformanceObserver entry type extraction + CLS aggregation logic</t>
  </si>
  <si>
    <t>Spring Boot · Jackson · InfluxDB Java client · NavigationTiming API spec · Web Vitals spec (LCP/CLS/FID/INP)</t>
  </si>
  <si>
    <t>performance_result (InfluxDB measurement)
Tags: journeyId, runId, tenantId, screenName, entryType, metricName
Fields: value (ms or score), url (AJAX only), transferSize (AJAX only)</t>
  </si>
  <si>
    <t>NavigationTiming derived: TTFB, DOMLoad, PageLoad, ServerTime, DNSLookup, TCPConnect
Core Web Vitals: LCP (ms), CLS (score), FID (ms), FCP (ms), FP (ms)
Interaction: LongTask (duration ms, count)
AJAX: url, duration, transferSize, requestStart, responseEnd</t>
  </si>
  <si>
    <t>security.start(driver)
security.stop()
→ security analysis server-side</t>
  </si>
  <si>
    <t>Implements the security.start() and security.stop() backend handlers that bracket the CDP network capture session for security and JMX analysis.</t>
  </si>
  <si>
    <t>• Implements the security.start() and security.stop() backend handlers that bracket the CDP network capture session for security and JMX analysis.
• Receives array of CDP network events (requests and responses) from security.stop().
• Checks for missing security headers (HSTS, X-Frame-Options, CSP, X-Content-Type), auth tokens exposed in URLs or response bodies, cookies without Secure/HttpOnly/SameSite flags, HTTP (non-HTTPS) requests, and sensitive data patterns in response bodies.</t>
  </si>
  <si>
    <t>• Must run all configured security checks against captured CDP network events (requests and responses)
• Must write each finding to InfluxDB with severity, description, URL, header/cookie name
• Must write clean result record when zero findings are detected
• Must allow tenant admin to enable/disable checks per check type
• Must persist security findings to security_result measurement and be retrievable on subsequent reads</t>
  </si>
  <si>
    <t>enabled by FR-038 FE-06 (Security Toggle)</t>
  </si>
  <si>
    <t>GitHub Copilot — header check boilerplate
Claude — security rule design</t>
  </si>
  <si>
    <t>Spring Boot · OWASP patterns · InfluxDB client · Jackson</t>
  </si>
  <si>
    <t>security_result measurement</t>
  </si>
  <si>
    <t>journeyId, runId, check_type, severity, url, description, captured_at</t>
  </si>
  <si>
    <t>ice.responsiveness.check(screen, driver, viewports)
→ Galen Sidecar JAR attaches to live session
→ Full .gspec DOM rule checking
→ Docker image: changepond/ice-galen-sidecar</t>
  </si>
  <si>
    <t>Implements the responsiveness.check() backend handler that triggers the Galen sidecar JAR to run .gspec DOM rule checks on the current page.</t>
  </si>
  <si>
    <t>• Implements the responsiveness.check() backend handler that triggers the Galen sidecar JAR to run .gspec DOM rule checks on the current page.
• Accepts screenName, sessionId, hubUrl, viewports[], and specFile, then attaches to the existing browser session via RemoteWebDriver + sessionId.
• Resizes the live browser viewport to each configured size, runs native Galen .gspec checks with full DOM access at 1px rule precision, and restores the browser to its original viewport.</t>
  </si>
  <si>
    <t>• Must start sidecar and confirm ready within 5 seconds
• Must attach to existing browser session via sessionId preserving same browser state
• Must run full .gspec DOM checks at each viewport with 1px precision
• Must restore browser viewport to original size after checks complete
• Must return violations as structured JSON matching Galen output format</t>
  </si>
  <si>
    <t>enabled by FR-038 FE-07 (Self-Healing Toggle)</t>
  </si>
  <si>
    <t>GitHub Copilot — Spring Boot REST + Galen Java integration boilerplate
Claude — session attachment design + Docker config</t>
  </si>
  <si>
    <t>Java 17 · Spring Boot · Galen Framework · RemoteWebDriver · Docker · Maven</t>
  </si>
  <si>
    <t>n/a — returns violations to calling SDK</t>
  </si>
  <si>
    <t>n/a — no DB write; violations returned to SDK which posts to ICE receiver</t>
  </si>
  <si>
    <t>journeyId, runId, screenName, viewport, element, issue, captured_at</t>
  </si>
  <si>
    <t>ENDPOINT YOU CREATE (local HTTP — not on ICE server):
POST http://localhost:{port}/check
Body: {
  screenName: string,
  sessionId:  string,
  hubUrl:     string,  // e.g. http://localhost:4444
  viewports:  string[], // ["1280x800","768x1024","375x667"]
  specFile:   string   // path to .gspec file
}
Response 200: {
  screenName: string,
  viewports: {
    "1280x800": { violations: [], status: "PASS" },
    "768x1024": { violations: [{element, rule, actual, spec}], status: "FAIL" }
  }
}
Response 404: spec file not found
Response 500: session attachment failed</t>
  </si>
  <si>
    <t>ScriptBridge injects:
ice-sdk-java (Maven)
ICE.Client (NuGet)
ice-sdk-python (pip)
ice-sdk-js (npm)
+ ICE_RUN_CONFIG env var
+ starts ice-galen-sidecar
+ assigns unique port per run</t>
  </si>
  <si>
    <t>Implements the ScriptBridge SDK injection, adding the correct SDK dependency and ICE_RUN_CONFIG environment variable to each generated script before pushing to Git.</t>
  </si>
  <si>
    <t>• Implements the ScriptBridge SDK injection, adding the correct SDK dependency and ICE_RUN_CONFIG environment variable to each generated script before execution.
• Sidecar startup options are provided in priority order: Option A uses Docker (docker run -p {port}:7890 changepond/ice-galen-sidecar), Option B uses JAR (java -jar ice-galen-sidecar.jar --port {port}), and Option C assumes the sidecar is already running with client-managed lifecycle.
• ScriptBridge detects which startup option is available at runtime and configures accordingly.</t>
  </si>
  <si>
    <t>• Must inject correct SDK dependency based on automation_language
• Must start sidecar before test execution and confirm ready via health check
• Must assign unique port per run to avoid conflict in parallel execution
• Must include sidecar_port field in ICE_RUN_CONFIG
• Must stop sidecar cleanly after test completes with no orphan processes</t>
  </si>
  <si>
    <t>enabled by FR-038 FE-07 (Self-Healing Toggle); uses FR-023 BE-04 (ScriptBridge)</t>
  </si>
  <si>
    <t>GitHub Copilot — project file injection boilerplate
Claude — multi-language injection design</t>
  </si>
  <si>
    <t>Spring Boot · Maven/Gradle API · NuGet CLI · pip · npm · ScriptBridge (FR-040)</t>
  </si>
  <si>
    <t>journey (git_config_id, automation_language), run_execution</t>
  </si>
  <si>
    <t>automation_language, runId, journeyId, test_types[]</t>
  </si>
  <si>
    <t>INTERNAL — extension of FR-043 ScriptBridge execution flow.</t>
  </si>
  <si>
    <t>All 17 methods — Java journey
Full 5-library E2E</t>
  </si>
  <si>
    <t>Validates all 17 SDK methods using a Java test journey, confirming each method calls the correct backend handler and returns the expected result.</t>
  </si>
  <si>
    <t>• Validates all 17 SDK methods using a Java test journey, confirming each method calls the correct backend handler and returns the expected result.
• E2E test triggers a run for a Java journey with all 5 libraries enabled and verifies all capture data lands correctly in InfluxDB and is visible in the Analytics dashboard.
• Test flow includes triggering the run, executing the journey with ice-sdk-java, verifying accessibility results in InfluxDB per screen, and verifying visual baseline storage.</t>
  </si>
  <si>
    <t>• Must produce results in InfluxDB for all 5 libraries (accessibility, visual, performance, security, responsiveness)
• Must tag results correctly with journeyId, runId, screenName
• Must display breakdown per screen per library in analytics dashboard
• Must produce visual diff (not baseline_set) on second run
• Must complete run within acceptable time bounds</t>
  </si>
  <si>
    <t>Playwright AI — E2E test generation
Claude — result verification scenarios</t>
  </si>
  <si>
    <t>TestNG · Selenium Java · ice-sdk-java · InfluxDB · GitHub Actions</t>
  </si>
  <si>
    <t>All SDK result measurements</t>
  </si>
  <si>
    <t>All captured fields verified</t>
  </si>
  <si>
    <t>All SDK endpoints under test.</t>
  </si>
  <si>
    <t>All 17 methods — C# journey
Full 5-library E2E</t>
  </si>
  <si>
    <t>Validates all 17 SDK methods using a C# test journey, confirming the sidecar JAR integration works correctly for all analysis types.</t>
  </si>
  <si>
    <t>• Validates all 17 SDK methods using a C# test journey, confirming the sidecar JAR integration works correctly for all analysis types.
• E2E test executes the same journey with a C# script using ICE.Client NuGet and verifies the same results land in InfluxDB as the Java journey.
• Key differences verified include responsiveness.check() using screenshot-based approach with Galen server-side, CDP via IDevTools for security and performance capture, and results identical to Java run for the same journey.</t>
  </si>
  <si>
    <t>• Must produce results for all 5 libraries using same InfluxDB schema as Java
• Must include responsiveness results confirming server-side Galen ran on screenshots
• Must complete run without NUnit [SetUp]/[TearDown] annotation conflicts
• Must complete run without errors</t>
  </si>
  <si>
    <t>Playwright AI — C# E2E test generation</t>
  </si>
  <si>
    <t>NUnit · Selenium C# · ICE.Client · GitHub Actions</t>
  </si>
  <si>
    <t>accessibility.analyse()
performance.analyse()
All others → no-op</t>
  </si>
  <si>
    <t>Validates the Python SDK for accessibility and performance analysis, confirming the two primary analysis types work correctly in Python.</t>
  </si>
  <si>
    <t>• Validates the Python SDK for accessibility and performance analysis, confirming the two primary analysis types work correctly in Python.
• E2E test runs with only Accessibility + Performance enabled and verifies that Visual, Security, and Responsiveness capture methods return in &lt;1ms as no-ops.
• Verifies no visual/security/responsiveness data is posted to the analyse receiver, only accessibility and performance results appear in InfluxDB, and the run completes faster than a full 5-library run.</t>
  </si>
  <si>
    <t>• Must return disabled library capture() calls in under 1ms
• Must post no capture data for disabled libraries (Visual, Security, Responsiveness)
• Must write only accessibility and performance results to InfluxDB
• Must correctly parse ICE_RUN_CONFIG in SDK init()</t>
  </si>
  <si>
    <t>Claude — selective run verification scenarios</t>
  </si>
  <si>
    <t>TestNG · ice-sdk-java · GitHub Actions</t>
  </si>
  <si>
    <t>SDK result measurements (verified empty for disabled types)</t>
  </si>
  <si>
    <t>Absence of disabled library results verified</t>
  </si>
  <si>
    <t>POST /api/v1/analyse verified not called for disabled libraries.</t>
  </si>
  <si>
    <t>OpenCV Integration &amp; Visual Diff</t>
  </si>
  <si>
    <t>FR-046</t>
  </si>
  <si>
    <t>OpenCV Java integration
(image loading, SSIM, Mat operations)</t>
  </si>
  <si>
    <t>Provides the OpenCV Java utility library for image loading, MIME conversion, grayscale transformation, and region-of-interest cropping used by the visual diff pipeline.</t>
  </si>
  <si>
    <t>• Provides the OpenCV Java utility library for image loading, MIME conversion, grayscale transformation, and region-of-interest cropping used by the visual diff engine.
• Utilities include Base64 → BufferedImage → OpenCV Mat conversion, image resize with aspect-ratio preservation, grayscale conversion for SSIM, region-of-interest cropping, and Mat → BufferedImage → Base64 for output.
• Packaged as the ice-opencv-utils internal library for use across visual analysis components.</t>
  </si>
  <si>
    <t>• Must correctly decode Base64 string to OpenCV Mat
• Must resize image preserving aspect ratio
• Must perform grayscale conversion correctly
• Must crop ROI accurately to pixel coordinates
• Must perform lossless round-trip Base64→Mat→Base64 conversion</t>
  </si>
  <si>
    <t>Java + OpenCV 4.x</t>
  </si>
  <si>
    <t>Java + OpenCV</t>
  </si>
  <si>
    <t>Internal library: ice-opencv-utils</t>
  </si>
  <si>
    <t>Used by BE-04, BE-05, BE-06</t>
  </si>
  <si>
    <t>visual.analyse() SDK call
→ baseline storage service</t>
  </si>
  <si>
    <t>Manages baseline screenshot storage and retrieval, storing the first-run screenshot as the baseline in S3/GCS and retrieving it for subsequent SSIM comparisons.</t>
  </si>
  <si>
    <t>• Manages baseline screenshot storage and retrieval, storing the first-run screenshot as the baseline in S3/GCS and retrieving it for subsequent SSIM comparison.
• On first run when no baseline exists, stores the current screenshot as baseline in configured storage (S3/GCS from FR-032 BE-01 config) and returns BASELINE_SET.
• On subsequent runs, retrieves the baseline for tenant+journey+screenName for comparison with the current screenshot.</t>
  </si>
  <si>
    <t>• Must store the current screenshot as baseline in S3/GCS at path {tenant}/{journey_id}/{screen_name}/baseline.png on first run when no baseline exists and return BASELINE_SET
• Must retrieve the correct baseline screenshot for the given tenant+journey+screenName combination on subsequent runs
• Must overwrite the existing baseline on explicit reset triggered by FR-032 FE-06
• Must use storage configuration from FR-035 BE-01 for S3/GCS credentials and bucket/path settings
• Must persist baseline metadata to baselines/{tenant}/{journey_id}/{screen_name} and be retrievable on subsequent reads</t>
  </si>
  <si>
    <t>FR-032 BE-01, FR-032 BE-02</t>
  </si>
  <si>
    <t>Spring Boot + S3/GCS SDK</t>
  </si>
  <si>
    <t>S3/GCS</t>
  </si>
  <si>
    <t>baselines/{tenant}/{journey_id}/{screen_name}</t>
  </si>
  <si>
    <t>baseline.png</t>
  </si>
  <si>
    <t>GET/PUT /api/v1/visual/baseline/{tenant}/{journey_id}/{screen_name}</t>
  </si>
  <si>
    <t>Baseline available for SSIM comparison (BE-04)</t>
  </si>
  <si>
    <t>visual.analyse() SDK call
→ config reader</t>
  </si>
  <si>
    <t>Reads the visual testing configuration at runtime (threshold, ignore regions) from the tenant's visual_testing_config record for use in the SSIM comparison.</t>
  </si>
  <si>
    <t>• Reads the visual testing configuration at runtime (threshold, ignore regions) from the tenant's visual_testing_config record for use in the SSIM comparison.
• Resolves the effective visual testing config for a given journey + screen by reading from FR-032 BE-01 stored config, including global threshold, per-screen threshold override (if set), and ignore regions list.
• Returns VisualConfig{threshold, ignoreRegions[]} to the orchestrator for use in visual diff processing.</t>
  </si>
  <si>
    <t>• Must return the per-screen threshold override if set, otherwise return the global threshold for the tenant
• Must return ignore regions as a list of objects with {x, y, width, height} properties
• Must return default configuration (threshold=0.95, ignoreRegions=[]) if no visual_testing_config record exists for the tenant
• Must cache the resolved configuration per tenant with a TTL of 5 minutes to reduce database reads
• Must read configuration from the visual_testing_config table stored by FR-032 BE-01</t>
  </si>
  <si>
    <t>FR-032 BE-01, FR-032 BE-03</t>
  </si>
  <si>
    <t>visual_testing_config</t>
  </si>
  <si>
    <t>threshold, ignore_regions</t>
  </si>
  <si>
    <t>Internal: GET visual config for tenant+screen</t>
  </si>
  <si>
    <t>Config passed to SSIM engine (BE-04)</t>
  </si>
  <si>
    <t>Core comparison engine
SSIM per region → LAYOUT_SHIFT / CONTENT_CHANGE</t>
  </si>
  <si>
    <t>Runs the SSIM comparison engine, computing per-region similarity scores on a 16x9 grid and classifying each region as CONTENT_CHANGE, LAYOUT_SHIFT, or PASS.</t>
  </si>
  <si>
    <t>• Runs the SSIM comparison engine, computing per-region similarity scores on a 16x9 grid and classifying each region as CONTENT_CHANGE, LAYOUT_SHIFT, or PASS.
• Resizes current screenshot to match baseline dimensions (BE-01), applies ignore regions mask (BE-03 config), and computes SSIM score overall and per grid region (16×9 grid).
• Classifies each region where SSIM &lt; threshold → CONTENT_CHANGE, significant bounding box shift → LAYOUT_SHIFT, else PASS, and returns overall_score, verdict (PASS/FAIL/WARNING), and regions[] array.</t>
  </si>
  <si>
    <t>• Must resize the current screenshot to match baseline dimensions before performing SSIM comparison
• Must mask out all ignore regions from both baseline and current screenshots before computing SSIM scores
• Must compute per-region SSIM scores on a 16×9 grid and store individual region scores
• Must correctly classify each failing region as either CONTENT_CHANGE or LAYOUT_SHIFT based on SSIM characteristics
• Must return an overall verdict of FAIL if any region's SSIM score falls below the configured threshold, otherwise PASS</t>
  </si>
  <si>
    <t>Java + OpenCV SSIM</t>
  </si>
  <si>
    <t>Internal: compare(current, baseline, config) → VisualDiffResult</t>
  </si>
  <si>
    <t>Result passed to BE-05 orchestrator</t>
  </si>
  <si>
    <t>Orchestrates: BE-02 (baseline)
+ BE-03 (config)
+ BE-04 (SSIM engine)
+ BE-06 (diff image)</t>
  </si>
  <si>
    <t>Orchestrates the full visual diff pipeline: baseline retrieval, config loading, SSIM comparison, and annotated diff image generation.</t>
  </si>
  <si>
    <t>• Orchestrates the full visual diff pipeline: baseline retrieval, config loading, SSIM comparison, and annotated diff image generation.
• Pipeline decodes Base64 screenshot → Mat (BE-01), checks baseline exists (BE-02) and stores if not, loads VisualConfig (BE-03), runs SSIM comparison (BE-04), and generates annotated diff image if FAIL/WARNING (BE-06).
• Writes result to visual_diff_results table and is called by FR-045 BE-07 (Visual Diff Analysis Service).</t>
  </si>
  <si>
    <t>• Must execute the full pipeline end-to-end: decode Base64 screenshot, check/store baseline, load config, run SSIM, generate diff image
• Must return BASELINE_SET verdict on first run when no baseline exists
• Must return correct PASS/FAIL/WARNING verdict based on SSIM comparison results and threshold
• Must generate and store an annotated diff image to S3/GCS on FAIL or WARNING verdicts
• Must be callable from FR-045 BE-07 as part of the screenshot capture workflow
• Must persist the comparison result (verdict, SSIM scores, diff image URL, timestamp) to visual_diff_results and be retrievable on subsequent reads</t>
  </si>
  <si>
    <t>BE-01, BE-02, BE-03, BE-04, BE-06, FR-045 BE-07</t>
  </si>
  <si>
    <t>visual_diff_results</t>
  </si>
  <si>
    <t>journey_id, screen_name, verdict, overall_score, regions[], diff_image_url</t>
  </si>
  <si>
    <t>POST /api/v1/visual/analyse → VisualDiffResult{}</t>
  </si>
  <si>
    <t>Result returned to FR-045 BE-07; diff image in BE-06</t>
  </si>
  <si>
    <t>Generates annotated diff image
Red = FAIL regions
Yellow = WARNING regions</t>
  </si>
  <si>
    <t>Generates the annotated diff image by overlaying red (CONTENT_CHANGE) and yellow (LAYOUT_SHIFT) rectangles with SSIM score labels on the current screenshot.</t>
  </si>
  <si>
    <t>• Generates the annotated diff image by overlaying red (CONTENT_CHANGE) and yellow (LAYOUT_SHIFT) rectangles with SSIM score labels on the current screenshot.
• Output image layers include base current screenshot, red rectangles on CONTENT_CHANGE regions, yellow rectangles on LAYOUT_SHIFT regions, SSIM score label per region, and overall verdict watermark.
• Encoded as Base64 PNG, stored to S3/GCS alongside baseline, and URL returned in VisualDiffResult.</t>
  </si>
  <si>
    <t>• Must overlay red rectangles on all regions classified as CONTENT_CHANGE
• Must overlay yellow rectangles on all regions classified as LAYOUT_SHIFT
• Must label each annotated region with its computed SSIM score as text overlay
• Must add an overall verdict watermark (FAIL or WARNING) to the diff image
• Must store the generated diff image to S3/GCS at path diffs/{tenant}/{journey_id}/{run_id}/{screen_name}_diff.png and return the storage URL</t>
  </si>
  <si>
    <t>BE-01, BE-04, FR-032 BE-01</t>
  </si>
  <si>
    <t>Java + OpenCV drawing</t>
  </si>
  <si>
    <t>diffs/{tenant}/{journey_id}/{run_id}/{screen_name}_diff.png</t>
  </si>
  <si>
    <t>diff_image_url</t>
  </si>
  <si>
    <t>Internal: generateDiff(current, baseline, regions) → diff_image_url</t>
  </si>
  <si>
    <t>Diff image URL in VisualDiffResult; displayed in Analytics</t>
  </si>
  <si>
    <t>Full E2E:
Run 1 → BASELINE_SET
Run 2 (same) → PASS
Run 3 (changed) → FAIL + diff image</t>
  </si>
  <si>
    <t>Validates the full visual diff pipeline across three runs: Run 1 sets the baseline, Run 2 passes with matching UI, Run 3 fails and generates an annotated diff image.</t>
  </si>
  <si>
    <t>• Validates the full visual diff pipeline across three runs: Run 1 sets the baseline, Run 2 passes with matching UI, Run 3 fails and generates an annotated diff image.
• E2E test runs the journey 3 times with Run 1 capturing first screenshot → BASELINE_SET and storing baseline in S3, Run 2 with no UI change → PASS with SSIM ≥ threshold.
• Run 3 with UI changed (button moved) → FAIL, annotated diff image generated, and regions[] shows LAYOUT_SHIFT classification.</t>
  </si>
  <si>
    <t>• Must execute Run 1 and receive BASELINE_SET verdict with baseline screenshot stored to S3/GCS
• Must execute Run 2 with matching UI and receive PASS verdict with SSIM score ≥ configured threshold
• Must execute Run 3 with modified UI and receive FAIL verdict with LAYOUT_SHIFT regions detected
• Must generate and store an annotated diff image to S3/GCS on Run 3 with red/yellow region overlays
• Must persist all three run results (BASELINE_SET, PASS, FAIL) with timestamps and scores to visual_diff_results table</t>
  </si>
  <si>
    <t>BE-01 to BE-06, FR-045 BE-07, FR-032 BE-01</t>
  </si>
  <si>
    <t>Playwright AI + fixture pages</t>
  </si>
  <si>
    <t>Full visual diff pipeline verified end-to-end</t>
  </si>
  <si>
    <t>IDesignProvider &amp; Design Sync</t>
  </si>
  <si>
    <t>FR-047</t>
  </si>
  <si>
    <t>Design provider abstraction — internal</t>
  </si>
  <si>
    <t>Defines the IDesignProvider Java interface with methods for listing screens and retrieving screen specs, and implements the adapter pattern for design tool integration.</t>
  </si>
  <si>
    <t>• Defines the IDesignProvider Java interface with methods for listing screens and retrieving screen specs, and implements the adapter pattern for design tool integration.
• IDesignProvider interface includes listScreens(fileId) → List&lt;String&gt;, getScreenSpec(fileId, screenName) → DesignSpec, and testConnection(config) → ConnectionResult.
• FigmaAdapter implements IDesignProvider and DesignProviderFactory resolves the correct adapter from FR-035 BE-01 provider config.</t>
  </si>
  <si>
    <t>• Must define IDesignProvider interface with methods: listScreens(fileId), getScreenSpec(fileId, screenName), and testConnection(token, fileUrl)
• Must implement FigmaAdapter class that implements all IDesignProvider methods using Figma REST API
• Must implement DesignProviderFactory that resolves the correct adapter instance based on provider type from FR-035 design_configs
• Must have testConnection() method return boolean result indicating whether token and file access are valid
• Must design the interface to support future provider implementations (Sketch, Adobe XD) without interface changes</t>
  </si>
  <si>
    <t>FR-035 BE-01</t>
  </si>
  <si>
    <t>Java</t>
  </si>
  <si>
    <t>Internal: IDesignProvider interface + FigmaAdapter</t>
  </si>
  <si>
    <t>Used by BE-02, BE-06</t>
  </si>
  <si>
    <t>Figma REST API integration</t>
  </si>
  <si>
    <t>Implements the Figma adapter using the Figma REST API, fetching frame names and layer bounds from the configured Figma file.</t>
  </si>
  <si>
    <t>• Implements the Figma adapter using the Figma REST API, fetching frame names and layer bounds from the configured Figma file.
• listScreens uses GET /v1/files/{fileId} to extract frame names, while getScreenSpec uses GET /v1/files/{fileId}/nodes to extract layers, bounds, and component names per screen.
• Authentication is performed via Bearer token from FR-035 BE-01 config for all Figma API requests.</t>
  </si>
  <si>
    <t>• Must implement listScreens() to call GET /v1/files/{fileId} and extract all frame names from the Figma file
• Must implement getScreenSpec() to call GET /v1/files/{fileId}/nodes and return layer names with absolute bounds for the specified screen
• Must authenticate all Figma API calls using the token retrieved from FR-035 BE-01 design_configs
• Must handle HTTP 429 rate limit responses by retrying the request with exponential backoff
• Must implement testConnection() to validate token and file access by attempting a GET /v1/files/{fileId} call and returning success/failure</t>
  </si>
  <si>
    <t>BE-01, FR-035 BE-01</t>
  </si>
  <si>
    <t>Java + Figma REST API</t>
  </si>
  <si>
    <t>GET https://api.figma.com/v1/files/{fileId}</t>
  </si>
  <si>
    <t>DesignSpec passed to BE-04</t>
  </si>
  <si>
    <t>Runtime — reads FR-032 config for sync</t>
  </si>
  <si>
    <t>Reads the design integration configuration at runtime from the tenant's design_config record, providing the file URL, token, and auto-sync flag to the orchestrator.</t>
  </si>
  <si>
    <t>• Reads the design integration configuration at runtime from the tenant's design_config record, providing the file URL, token, and auto-sync flag to the design sync orchestrator.
• Reads the FR-035 BE-01 stored design config including Figma file URL, access token, provider type, auto-sync enabled flag, and mapped journeys[].
• Returns DesignConfig to BE-06 orchestrator before each sync and caches config per tenant with a 5-minute TTL.</t>
  </si>
  <si>
    <t>• Must read the design_configs record stored by FR-035 BE-01 for the given tenant
• Must return provider type (e.g., FIGMA), file URL, authentication token, and auto-sync flag from the configuration
• Must return the list of journey IDs mapped to the design file
• Must cache the configuration per tenant with a TTL of 5 minutes to reduce database reads
• Must return null if no design_configs record exists for the tenant, allowing the orchestrator to skip sync</t>
  </si>
  <si>
    <t>design_configs</t>
  </si>
  <si>
    <t>provider, figma_file_url, access_token, auto_sync, journey_ids[]</t>
  </si>
  <si>
    <t>Internal: GET design config for tenant</t>
  </si>
  <si>
    <t>Config passed to BE-06 orchestrator</t>
  </si>
  <si>
    <t>Stores raw Figma spec + element mappings</t>
  </si>
  <si>
    <t>Stores the raw Figma screen specifications and user-defined layer-to-CSS-selector element mappings in the ICE database, keyed by journey and screen name.</t>
  </si>
  <si>
    <t>• Stores raw Figma screen specifications and user-defined layer-to-CSS-selector element mappings in the ICE database, keyed by tenant, journey_id, and screen_name.
• Two tables are used: design_specs stores the DesignSpec (layers, bounds) after Figma API pull, and element_mappings stores user-defined layer→CSS selector mappings from FE-02.
• Both storage operations are keyed by tenant+journey_id+screen_name and persist data from Figma API (BE-02) and the mapping UI (FE-02).</t>
  </si>
  <si>
    <t>• Must store the DesignSpec (layers with bounds) in design_specs table keyed by tenant, journey_id, and screen_name
• Must persist user-defined layer-to-CSS-selector element mappings from FR-047 FE-02 to element_mappings table
• Must upsert on re-sync: overwrite the DesignSpec in design_specs while preserving existing element mappings
• Must allow element_mappings to be queried by journey_id to retrieve all mappings for a journey
• Must make stored specs and mappings available to BE-05 for .gspec file generation
• Must persist DesignSpec to design_specs and element mappings to element_mappings and be retrievable on subsequent reads</t>
  </si>
  <si>
    <t>BE-02, FR-035 BE-01</t>
  </si>
  <si>
    <t>design_specs, element_mappings</t>
  </si>
  <si>
    <t>tenant_id, journey_id, screen_name, layers[], bounds[], css_selector</t>
  </si>
  <si>
    <t>POST /api/v1/design/spec/{journey_id}/{screen_name}</t>
  </si>
  <si>
    <t>Spec + mappings available for BE-05 .gspec generation</t>
  </si>
  <si>
    <t>Reads design_spec + element_mappings
→ generates .gspec → Git push</t>
  </si>
  <si>
    <t>Reads the stored design specs and element mappings to generate Galen .gspec files with @objects and @spec blocks, then pushes them to Git via FR-018.</t>
  </si>
  <si>
    <t>• Reads stored design specs and element mappings from BE-04 to generate Galen .gspec files with @objects and @spec blocks.
• The .gspec file contains an @objects block with one entry per mapped element (layerName selector) and an @spec block with bounds checks per element using design spec coordinates.
• Pushes the generated .gspec file to Git via FR-018 BE-04 Push Operation.</t>
  </si>
  <si>
    <t>• Must generate an @objects block in the .gspec file with one entry per mapped element in the format: layerName selector
• Must generate an @spec block with bounds checks (x, y, width, height) derived from the design spec for each mapped element
• Must apply the configured tolerance (default ±5px from FR-035 design_configs) to all bounds checks in the @spec block
• Must push the generated .gspec file to the Git repository via FR-018 BE-04 at path {script_path_prefix}/specs/{screen_name}.gspec
• Must generate valid Galen Framework syntax that can be executed by the Galen test runner</t>
  </si>
  <si>
    <t>BE-04, FR-018 BE-04</t>
  </si>
  <si>
    <t>Java + FR-043</t>
  </si>
  <si>
    <t>Internal: generate .gspec → FR-018 BE-04 push</t>
  </si>
  <si>
    <t>.gspec in Git; used by Galen sidecar (FR-045 BE-10)</t>
  </si>
  <si>
    <t>Sync from Figma button / FR-032 BE-03 webhook</t>
  </si>
  <si>
    <t>Orchestrates the full design sync pipeline per journey: pulls specs from Figma, stores them, generates .gspec files, and logs the sync result.</t>
  </si>
  <si>
    <t>• Orchestrates the full design sync pipeline per journey: loads DesignConfig (BE-03), calls BE-02 getScreenSpec for each screen, stores specs (BE-04), generates .gspec files (BE-05), and records sync timestamp.
• Triggered by two events: FE-02 'Sync from Figma' button click OR FR-035 BE-03 webhook on Figma file update.
• Executes the pipeline sequentially for each screen in the journey and logs the sync result.</t>
  </si>
  <si>
    <t>• Must execute the full pipeline for all screens in a journey: load DesignConfig (BE-03), call BE-02 getScreenSpec per screen, store specs (BE-04), generate .gspec files (BE-05)
• Must be triggerable by both the manual 'Sync Now' button from FR-047 FE-02 and the Figma webhook from FR-035 BE-03
• Must process each screen independently: store DesignSpec to design_specs and push .gspec file to Git via FR-018 BE-04
• Must handle partial failures by logging failed screens and continuing to process remaining screens without aborting the entire sync
• Must persist sync completion timestamp and status (success/partial/failure) to design_sync_log and be retrievable on subsequent reads</t>
  </si>
  <si>
    <t>BE-02, BE-03, BE-04, BE-05, FR-035 BE-01, FR-035 BE-03</t>
  </si>
  <si>
    <t>design_sync_log</t>
  </si>
  <si>
    <t>journey_id, screen_name, synced_at, status</t>
  </si>
  <si>
    <t>POST /api/v1/design/sync/{journey_id}</t>
  </si>
  <si>
    <t>.gspec files in Git for all screens; Galen can execute</t>
  </si>
  <si>
    <t>Automate screen — element mapping table
+ Sync from Figma button</t>
  </si>
  <si>
    <t>Renders the element mapping table on the Automate screen with Figma layer names and CSS selector inputs, plus a Sync from Figma button.</t>
  </si>
  <si>
    <t>• Renders the element mapping table on the Automate screen with Figma layer names and CSS selector inputs, plus a 'Sync from Figma' button.
• The 'Sync from Figma' button triggers POST /design/sync/{journey_id} (BE-06), and the Save mappings button persists mappings to BE-04.
• Displays sync status badge per screen (SYNCED/STALE/NEVER) and table rows represent screens with columns for Figma layer name and CSS selector input.</t>
  </si>
  <si>
    <t>• Must trigger POST /design/sync/{journey_id} when 'Sync from Figma' button is clicked
• Must render element mapping table showing all screens with Figma layer names and CSS selector inputs
• Must display sync status badge per screen reflecting current sync state
• Must show spinner during sync operation and hide when sync completes or fails
• Must save CSS selector input changes via BE-04 endpoint when Save mappings button is pressed</t>
  </si>
  <si>
    <t>Element mappings saved; .gspec pushed to Git</t>
  </si>
  <si>
    <t>Full E2E: Figma API → DB → .gspec → Git → Galen</t>
  </si>
  <si>
    <t>Validates the full design sync pipeline: Figma API called, specs stored, .gspec generated and pushed to Git with correct @objects and @spec content.</t>
  </si>
  <si>
    <t>• Validates the full design sync pipeline end-to-end: Figma API called, specs stored, .gspec generated and pushed to Git with correct @objects and @spec content.
• Test flow: Configure FR-035 with valid Figma file, click Sync from Figma on Automate screen, verify spec stored in design_specs, verify .gspec generated and pushed to Git via FR-018.
• Verification includes checking that the .gspec contains correct @objects and @spec blocks matching the design specifications.</t>
  </si>
  <si>
    <t>• Must call Figma API successfully when sync is triggered from FE-02 with valid FR-035 config
• Must populate design_specs table with specs retrieved from Figma API
• Must generate .gspec file in Git with correct @objects and @spec blocks matching design spec
• Must validate that @objects and @spec content in .gspec accurately reflect the design_specs data
• Must complete the full pipeline from Figma API call through Git commit without errors</t>
  </si>
  <si>
    <t>BE-01 to BE-06, FE-02, FR-035 BE-01, FR-018 BE-04</t>
  </si>
  <si>
    <t>Full design sync pipeline verified</t>
  </si>
  <si>
    <t>Figma file update → webhook → auto-sync</t>
  </si>
  <si>
    <t>Validates the auto-sync flow: Figma file updated, webhook received, design sync orchestrator triggered, and .gspec regenerated in Git.</t>
  </si>
  <si>
    <t>• Validates the auto-sync flow triggered by Figma file updates via webhook: designer updates Figma file, Figma fires webhook to FR-035 BE-03, ICE triggers BE-06 auto-sync, and .gspec regenerated in Git.
• Verification points include sync_log updated, new .gspec present in Git, and stale badge cleared on Automate screen.
• End-to-end test of the webhook-driven automatic synchronization mechanism.</t>
  </si>
  <si>
    <t>• Must receive webhook from Figma via FR-035 BE-03 when designer updates Figma file
• Must automatically trigger BE-06 design sync orchestrator upon webhook receipt
• Must regenerate .gspec file in Git with updated design content
• Must update sync_log table with timestamp and sync status
• Must clear stale badge on FE-02 after successful auto-sync completion</t>
  </si>
  <si>
    <t>BE-06, FE-02, FR-035 BE-03, FR-018 BE-04</t>
  </si>
  <si>
    <t>Webhook auto-sync pipeline verified</t>
  </si>
  <si>
    <t>JMX Auto-Generator &amp; Load Testing</t>
  </si>
  <si>
    <t>FR-048</t>
  </si>
  <si>
    <t>CDP network events → JMX test plan
auto-generated per journey</t>
  </si>
  <si>
    <t>Reads CDP network events from the cdp_events table and generates a valid JMX test plan with one HTTPSamplerProxy per captured API call, then pushes it to Git.</t>
  </si>
  <si>
    <t>• Reads CDP network events from cdp_events table and generates a valid JMX test plan with one HTTPSamplerProxy per captured API call, preserving sequence from capture order.
• Generation rules include extracting auth headers, injecting CSV DataSet Config referencing BE-04 test data file, and preserving API call sequence from capture.
• Produces a valid JMX test plan and pushes it to Git via FR-018 BE-04.</t>
  </si>
  <si>
    <t>• Must read CDP events from cdp_events table and generate one HTTPSamplerProxy per captured API call in sequence order
• Must extract and include auth headers from captured requests in the generated JMX
• Must inject CSV DataSet Config referencing the test data file into the JMX plan
• Must produce valid JMX that is parseable by JMeter without errors
• Must push the generated JMX to Git via FR-018 BE-04</t>
  </si>
  <si>
    <t>BE-02, FR-018 BE-04</t>
  </si>
  <si>
    <t>Java + JMeter API</t>
  </si>
  <si>
    <t>POST /api/v1/jmx/generate/{journey_id}</t>
  </si>
  <si>
    <t>JMX in Git; available for BE-05 executor</t>
  </si>
  <si>
    <t>Journey run with security CDP enabled
→ CDP events stored for JMX generation</t>
  </si>
  <si>
    <t>Stores the raw CDP network events captured during a security-enabled journey run in the cdp_events table for JMX generation.</t>
  </si>
  <si>
    <t>• Stores raw CDP network events (requests + responses array) captured during a security-enabled journey run in the cdp_events table.
• Events are persisted after FR-045 BE-09 (Security Analysis) completes, keyed by journey_id + run_id, and stored as JSON array.
• Data is used by BE-01 JMX generator with a 30-day retention period.</t>
  </si>
  <si>
    <t>• Must store CDP network events after FR-045 BE-09 Security Analysis completes
• Must key each record by journey_id and run_id combination
• Must store events as JSON array in cdp_events table
• Must make stored events queryable by BE-01 for JMX generation
• Must enforce 30-day retention policy for stored CDP events
• Must persist CDP events to cdp_events and be retrievable on subsequent reads</t>
  </si>
  <si>
    <t>FR-045 BE-09</t>
  </si>
  <si>
    <t>cdp_events</t>
  </si>
  <si>
    <t>journey_id, run_id, events_json, captured_at</t>
  </si>
  <si>
    <t>Internal: store after FR-045 BE-09 completes</t>
  </si>
  <si>
    <t>CDP events available for BE-01 JMX generation</t>
  </si>
  <si>
    <t>Runtime — reads FR-030 load profile config</t>
  </si>
  <si>
    <t>Reads the load testing configuration at runtime from the tenant's load_testing_config record, providing virtual users, ramp-up, and threshold settings to the executor.</t>
  </si>
  <si>
    <t>• Reads load testing configuration at runtime from the tenant's load_testing_config record stored by FR-033 BE-01.
• Configuration includes virtual_users, ramp_up_seconds, duration_seconds, response_time_threshold_ms, error_rate_threshold_pct, and load_profile (Baseline/Stress/Spike/Soak).
• Returns LoadConfig to BE-05 executor before each JMeter run and caches per tenant with 5-minute TTL.</t>
  </si>
  <si>
    <t>• Must read load_testing_config record stored by FR-033 BE-01 at runtime for the requesting tenant
• Must return virtual_users, ramp_up_seconds, duration_seconds, response_time_threshold_ms, and error_rate_threshold_pct
• Must return the selected load profile from the configuration
• Must cache config per tenant with 5-minute TTL to reduce DB reads
• Must return default configuration values if no config is set for the tenant</t>
  </si>
  <si>
    <t>FR-033 BE-01</t>
  </si>
  <si>
    <t>load_testing_config</t>
  </si>
  <si>
    <t>virtual_users, ramp_up_seconds, duration_seconds, thresholds</t>
  </si>
  <si>
    <t>Internal: GET load config for tenant</t>
  </si>
  <si>
    <t>Config passed to BE-05 executor</t>
  </si>
  <si>
    <t>Automate screen
CSV template download
test data upload</t>
  </si>
  <si>
    <t>Generates a CSV parameter template from the JMX DataSet config headers and accepts user-uploaded test data CSVs, pushing them to Git alongside the JMX file.</t>
  </si>
  <si>
    <t>• Generates a CSV parameter template from the JMX DataSet config headers after JMX generation (BE-01) and accepts user-uploaded test data CSVs.
• Validates that uploaded CSV column headers match JMX parameters extracted from API calls.
• Stores the validated CSV to Git alongside the JMX file for use during test execution.</t>
  </si>
  <si>
    <t>• Must generate CSV parameter template with column headers matching JMX DataSet config parameters after BE-01 completes
• Must validate uploaded CSV column headers match the extracted JMX parameters
• Must store validated CSV to Git alongside the JMX file
• Must return 400 status with clear error message when column headers mismatch
• Must update the CSV file path in the JMX DataSet Config to reference the Git location</t>
  </si>
  <si>
    <t>BE-01, FR-018 BE-04</t>
  </si>
  <si>
    <t>GET /api/v1/jmx/{journey_id}/csv-template
POST /api/v1/jmx/{journey_id}/test-data</t>
  </si>
  <si>
    <t>CSV in Git; JMX parametrised with real test data</t>
  </si>
  <si>
    <t>Execute Tests → Load Test mode
pulls JMX from Git → applies load profile → runs</t>
  </si>
  <si>
    <t>Pulls the JMX file from Git, injects the load profile parameters into the JMX ThreadGroup, and executes JMeter in non-GUI mode.</t>
  </si>
  <si>
    <t>• Pulls the JMX file from Git via FR-018 BE-05, loads profile config from BE-03, and injects virtual_users and ramp_up into JMX ThreadGroup.
• Executes JMeter in non-GUI mode and streams results to BE-06 aggregator.
• Prerequisites include JMX existing in Git and test data CSV being present.</t>
  </si>
  <si>
    <t>• Must pull JMX file from Git via FR-018 BE-05 before execution
• Must load profile config from BE-03 and inject virtual_users and ramp_up_seconds into JMX ThreadGroup
• Must execute JMeter in non-GUI mode without errors
• Must stream JMeter execution results to BE-06 aggregator in real-time
• Must return clear error message to FE-01 when JMX file is missing from Git</t>
  </si>
  <si>
    <t>BE-03, BE-04, FR-033 BE-01, FR-018 BE-05</t>
  </si>
  <si>
    <t>Spring Boot + JMeter CLI</t>
  </si>
  <si>
    <t>POST /api/v1/jmx/run/{journey_id}</t>
  </si>
  <si>
    <t>JMeter results available for BE-06 aggregation</t>
  </si>
  <si>
    <t>After JMeter run completes
→ aggregate metrics → apply thresholds → PASS/FAIL</t>
  </si>
  <si>
    <t>Aggregates JMeter output metrics per sampler (avg, min, max, p90, p95, error rate, throughput), applies configured thresholds, and writes results to the ICE database.</t>
  </si>
  <si>
    <t>• Aggregates JMeter output metrics per sampler: avg_response_ms, min_response_ms, max_response_ms, p90_ms, p95_ms, error_rate_pct, and throughput_rps.
• Applies FR-033 thresholds (response_time_threshold_ms and error_rate_threshold_pct) to determine verdict: PASS if all samplers within thresholds, FAIL otherwise.
• Stores aggregated results and verdict to load_test_results table.</t>
  </si>
  <si>
    <t>• Must aggregate JMeter output metrics per sampler including avg_response_ms, min_response_ms, max_response_ms, p90_ms, p95_ms, error_rate_pct, and throughput_rps
• Must compute p90 and p95 percentiles correctly from sampler response times
• Must apply FR-033 response_time_threshold_ms and error_rate_threshold_pct to each sampler
• Must determine overall result as PASS only if all samplers are within configured thresholds
• Must reject negative or zero threshold values with a validation error
• Must persist aggregated results and PASS/FAIL verdict to load_test_results and be retrievable on subsequent reads</t>
  </si>
  <si>
    <t>BE-05, BE-03, FR-033 BE-01</t>
  </si>
  <si>
    <t>load_test_results</t>
  </si>
  <si>
    <t>journey_id, run_id, sampler, avg_ms, p90_ms, p95_ms, error_rate, verdict</t>
  </si>
  <si>
    <t>Internal: aggregate after JMeter completes</t>
  </si>
  <si>
    <t>Load test verdict in Analytics</t>
  </si>
  <si>
    <t>Execute Tests screen
load test mode selector + Generate JMX button</t>
  </si>
  <si>
    <t>Renders the Load Test configuration strip on the Execute Tests screen when the Performance checkbox is ticked, with profile selector, Generate JMX, and CSV upload controls.</t>
  </si>
  <si>
    <t>• Renders the Load Test configuration strip on the Execute Tests screen when the Performance checkbox is ticked (FR-038 FE-05).
• UI includes Load Profile dropdown (from FR-033 config), Generate JMX button (calls BE-01), Upload Test Data CSV button (calls BE-04), and JMX status badge (GENERATED/STALE/MISSING).
• Run bar displays Load Test mode when selected, indicating the test will execute in performance testing mode.</t>
  </si>
  <si>
    <t>• Must render Load Test configuration strip on Execute Tests screen only when Performance checkbox is ticked
• Must populate Load Profile dropdown with options from FR-033 config
• Must call BE-01 to generate JMX when Generate JMX button is clicked
• Must call BE-04 to upload and validate test data CSV when Upload Test Data CSV button is clicked
• Must display JMX status badge indicating whether JMX file exists and is valid
• Must show Load Test mode indicator in the Run bar when Performance testing is enabled</t>
  </si>
  <si>
    <t>BE-01, BE-04, FR-033 BE-01</t>
  </si>
  <si>
    <t>JMX generated; test data uploaded; load test ready to run</t>
  </si>
  <si>
    <t>Full E2E:
Journey run (CDP capture) → Generate JMX → Git → JMeter run → results</t>
  </si>
  <si>
    <t>Validates the full JMX load testing pipeline: CDP events captured, JMX generated and pushed to Git, test data uploaded, JMeter run completed, and results stored.</t>
  </si>
  <si>
    <t>• Validates the full JMX load testing pipeline end-to-end: CDP events captured during journey run with Security enabled (FR-045 BE-09), JMX generated and pushed to Git, test data uploaded, and JMeter run completed.
• Test flow: Run journey with Security enabled, verify events stored in cdp_events, click Generate JMX, verify JMX in Git, upload test data CSV, click Run (Load Test mode).
• Final verification includes confirming JMeter runs successfully and results are stored in load_test_results table.</t>
  </si>
  <si>
    <t>• Must store CDP events to cdp_events table after journey run with Security enabled completes
• Must generate JMX file from stored CDP events and push to Git via BE-01
• Must successfully upload and link test data CSV to the JMX via BE-04
• Must complete JMeter run execution without errors when triggered
• Must store results with PASS or FAIL verdict in load_test_results table and verify persistence</t>
  </si>
  <si>
    <t>BE-01 to BE-06, FE-01, FR-045 BE-09, FR-018 BE-04, FR-018 BE-05, FR-033 BE-01</t>
  </si>
  <si>
    <t>Full JMX load testing pipeline verified end-to-end</t>
  </si>
  <si>
    <t>Self-Healing — DOM Snapshot &amp; Healing Engine</t>
  </si>
  <si>
    <t>FR-049</t>
  </si>
  <si>
    <t>ice.domSnapshot.store(screen, dom)
→ stores per screen per run</t>
  </si>
  <si>
    <t>Stores DOM snapshots per screen per run in the dom_snapshots table, providing the previous DOM state for healing algorithms 2 and 3.</t>
  </si>
  <si>
    <t>• Stores DOM snapshots per screen per run in the dom_snapshots table, keyed by tenant_id + journey_id + screen_name + run_id.
• ICE SDK base test class calls ice.domSnapshot.store(screenName, domString) after each page load to persist the DOM snapshot.
• Provides the previous DOM state for healing algorithms BE-03 and BE-04 to compare against the current run's DOM.</t>
  </si>
  <si>
    <t>• Must store DOM snapshot per unique combination of tenant_id, journey_id, screen_name, and run_id
• Must make previous snapshot queryable by journey_id and screen_name returning latest snapshot before current run
• Must store DOM as compressed text to optimize storage
• Must enforce 30-day retention policy for stored DOM snapshots
• Must make snapshots accessible to BE-03 and BE-04 healing algorithms
• Must persist DOM snapshots to dom_snapshots and be retrievable on subsequent reads</t>
  </si>
  <si>
    <t>FR-045 BE-01 (SDK base class)</t>
  </si>
  <si>
    <t>dom_snapshots</t>
  </si>
  <si>
    <t>tenant_id, journey_id, screen_name, run_id, dom_snapshot, captured_at</t>
  </si>
  <si>
    <t>Internal: store after each page load</t>
  </si>
  <si>
    <t>Previous DOM available for healing algorithms BE-03, BE-04</t>
  </si>
  <si>
    <t>Algorithm 1 of 3 in cascade
Levenshtein on element attributes</t>
  </si>
  <si>
    <t>Implements Algorithm 1 attribute similarity healing using Levenshtein distance on tag name, class, ID, and data attributes to find the best matching element.</t>
  </si>
  <si>
    <t>• Computes attribute similarity using Levenshtein distance on tag name, class, ID, text, and data-* attributes to heal broken locators.
• Extracts attributes from the broken locator and compares them against each candidate element in the current DOM using a weighted scoring algorithm.
• Returns the candidate element with an aggregated score above algo1_threshold (configured in BE-08) along with a confidence value equal to the weighted score.</t>
  </si>
  <si>
    <t>• Must correctly parse the broken locator to extract tag name, class, ID, text, and data-* attributes
• Must compute Levenshtein distance for each attribute between the broken locator and each candidate element in the current DOM
• Must aggregate the per-attribute Levenshtein scores into a weighted similarity score
• Must return the candidate element if the aggregated score is greater than or equal to algo1_threshold from BE-08
• Must return null if no candidate meets the algo1_threshold
• Must load the algo1_threshold value from the BE-08 config reader at runtime</t>
  </si>
  <si>
    <t>BE-01, BE-08</t>
  </si>
  <si>
    <t>Java + Apache Commons Text</t>
  </si>
  <si>
    <t>Internal: healByAttribute(brokenLocator, currentDOM) → HealResult</t>
  </si>
  <si>
    <t>Healed locator with confidence; or null if below threshold</t>
  </si>
  <si>
    <t>Algorithm 2 of 3 in cascade
Tree edit distance — runs only if Algorithm 1 fails</t>
  </si>
  <si>
    <t>Implements Algorithm 2 DOM tree position healing using tree edit distance between the previous and current DOM to map the broken element to its new position.</t>
  </si>
  <si>
    <t>• Heals broken locators by computing tree edit distance between the previous DOM snapshot and the current DOM to map element positions.
• Loads the previous DOM snapshot from BE-01 for the current journey and screen, then locates the broken element's tree position.
• Maps the broken element's position in the previous DOM to its new position in the current DOM using the edit distance path and returns the matched element.</t>
  </si>
  <si>
    <t>• Must load the previous DOM snapshot from BE-01 for the current journey and screen
• Must compute the tree edit distance between the previous DOM snapshot and the current DOM
• Must correctly locate the broken element's position in the previous DOM tree
• Must map the broken element's tree position from the previous DOM to the corresponding position in the current DOM
• Must only run if Algorithm 1 (BE-02) returns null
• Must return null if the tree position cannot be mapped or if no match is found</t>
  </si>
  <si>
    <t>Java + APTED library</t>
  </si>
  <si>
    <t>Internal: healByTreePosition(brokenLocator, currentDOM, previousDOM) → HealResult</t>
  </si>
  <si>
    <t>Healed locator with confidence; or null if no match</t>
  </si>
  <si>
    <t>Algorithm 3 of 3 — last resort
getBoundingClientRect + text content</t>
  </si>
  <si>
    <t>Implements Algorithm 3 visual position and text content healing using getBoundingClientRect coordinates from the previous DOM to locate the element in the current DOM.</t>
  </si>
  <si>
    <t>• Heals broken locators using visual position and text content matching as a last resort when Algorithms 1 and 2 fail.
• Extracts getBoundingClientRect coordinates (x, y, width, height) and text content from the broken element in the previous DOM snapshot.
• Finds elements in the current DOM at similar coordinates (±20px tolerance) with matching text content and returns the match as the healed locator.</t>
  </si>
  <si>
    <t>• Must extract getBoundingClientRect coordinates (x, y, width, height) and text content from the broken element in the previous DOM snapshot
• Must scan the current DOM for elements with matching coordinates within ±20px tolerance
• Must apply text content matching as a secondary filter to candidates within the coordinate tolerance
• Must only run if both Algorithm 1 (BE-02) and Algorithm 2 (BE-03) return null
• Must return null if no element matches both the coordinate and text content criteria</t>
  </si>
  <si>
    <t>Internal: healByVisualPosition(brokenLocator, currentDOM, previousDOM) → HealResult</t>
  </si>
  <si>
    <t>POST /api/v1/heal
Runs Algorithm 1 → 2 → 3 in cascade</t>
  </si>
  <si>
    <t>Orchestrates the healing cascade by running Algorithm 1, then 2, then 3 in sequence, stopping at the first successful heal and logging the result to healing_events.</t>
  </si>
  <si>
    <t>• Orchestrates the self-healing cascade by running Algorithm 1, then Algorithm 2, then Algorithm 3 in sequence until one succeeds.
• Receives POST /api/v1/heal with brokenLocator, currentDOM, journeyId, screenName, and runId, then runs BE-02, BE-03, and BE-04 sequentially.
• Logs healing_event with the algorithm used and confidence on success, or logs FAILED event and allows the test to continue with the original locator on total failure.</t>
  </si>
  <si>
    <t>• Must accept POST /api/v1/heal with brokenLocator, currentDOM, journeyId, screenName, and runId
• Must run BE-02 (Algorithm 1), then BE-03 (Algorithm 2), then BE-04 (Algorithm 3) in sequence
• Must stop the cascade at the first algorithm that successfully heals the locator
• Must log a healing event with the successful algorithm name, confidence score, and action=HEALED when healing succeeds
• Must log a FAILED healing event with action=FAILED if all three algorithms return null
• Must load algo1_threshold, algo2_threshold, and algo3_threshold from BE-08 config reader
• Must persist the healing event to healing_events and be retrievable on subsequent reads</t>
  </si>
  <si>
    <t>BE-02, BE-03, BE-04, BE-08, FR-034 BE-01</t>
  </si>
  <si>
    <t>healing_events</t>
  </si>
  <si>
    <t>journey_id, screen_name, run_id, broken_locator, healed_locator, algorithm, confidence, action</t>
  </si>
  <si>
    <t>POST /api/v1/heal → {healedLocator, confidence, algorithm}</t>
  </si>
  <si>
    <t>Healed locator returned to proxy BE-06</t>
  </si>
  <si>
    <t>Sits between test tool and ChromeDriver
intercepts findElement failure</t>
  </si>
  <si>
    <t>Implements the WebDriver protocol proxy that intercepts findElement failures, captures the current DOM, calls the healing orchestrator, and retries the locator.</t>
  </si>
  <si>
    <t>• Acts as a WebDriver protocol proxy that intercepts findElement failures and triggers the healing orchestrator.
• Sits between the test script and ChromeDriver (using Selenium Wire or BrowserMob-like proxy) and intercepts WebDriver findElement calls.
• Captures the current DOM on NoSuchElementException, calls BE-05 /heal endpoint, retries findElement with the healed locator on success, or propagates the original exception on failure.</t>
  </si>
  <si>
    <t>• Must intercept all WebDriver findElement calls between the test script and ChromeDriver
• Must capture the current DOM when a NoSuchElementException occurs during findElement
• Must call BE-05 healing orchestrator with the broken locator, captured DOM, journeyId, screenName, and runId when NoSuchElementException is caught
• Must retry findElement with the healed locator if BE-05 returns a successful heal
• Must propagate the original NoSuchElementException to the test script if BE-05 healing fails
• Must remain transparent to the test script with no code changes required</t>
  </si>
  <si>
    <t>BE-05, BE-08, FR-034 BE-01</t>
  </si>
  <si>
    <t>Java + Selenium Wire</t>
  </si>
  <si>
    <t>HTTP proxy on port configured in BE-09</t>
  </si>
  <si>
    <t>Healed test continues; healing event logged</t>
  </si>
  <si>
    <t>After run completes
pull script from Git → replace locators → PR</t>
  </si>
  <si>
    <t>Implements the active repair service that pulls the healed script from Git, replaces the broken locator in the source, and raises a PR on the healing branch.</t>
  </si>
  <si>
    <t>• Implements the active repair service that automatically updates test scripts with healed locators and raises pull requests.
• Queries healing_events for runId where action=PR_QUEUED, pulls the script from Git via FR-018 BE-05, parses the script AST, and replaces the broken locator.
• Pushes the updated script to a healing branch (using prefix from FR-034 BE-01 config), raises a GitHub/GitLab PR via FR-018, and marks the event action=PR_RAISED.</t>
  </si>
  <si>
    <t>• Must query healing_events for records matching the given runId where action=PR_QUEUED
• Must pull the script source from Git via FR-018 BE-05 for each queued healing event
• Must parse the script AST and replace the broken locator with the healed locator
• Must push the updated script to a healing branch with the tenant-configured branch_prefix
• Must raise a pull request via FR-018 BE-04 with the healing details in the PR description
• Must update the healing event record to action=PR_RAISED with the PR URL
• Must persist the updated healing event action and PR URL to healing_events and be retrievable on subsequent reads</t>
  </si>
  <si>
    <t>BE-05, BE-08, FR-034 BE-01, FR-018 BE-04, FR-018 BE-05</t>
  </si>
  <si>
    <t>action (PR_QUEUED → PR_RAISED), pr_url, healing_branch</t>
  </si>
  <si>
    <t>POST /api/v1/heal/repair/{run_id}</t>
  </si>
  <si>
    <t>PR raised in Git; locator fixed in script</t>
  </si>
  <si>
    <t>Runtime — reads FR-031 healing config</t>
  </si>
  <si>
    <t>Reads the self-healing configuration at runtime from the tenant's self_healing_config record, providing thresholds, auto-PR flag, and branch prefix to the proxy.</t>
  </si>
  <si>
    <t>• Provides runtime access to the tenant's self-healing configuration for thresholds, auto-PR flag, and branch prefix.
• Reads the self_healing_config record stored by FR-034 BE-01 containing enabled flag, algo1_threshold, algo2_threshold, auto_pr enabled, and healing_branch_prefix.
• Returns HealingConfig to orchestrator (BE-05), proxy (BE-06), and repair service (BE-07), cached per tenant with a 5-minute TTL.</t>
  </si>
  <si>
    <t>• Must read the self_healing_config record for the tenant from the storage layer created by FR-034 BE-01
• Must return the enabled flag, algo1_threshold, algo2_threshold, algo3_threshold, auto_pr flag, and branch_prefix
• Must signal BE-06 proxy to pass through without healing when enabled=false
• Must cache the tenant's config with a TTL of 5 minutes to reduce repeated reads
• Must return a default configuration with enabled=false if no tenant config record exists</t>
  </si>
  <si>
    <t>FR-034 BE-01</t>
  </si>
  <si>
    <t>self_healing_config</t>
  </si>
  <si>
    <t>enabled, algo1_threshold, algo2_threshold, auto_pr, healing_branch_prefix</t>
  </si>
  <si>
    <t>Internal: GET healing config for tenant</t>
  </si>
  <si>
    <t>Config passed to BE-05, BE-06, BE-07</t>
  </si>
  <si>
    <t>ScriptBridge starts healing proxy
before test execution</t>
  </si>
  <si>
    <t>Extends ScriptBridge to start the healing proxy before test execution and stop it after, collecting healing events and triggering auto-repair if configured.</t>
  </si>
  <si>
    <t>• Extends ScriptBridge (FR-023) to manage the healing proxy lifecycle and trigger auto-repair for test runs.
• Before test execution, checks BE-08 healing_config.enabled, starts ICE Healing Proxy (BE-06) on a free port, and injects the proxy URL into WebDriver config.
• After test execution, stops the proxy, collects healing_events for the run, and triggers BE-07 Active Repair if auto_pr=true.</t>
  </si>
  <si>
    <t>• Must check BE-08 healing_config.enabled before test execution
• Must start the ICE Healing Proxy (BE-06) on a free port if healing is enabled
• Must inject the proxy URL into the WebDriver configuration for the test run
• Must stop the healing proxy after test execution completes
• Must collect all healing events logged during the test run for the current runId
• Must trigger BE-07 active repair service if auto_pr=true and any healing events have action=PR_QUEUED</t>
  </si>
  <si>
    <t>BE-06, BE-08, FR-023 BE-04, FR-023 BE-06</t>
  </si>
  <si>
    <t>Spring Boot + FR-042</t>
  </si>
  <si>
    <t>Internal: FR-023 ScriptBridge extension</t>
  </si>
  <si>
    <t>Proxy lifecycle managed; healing events collected</t>
  </si>
  <si>
    <t>Analytics dashboard
Healing events per run</t>
  </si>
  <si>
    <t>Renders the Healing Events panel in the Analytics Dashboard showing a summary card and per-locator healing event table with algorithm, confidence, and PR link.</t>
  </si>
  <si>
    <t>• Displays a Healing Events panel in the Analytics Dashboard showing healing summary and per-locator event details.
• Shows a summary card with counts like '3 locators healed | 2 PRs raised' and a table listing broken locator, screen, algorithm used, confidence %, action (HEALED/PR_RAISED/FAILED), and PR link.
• Filters all healing events to the current run_id for display.</t>
  </si>
  <si>
    <t>• Must display a summary card showing counts of healed locators and PRs raised for the selected run
• Must render a table listing all healing events with columns for broken locator, screen, algorithm used, confidence score, and action status
• Must display the algorithm name (1, 2, or 3) and confidence percentage for each healed event
• Must show a clickable PR link in the table row where action=PR_RAISED
• Must highlight FAILED events in red to distinguish them from successful heals</t>
  </si>
  <si>
    <t>BE-05, BE-07</t>
  </si>
  <si>
    <t>Healing events visible in Analytics</t>
  </si>
  <si>
    <t>Full E2E:
broken locator → proxy intercepts → Algorithm 1 heals</t>
  </si>
  <si>
    <t>Validates the healing proxy end-to-end: broken locator introduced, proxy intercepts, Algorithm 1 heals, test continues, and healing event logged.</t>
  </si>
  <si>
    <t>• Validates the healing proxy end-to-end by introducing a broken locator and verifying it is healed by Algorithm 1.
• Runs a journey script with a deliberately broken locator, proxy intercepts NoSuchElementException, BE-05 cascade runs, and Algorithm 1 heals the locator.
• Verifies the test continues successfully and a healing_event is logged with algorithm=1 and action=HEALED.</t>
  </si>
  <si>
    <t>• Must run a journey script containing a deliberately broken locator
• Must intercept the NoSuchElementException via the healing proxy (BE-06)
• Must invoke BE-05 healing cascade and successfully heal the locator using Algorithm 1
• Must log a healing event with algorithm=1, action=HEALED, and confidence ≥ algo1_threshold
• Must complete the test run with result=PASS after healing the locator
• Must store the current DOM snapshot for use in the next test run</t>
  </si>
  <si>
    <t>BE-01 to BE-09, FR-034 BE-01, FR-023 BE-04</t>
  </si>
  <si>
    <t>Self-healing pipeline verified end-to-end</t>
  </si>
  <si>
    <t>E2E: Force Algorithm 1 to fail
→ Algorithm 2 heals → PR raised</t>
  </si>
  <si>
    <t>Validates the full healing cascade: Algorithm 1 forced to fail, Algorithm 2 heals, PR raised automatically, and all healing events logged correctly.</t>
  </si>
  <si>
    <t>• Validates the full healing cascade by forcing Algorithm 1 to fail and verifying Algorithm 2 heals and triggers PR creation.
• Forces Algorithm 1 to fail by setting algo1_threshold=1.0, verifies Algorithm 2 runs and heals, and confirms a PR is raised when auto_pr=true.
• Forces Algorithms 1 and 2 to fail and verifies Algorithm 3 runs as the final fallback.</t>
  </si>
  <si>
    <t>• Must force Algorithm 1 to fail by setting algo1_threshold=1.0 in the tenant config
• Must verify that Algorithm 2 (BE-03) runs and successfully heals the locator when Algorithm 1 fails
• Must raise a pull request automatically when auto_pr=true and healing succeeds
• Must verify that Algorithm 3 (BE-04) runs when both Algorithm 1 and Algorithm 2 fail
• Must correctly log all healing events with the appropriate algorithm, confidence, and action status for each cascade step</t>
  </si>
  <si>
    <t>BE-02, BE-03, BE-04, BE-05, BE-07, BE-08, FR-034 BE-01</t>
  </si>
  <si>
    <t>Healing cascade and active repair verified</t>
  </si>
  <si>
    <t>Targeted Regression Engine</t>
  </si>
  <si>
    <t>FR-050</t>
  </si>
  <si>
    <t>getChangedFiles() &amp; Targeted Regression Engine</t>
  </si>
  <si>
    <t>Runtime — reads FR-033 targeting config</t>
  </si>
  <si>
    <t>Reads the targeted regression configuration at runtime from the tenant's targeting_config record, providing watch branches, auto-trigger, and PR check settings.</t>
  </si>
  <si>
    <t>• Provides runtime access to the tenant's targeted regression configuration for watch branches, auto-trigger settings, and PR checks.
• Reads the targeting_config record stored by FR-036 BE-01 containing enabled, watch_branches[], auto_trigger_on_push, auto_run_journeys, pr_check_enabled, and nightly_scan_enabled.
• Returns TargetingConfig to BE-03, BE-04, and BE-05, cached per tenant with a 5-minute TTL.</t>
  </si>
  <si>
    <t>• Must read the targeting_config record for the tenant from the storage layer created by FR-036 BE-01
• Must return all targeting configuration fields including enabled, watch_branches[], auto_trigger_on_push, auto_trigger_on_pr, and pr_check_enabled
• Must cache the tenant's targeting config with a TTL of 5 minutes to reduce repeated database reads
• Must return a disabled configuration (enabled=false) if no tenant targeting_config record exists
• Must provide the configuration data to BE-03, BE-04, and BE-05 at runtime</t>
  </si>
  <si>
    <t>FR-036 BE-01</t>
  </si>
  <si>
    <t>enabled, watch_branches, auto_trigger, auto_run, pr_check_enabled</t>
  </si>
  <si>
    <t>Internal: GET targeting config for tenant</t>
  </si>
  <si>
    <t>Config passed to BE-03, BE-04, BE-05</t>
  </si>
  <si>
    <t>git diff {fromRef}..{toRef}
returns changed file paths for all 4 Git providers</t>
  </si>
  <si>
    <t>Extends the IGitProvider interface with getChangedFiles() implemented across all four Git adapters, returning changed file paths between two refs.</t>
  </si>
  <si>
    <t>• Extends the IGitProvider interface with a getChangedFiles() method to retrieve changed file paths between two Git refs.
• Implements the method List&lt;String&gt; getChangedFiles(GitConfig, fromRef, toRef) in all four Git adapters (GitHub BE-02, GitLab BE-03, Bitbucket BE-08, Azure BE-09 in FR-018).
• Returns relative file paths changed between two refs for use by BE-03 in impact resolution.</t>
  </si>
  <si>
    <t>• Must implement getChangedFiles(GitConfig, fromRef, toRef) in IGitProvider interface returning List&lt;String&gt;
• Must implement getChangedFiles() in all four Git adapters (GitHub, GitLab, Bitbucket, Azure DevOps)
• Must return relative file paths for changes between the two provided refs
• Must support commit SHAs, branch names, and tags as valid ref values
• Must return an empty list when no file changes exist between fromRef and toRef
• Must use authentication credentials from FR-024 Git Config for all API calls</t>
  </si>
  <si>
    <t>FR-018 BE-01, FR-018 BE-02, FR-018 BE-03, FR-018 BE-08, FR-018 BE-09</t>
  </si>
  <si>
    <t>Java + FR-043 adapters</t>
  </si>
  <si>
    <t>getChangedFiles(config, fromRef, toRef) → List&lt;String&gt;</t>
  </si>
  <si>
    <t>Changed files passed to BE-03 impact resolver</t>
  </si>
  <si>
    <t>Changed files + ownership map (FR-034)
→ impacted functionalities → impacted journeys</t>
  </si>
  <si>
    <t>Matches changed files against the ownership map patterns to resolve impacted functionalities, then queries journeys tagged with those functionalities to build the impact report.</t>
  </si>
  <si>
    <t>• Matches changed files against ownership map patterns to resolve impacted functionalities and queries journeys tagged with those functionalities.
• For each changed file, matches against FR-037 BE-02 cached ownership map patterns using glob matching and collects impacted functionality names.
• Queries journeys tagged with the impacted functionalities and returns ImpactReport{changedFiles[], impactedFunctionalities[], impactedJourneys[]}.</t>
  </si>
  <si>
    <t>• Must match each changed file path against FR-037 BE-02 cached ownership map patterns using glob matching
• Must correctly identify all impacted functionalities based on matched ownership patterns
• Must query journeys table filtered by the resolved functionality tags
• Must return ImpactReport containing three arrays: changed files, impacted functionalities, and impacted journeys
• Must list unowned files (files with no ownership pattern match) separately in the report</t>
  </si>
  <si>
    <t>BE-02, BE-01, FR-037 BE-02</t>
  </si>
  <si>
    <t>journeys, ownership_map_cache</t>
  </si>
  <si>
    <t>changed_files[], functionality_names[], journey_ids[]</t>
  </si>
  <si>
    <t>POST /api/v1/targeted-regression/resolve → ImpactReport{}</t>
  </si>
  <si>
    <t>Impact report used by BE-04 and BE-05</t>
  </si>
  <si>
    <t>POST /api/v1/targeted-regression/scan
manual release scan — compare fromRef vs toRef</t>
  </si>
  <si>
    <t>Exposes the POST /api/v1/targeted-regression/scan endpoint that accepts from/to refs, runs the change and impact resolution, and stores the scan result.</t>
  </si>
  <si>
    <t>• Exposes the POST /api/v1/targeted-regression/scan endpoint to trigger change and impact resolution based on Git refs.
• Accepts {fromRef, toRef, gitConfigId}, calls BE-02 getChangedFiles, then BE-03 impact resolver, and stores the scan result in targeted_regression_scans.
• Returns ScanResult{scanId, changedFiles[], impactedJourneys[], riskScores[]} and is called from FE-02 scan button.</t>
  </si>
  <si>
    <t>• Must accept POST /api/v1/targeted-regression/scan with body {fromRef, toRef, gitConfigId}
• Must call BE-02 getChangedFiles with the provided fromRef and toRef
• Must call BE-03 impact resolver with the changed files from BE-02
• Must store the scan result in targeted_regression_scans table with a unique scanId
• Must return ScanResult JSON containing changed files, impacted functionalities, and impacted journeys arrays
• Must be callable from FE-02 Targeted Regression UI
• Must persist scanId and scan result to targeted_regression_scans and be retrievable on subsequent reads</t>
  </si>
  <si>
    <t>targeted_regression_scans</t>
  </si>
  <si>
    <t>scan_id, from_ref, to_ref, changed_files[], impacted_journeys[], created_at</t>
  </si>
  <si>
    <t>POST /api/v1/targeted-regression/scan → ScanResult{}</t>
  </si>
  <si>
    <t>Scan result used by FE-02; journey list passed to BE-05</t>
  </si>
  <si>
    <t>POST /api/v1/targeted-regression/run/{scanId}
creates targeted run_execution</t>
  </si>
  <si>
    <t>Creates a TARGETED_REGRESSION run_execution for the impacted journeys from a scan, dispatching only the affected subset to the FR-022 run orchestrator.</t>
  </si>
  <si>
    <t>• Creates a TARGETED_REGRESSION run_execution for impacted journeys identified by a scan, dispatching only the affected subset to the FR-022 run orchestrator.
• Extends FR-022 run_execution table with run_type (FULL/TARGETED_REGRESSION), scan_id FK, and impacted_journeys[] array to store the subset to run.
• POST /api/v1/targeted-regression/run/{scanId} creates the run_execution record with run_type=TARGETED_REGRESSION and dispatches to FR-022 BE-06 orchestrator with the journey subset, called by FR-036 BE-03 (auto-run) or FE-02 (manual trigger).</t>
  </si>
  <si>
    <t>• Must create a new run_execution record with run_type=TARGETED_REGRESSION
• Must set scan_id foreign key to the triggering targeted regression scan
• Must dispatch only the impacted journeys identified by the scan to FR-022 BE-06 orchestrator
• Must call FR-022 BE-06 run orchestrator with the filtered journey subset, not the full suite
• Must make the targeted run visible in Execute Tests run history with run_type indicator
• Must persist run_type and scan_id to run_executions and be retrievable on subsequent reads</t>
  </si>
  <si>
    <t>BE-04, BE-01, FR-036 BE-03, FR-022 BE-06</t>
  </si>
  <si>
    <t>Spring Boot + FR-020</t>
  </si>
  <si>
    <t>run_type, scan_id, impacted_journeys[]</t>
  </si>
  <si>
    <t>POST /api/v1/targeted-regression/run/{scanId} → {run_id}</t>
  </si>
  <si>
    <t>Targeted run dispatched; subset of journeys executed</t>
  </si>
  <si>
    <t>Risk Scorer
filesChanged + failRate + churnRate → riskScore</t>
  </si>
  <si>
    <t>Computes a risk score (0 to 100) per impacted journey based on file change count, historical fail rate, file churn rate, and days since last run.</t>
  </si>
  <si>
    <t>• Computes a risk score (0–100) per impacted journey using weighted factors: files changed touching journey (30%), historical fail rate (30%), file churn rate (20%), and days since last run (20%).
• Returns riskLevel classification (CRITICAL/HIGH/MEDIUM/LOW) and stores the computed score in the targeted_regression_scans table.
• Processes each journey in the ImpactReport to produce a quantitative risk assessment for prioritization.</t>
  </si>
  <si>
    <t>• Must compute a risk score (0–100) for each impacted journey using the weighted formula
• Must apply correct weights: 30% files changed touching journey, 30% historical fail rate, 20% file churn rate, 20% days since last run
• Must assign riskLevel classification: CRITICAL (≥80), HIGH (≥60), MEDIUM (≥40), LOW (&lt;40)
• Must store computed risk scores and riskLevel in the scan result in targeted_regression_scans
• Must provide risk scores to FE-02 for sorting journeys by descending risk</t>
  </si>
  <si>
    <t>run_executions, targeted_regression_scans</t>
  </si>
  <si>
    <t>journey_id, risk_score, risk_level</t>
  </si>
  <si>
    <t>Internal: score(impactReport) → List&lt;JourneyRisk&gt;</t>
  </si>
  <si>
    <t>Risk scores in scan result; displayed in FE-02</t>
  </si>
  <si>
    <t>Execute Tests screen
Targeted Regression tab — release scan + impact table</t>
  </si>
  <si>
    <t>Renders the Targeted Regression section on the Execute Tests screen with Commit Impact and Release Scan tabs, impact table with risk badges, and a Run Targeted button.</t>
  </si>
  <si>
    <t>• Renders the Targeted Regression section on the Execute Tests screen with Commit Impact and Release Scan tabs when run_type=Targeted Regression.
• Commit Impact tab displays the last 5 commit-level scans with affected journey count and auto-run status; Release Scan tab provides fromRef/toRef inputs, Scan button (BE-04), impact table with risk badges, and include/exclude toggles per journey.
• Includes a Run Targeted button that calls BE-05 to execute the selected subset of impacted journeys.</t>
  </si>
  <si>
    <t>• Must render Targeted Regression section on Execute Tests screen when run_type=Targeted Regression
• Must display Commit Impact tab showing the last 5 commit-level scans with affected journey count and auto-run status
• Must display Release Scan tab with fromRef and toRef input fields and a Scan button
• Must render impact table showing impacted journeys with risk level badges (CRITICAL/HIGH/MEDIUM/LOW)
• Must provide include/exclude toggle controls per journey in the impact table
• Must provide Run Targeted button that triggers BE-05 to create and execute a TARGETED_REGRESSION run</t>
  </si>
  <si>
    <t>BE-04, BE-05, BE-06</t>
  </si>
  <si>
    <t>Targeted run dispatched with selected journeys</t>
  </si>
  <si>
    <t>Analytics
Targeted vs Full regression history + coverage trend</t>
  </si>
  <si>
    <t>Renders the Targeted Regression panel in the Analytics Dashboard with summary cards for journey count, pass rate, coverage percentage, and time saved.</t>
  </si>
  <si>
    <t>• Renders the Targeted Regression panel in the Analytics Dashboard with summary cards showing last targeted run journey count, pass rate, coverage % vs full regression, and time saved.
• Displays a chart comparing targeted vs full run history over time and a table of scan history with fromRef/toRef, impacted journey count, pass rate, and risk distribution.
• Provides visual analytics to measure the efficiency and effectiveness of targeted regression runs.</t>
  </si>
  <si>
    <t>• Must render Targeted Regression panel in Analytics Dashboard with four summary cards
• Must display summary cards showing: last targeted run journey count, pass rate, coverage % vs full regression, and time saved
• Must calculate coverage % as (impacted journeys / total journeys) * 100
• Must calculate time saved as full run time minus targeted run time
• Must display a chart comparing targeted vs full run history over the last 10 runs
• Must display a scan history table with all scan fields (scanId, fromRef, toRef, timestamp, impacted count, run status)</t>
  </si>
  <si>
    <t>Targeted regression ROI visible in Analytics</t>
  </si>
  <si>
    <t>Full E2E: code push → scan → targeted run</t>
  </si>
  <si>
    <t>Validates the commit-level targeted regression flow: code pushed to watched branch, scan run, impacted journeys identified, and targeted run executed.</t>
  </si>
  <si>
    <t>• Validates the commit-level targeted regression flow from code push to watched branch through scan execution and targeted run completion.
• Tests sequence: push code touching 'Transfers' feature → FR-036 BE-02 webhook fires → BE-03 resolves impact to 4 journeys → FR-036 BE-03 auto-run triggers → BE-05 creates TARGETED_REGRESSION run.
• Verifies run_execution has run_type=TARGETED_REGRESSION and journey count=4 as expected.</t>
  </si>
  <si>
    <t>• Must trigger FR-036 BE-02 webhook when code is pushed to a watched branch
• Must resolve impact to the correct journeys tagged with the affected functionality (e.g., 'Transfers' feature)
• Must auto-create a run_execution with run_type=TARGETED_REGRESSION after impact resolution
• Must execute only the 4 impacted journeys, not the full regression suite
• Must persist run_execution record with run_type=TARGETED_REGRESSION in the database</t>
  </si>
  <si>
    <t>BE-01 to BE-06, FE-01, FR-036 BE-02, FR-036 BE-03, FR-018 BE-02</t>
  </si>
  <si>
    <t>Targeted regression pipeline verified end-to-end</t>
  </si>
  <si>
    <t>Release scan E2E: tag comparison + risk scores + targeted run</t>
  </si>
  <si>
    <t>Validates the release scan flow: tag comparison run, changed files resolved to journeys with risk scores, user approves subset, and targeted run executes only approved journeys.</t>
  </si>
  <si>
    <t>• Validates the release scan flow from tag comparison through risk scoring, user approval, and targeted run execution.
• Tests sequence: scan v2.3.0..v2.4.0 → verify changed files returned → verify impact resolved to correct journeys → verify risk scores computed → QA approves subset → Run Targeted executes only approved journeys.
• Confirms FE-02 Analytics panel displays the correct results after execution.</t>
  </si>
  <si>
    <t>• Must call getChangedFiles for the specified tag range (e.g., v2.3.0..v2.4.0) and return the correct changed file list
• Must resolve impact to the correct journeys based on changed files and ownership map
• Must compute risk scores for all impacted journeys using the 4-factor weighted formula
• Must execute a targeted run containing only the user-approved journeys from the scan
• Must display correct statistics (journey count, pass rate, coverage %, time saved) in the Analytics panel after run completion</t>
  </si>
  <si>
    <t>BE-01 to BE-06, FE-01, FE-02, FR-018 BE-02</t>
  </si>
  <si>
    <t>Release scan and targeted run pipeline verified</t>
  </si>
  <si>
    <t>Application Discovery</t>
  </si>
  <si>
    <t>FR-051</t>
  </si>
  <si>
    <t>Discovery config API
URL + credentials + depth + mode
Encrypted credentials</t>
  </si>
  <si>
    <t>Defines and persists the discovery configuration entity, storing the app URL, auth type, encrypted credentials, crawl depth, and classification mode for the tenant.</t>
  </si>
  <si>
    <t>• Defines and persists the discovery configuration entity with app_url, auth_type (NONE/FORM/SSO), auth_credentials (encrypted AES-256), crawl_depth (1–5), mode (RULE_BASED/AI_VISION/HYBRID), and tenant_id.
• Provides CRUD API endpoints: POST /discovery/run creates a discovery_run record with status=PENDING, GET /discovery/runs returns run history.
• Stores authentication credentials encrypted using AES-256 for secure discovery operations.</t>
  </si>
  <si>
    <t>• Must persist discovery_config with app_url, auth_type (NONE/FORM/SSO), encrypted auth_credentials (AES-256), crawl_depth (1–5), mode (RULE_BASED/AI_VISION/HYBRID), and tenant_id
• Must provide CRUD API endpoints: POST, GET, PUT, DELETE at /api/v1/discovery/config
• Must create discovery_run record on POST /api/v1/discovery/run
• Must allow querying run history by tenant_id
• Must validate crawl_depth is between 1 and 5 inclusive and reject invalid values with error
• Must validate mode is one of RULE_BASED, AI_VISION, or HYBRID and reject other values with error
• Must persist discovery_config and discovery_run to discovery_config and discovery_runs and be retrievable on subsequent reads</t>
  </si>
  <si>
    <t>FR-024 BE-01 (Git Config pattern), FR-028 BE-01</t>
  </si>
  <si>
    <t>discovery_config, discovery_runs</t>
  </si>
  <si>
    <t>app_url, auth_type, auth_credentials_encrypted, crawl_depth, mode</t>
  </si>
  <si>
    <t>POST /api/v1/discovery/config
POST /api/v1/discovery/run
GET /api/v1/discovery/runs</t>
  </si>
  <si>
    <t>Config saved; run created for BE-05 orchestrator</t>
  </si>
  <si>
    <t>Chrome headless crawl
Authenticate → navigate → discover
DOM fingerprint per screen</t>
  </si>
  <si>
    <t>Runs the Selenium Chrome headless crawler from the configured app URL, fingerprinting each discovered screen and building a navigation graph.</t>
  </si>
  <si>
    <t>• Runs a Selenium Chrome headless crawler from the configured app_url, fingerprinting each discovered screen and building a navigation graph.
• Uses FR-045 BE-11 ScriptBridge SDK injection with algorithm: (1) authenticate if credentials set, (2) navigate from app_url, (3) fingerprint each page (url + title + key element set), (4) extract clickable links/buttons, (5) recurse to crawl_depth.
• Returns NavigationGraph{nodes[], edges[]} representing the complete discovered application structure.</t>
  </si>
  <si>
    <t>• Must successfully authenticate using credentials from discovery_config for all auth_types (NONE/FORM/SSO)
• Must generate a unique DOM fingerprint for each discovered screen
• Must respect crawl_depth limit and halt recursion when the configured depth is reached
• Must deduplicate navigation graph nodes by DOM fingerprint to avoid duplicate screen entries
• Must complete the crawl within 5 minutes for crawl_depth=2</t>
  </si>
  <si>
    <t>BE-01, FR-045 BE-11</t>
  </si>
  <si>
    <t>Java + Selenium ChromeDriver</t>
  </si>
  <si>
    <t>Internal: crawl(config) → NavigationGraph{}</t>
  </si>
  <si>
    <t>Navigation graph passed to BE-03/BE-04 classifiers</t>
  </si>
  <si>
    <t>DOM analysis → screen type
Form field detection
No external AI dependency</t>
  </si>
  <si>
    <t>Classifies each navigation graph node by DOM analysis, detecting screen types (Login, Registration, Search, Dashboard, Form, Table, Confirmation) without external AI.</t>
  </si>
  <si>
    <t>• Classifies each NavigationGraph node by DOM analysis to detect screen types (LOGIN, REGISTRATION, SEARCH, DASHBOARD, FORM, TABLE, CONFIRMATION, OTHER) with priority ordering.
• Uses DOM pattern matching with priority: LOGIN (form with password field) highest, then REGISTRATION, SEARCH (search input + results), FORM, DASHBOARD (multiple widgets/cards), TABLE (data table), CONFIRMATION (submit + success message), OTHER lowest.
• Returns ScreenClassification{screenType, confidence, elementCount} for each node in the navigation graph.</t>
  </si>
  <si>
    <t>• Must classify all navigation graph nodes into screen types: LOGIN, REGISTRATION, SEARCH, DASHBOARD, FORM, TABLE, CONFIRMATION, OTHER
• Must detect LOGIN screen type by presence of password field in form with highest priority
• Must apply screen type detection in priority order as specified (LOGIN first, then REGISTRATION, etc.)
• Must assign a confidence score between 0 and 1 for each classification
• Must perform classification using only DOM pattern matching without external API calls
• Must process 50 screens in less than 10 seconds</t>
  </si>
  <si>
    <t>Java + Jsoup</t>
  </si>
  <si>
    <t>Internal: classify(domString) → ScreenClassification{}</t>
  </si>
  <si>
    <t>Screen types passed to BE-05; AI vision (BE-04) runs in parallel</t>
  </si>
  <si>
    <t>Screenshot → Claude/GPT-4V
Screen name + purpose + user intent</t>
  </si>
  <si>
    <t>Sends a screenshot of each screen to the configured LLM (FR-028) with a structured prompt, returning the screen name, type, purpose, and key elements.</t>
  </si>
  <si>
    <t>• Sends a screenshot of each screen to the configured LLM (FR-028) with a structured prompt requesting JSON with screenName, screenType, purpose, userIntent, and keyElements[].
• Takes screenshot via Selenium and sends to LLM from FR-028 BE-01 config with analysis prompt, running in parallel with BE-03 rule-based classification.
• Results are merged in BE-05 where AI vision classification wins on conflict if confidence &gt; 0.8.</t>
  </si>
  <si>
    <t>• Must take a screenshot of each screen via Selenium and send it to the configured LLM from FR-028 BE-01
• Must send a structured prompt requesting JSON with screenName, screenType, purpose, userIntent, and keyElements[]
• Must parse the LLM JSON response correctly and extract all five fields
• Must run in parallel with BE-03 rule-based classification without blocking
• Must fall back to BE-03 result if the LLM call fails or returns invalid JSON</t>
  </si>
  <si>
    <t>BE-02, FR-028 BE-01</t>
  </si>
  <si>
    <t>Java + Selenium + LLM API</t>
  </si>
  <si>
    <t>Internal: classifyVision(screenshot) → AIScreenClassification{}</t>
  </si>
  <si>
    <t>AI classification merged with BE-03 in BE-05</t>
  </si>
  <si>
    <t>Orchestrates: crawl → classify → synthesise
→ proposed journeys</t>
  </si>
  <si>
    <t>Orchestrates the full discovery pipeline: crawl, classify (rule-based and AI in parallel), merge results, synthesise journeys, and update the discovery run status.</t>
  </si>
  <si>
    <t>• Orchestrates the full discovery pipeline: loads config (BE-01), starts discovery_run with status=CRAWLING, runs BE-02 crawler to produce NavigationGraph, executes BE-03 + BE-04 classifiers in parallel.
• Merges classifications with AI winning if confidence&gt;0.8 and mode=AI_VISION or HYBRID, then calls BE-06 Journey Synthesiser and stores proposed journeys.
• Updates discovery_run status to COMPLETE upon successful pipeline execution.</t>
  </si>
  <si>
    <t>• Must load config from BE-01 and create a discovery_run record with status=CRAWLING
• Must run BE-02 crawler to produce a NavigationGraph, then execute BE-03 and BE-04 classifiers in parallel
• Must merge classification results with AI winning in HYBRID mode and rule-based winning in RULE_BASED mode
• Must update discovery_run status to CLASSIFYING, then COMPLETE after generating proposed journeys
• Must set status to FAILED and log the error if any unhandled exception occurs
• Must persist discovery_run status and proposed_journeys to discovery_runs and proposed_journeys and be retrievable on subsequent reads</t>
  </si>
  <si>
    <t>BE-01, BE-02, BE-03, BE-04, BE-06</t>
  </si>
  <si>
    <t>discovery_runs, proposed_journeys</t>
  </si>
  <si>
    <t>status, screens_found, journeys_proposed</t>
  </si>
  <si>
    <t>Internal: orchestrate(runId) → DiscoveryResult{}</t>
  </si>
  <si>
    <t>Proposed journeys available for FE-02 review</t>
  </si>
  <si>
    <t>Navigation graph + classified screens
→ proposed 9-field ICE journeys</t>
  </si>
  <si>
    <t>Assembles proposed ICE journeys from all navigation paths between the Login screen and terminal screens, generating 9-field TC content via CLAP for each path.</t>
  </si>
  <si>
    <t>• Assembles proposed ICE journeys from all navigation paths between LOGIN screen and terminal screens in the navigation graph.
• For each path: generates 9-field TC content using FR-002 BE-01 CLAP AI from the screen sequence narrative, assigns confidence score based on path length and screen type confidence.
• Stores each path as a proposed journey with generated test case content and confidence assessment.</t>
  </si>
  <si>
    <t>• Must identify all navigation paths from LOGIN screen to terminal screens in the navigation graph
• Must generate one proposed journey per path with 9-field TC content using FR-002 BE-01 CLAP AI
• Must assign a confidence score (HIGH/MEDIUM/LOW) to each proposed journey based on path clarity and screen type consistency
• Must include the screen sequence narrative in each proposed journey record
• Must store all proposed journeys as proposed_journey records linked to the discovery_run
• Must persist proposed journeys to proposed_journeys and be retrievable on subsequent reads</t>
  </si>
  <si>
    <t>BE-05, FR-002 BE-01, FR-003 BE-01</t>
  </si>
  <si>
    <t>Spring Boot + FR-002 CLAP</t>
  </si>
  <si>
    <t>proposed_journeys</t>
  </si>
  <si>
    <t>journey_name, screens[], steps[], confidence, status (PROPOSED/APPROVED/REJECTED)</t>
  </si>
  <si>
    <t>Internal: synthesise(graph, classifications) → List&lt;ProposedJourney&gt;</t>
  </si>
  <si>
    <t>Proposed journeys stored; FE-02 shows for review</t>
  </si>
  <si>
    <t>QA Lead approves journeys
→ import to ICE journey table
→ feeds into Journey Stitcher</t>
  </si>
  <si>
    <t>Imports approved proposed journeys into the ICE journeys table with source=DISCOVERY, making them available in the Journey Stitcher for CLAP generation.</t>
  </si>
  <si>
    <t>• Imports approved proposed journeys into the ICE journeys table with source=DISCOVERY, making them available in the Journey Stitcher for CLAP generation.
• When QA Lead approves proposed journeys in FE-02, POST /discovery/approve creates journey records using FR-015 BE-01 pattern with status=PENDING_GENERATION.
• Approved journeys appear in FR-016 Journey Stitcher ready for CLAP script generation.</t>
  </si>
  <si>
    <t>• Must import approved proposed journeys into the journeys table with source=DISCOVERY when POST /discovery/approve is called
• Must mark rejected proposed journeys as REJECTED in the proposed_journeys table
• Must make imported journeys visible in the Journey Stitcher (FR-016) for CLAP generation
• Must return the count of successfully imported journeys in the API response
• Must reject the request with HTTP 400 if no valid journey IDs are provided
• Must persist imported journeys to journeys and updated status to proposed_journeys and be retrievable on subsequent reads</t>
  </si>
  <si>
    <t>BE-06, FR-015 BE-01, FR-016 BE-01</t>
  </si>
  <si>
    <t>journeys, proposed_journeys</t>
  </si>
  <si>
    <t>journey_id, source=DISCOVERY, status=PENDING_GENERATION</t>
  </si>
  <si>
    <t>POST /api/v1/discovery/approve → {importedCount}</t>
  </si>
  <si>
    <t>Imported journeys in Journey Stitcher ready for CLAP</t>
  </si>
  <si>
    <t>New entry point: 'Discover'
URL + credentials + depth config
Mode selector</t>
  </si>
  <si>
    <t>Renders the Application Discovery overlay with app URL input, auth configuration, crawl depth slider, mode selector, and real-time discovery progress.</t>
  </si>
  <si>
    <t>• Renders the Application Discovery overlay (id='disc') with sections for app URL input with reachability check, auth type selector (None/Form/SSO) with conditional credential fields, crawl depth slider (1–5), and mode selector (Rule-Based/AI Vision/Hybrid).
• Provides Start Discovery button that calls BE-01 for config save and BE-05 orchestrator, plus a progress panel showing status updates in real-time.
• Displays live discovery progress as the crawler and classifiers execute.</t>
  </si>
  <si>
    <t>• Must perform app URL reachability check on blur and display success or error status
• Must show credential fields (username/password or SSO config) only when auth_type is Form or SSO
• Must render crawl depth slider with range 1–5 and display the selected value in the label
• Must display mode selector with Rule-Based, AI Vision, and Hybrid options with descriptions for each
• Must show progress panel updating from CRAWLING → CLASSIFYING → COMPLETE during discovery execution</t>
  </si>
  <si>
    <t>BE-01, BE-05</t>
  </si>
  <si>
    <t>Discovery run started; progress visible</t>
  </si>
  <si>
    <t>Proposed journeys list
Screen flow preview
Edit + Approve + Reject → Import</t>
  </si>
  <si>
    <t>Renders the Discovery Review panel showing proposed journeys sorted by confidence with screen flow previews, approve/reject controls, and an Import Approved button.</t>
  </si>
  <si>
    <t>• Renders the Discovery Review panel shown on discovery_run status=COMPLETE with left panel listing proposed journeys sorted by confidence (HIGH first) and right panel showing screen flow preview with type badges.
• Each proposed journey displays name, screen count, confidence badge (HIGH/MEDIUM/LOW), and individual approve/reject buttons, with bulk approve option available.
• Import approved button calls BE-07 to create journey records in the ICE journeys table for approved selections.</t>
  </si>
  <si>
    <t>• Must display Discovery Review panel only when discovery_run status=COMPLETE
• Must sort proposed journeys by confidence with HIGH first, then MEDIUM, then LOW
• Must render screen flow preview in the right panel with type badges for each screen
• Must provide approve/reject buttons for each individual proposed journey
• Must provide a bulk approve button for all HIGH confidence journeys that calls BE-07 and displays imported count</t>
  </si>
  <si>
    <t>Approved journeys imported to Journey Stitcher</t>
  </si>
  <si>
    <t>Full E2E: crawl test app → classify → propose → approve → import</t>
  </si>
  <si>
    <t>Validates the full discovery pipeline against a known test app: correct navigation graph built, screens classified, journeys proposed with confidence scores, and approved journeys imported to Journey Stitcher.</t>
  </si>
  <si>
    <t>• Validates the full discovery pipeline against a known test app with depth=2 in HYBRID mode, verifying correct navigation graph construction, screen classification, and journey proposal.
• Verifies that the NavigationGraph contains correct nodes, screen types are correctly classified, and proposed journeys are generated with 9-field test cases.
• Confirms that QA approves HIGH confidence journeys and that journeys appear in Journey Stitcher with source=DISCOVERY.</t>
  </si>
  <si>
    <t>• Must validate the full discovery pipeline against a known test app with depth=2 in HYBRID mode
• Must verify that the NavigationGraph contains correct nodes, screen types, and edges for the test app
• Must confirm that screen classifications match expected types for all discovered screens
• Must generate proposed journeys with valid 9-field TCs for all LOGIN-to-terminal paths
• Must verify that approved journeys are imported to the journeys table and visible in the Journey Stitcher</t>
  </si>
  <si>
    <t>BE-01 to BE-07, FE-01, FE-02, FR-028 BE-01, FR-002 BE-01</t>
  </si>
  <si>
    <t>Playwright AI + test app</t>
  </si>
  <si>
    <t>Full discovery pipeline verified end-to-end</t>
  </si>
  <si>
    <t>Analytics API &amp; Grafana</t>
  </si>
  <si>
    <t>FR-052</t>
  </si>
  <si>
    <t>GET /api/v1/analytics/runs
GET /api/v1/analytics/runs/{runId}
Run history + journey results</t>
  </si>
  <si>
    <t>Exposes the run history and per-TC result detail endpoints, supporting filter by journey, functionality, status, date range, and run type.</t>
  </si>
  <si>
    <t>• Exposes run history and per-test-case result detail endpoints with filtering by journeyId, functionality, status, date range, and run_type.
• GET /api/v1/analytics/runs returns filterable run lists and GET /api/v1/analytics/runs/{runId} returns full run detail including summary, per-journey results, per-screen results, and duration.
• Supports pagination with page_size=50 for efficient data retrieval.</t>
  </si>
  <si>
    <t>• Must filter run_executions by journeyId, functionality, status, date range, and run_type via query parameters
• Must return per-journey and per-screen result detail for the specified runId
• Must paginate results correctly using offset and limit parameters
• Must respond in under 1 second for typical query volumes
• Must return HTTP 404 with a clear error message if the runId is not found</t>
  </si>
  <si>
    <t>FR-022 BE-06, FR-043 BE-01/02, FR-044 BE-07/08, FR-045 BE-05 to BE-09, FR-046 BE-05, FR-048 BE-06, FR-049 BE-05, FR-050 BE-04</t>
  </si>
  <si>
    <t>run_executions, run_results, journey_results</t>
  </si>
  <si>
    <t>run_id, status, total, passed, failed, duration_ms, journey_results[]</t>
  </si>
  <si>
    <t>GET /api/v1/analytics/runs
GET /api/v1/analytics/runs/{runId}</t>
  </si>
  <si>
    <t>Run results available to FR-043 FE-01 and FR-052 FE-01</t>
  </si>
  <si>
    <t>GET /api/v1/analytics/performance
Mode 1 (SDK) + Mode 2 (JMeter)
Core Web Vitals + load metrics</t>
  </si>
  <si>
    <t>Exposes the performance analytics endpoints returning Core Web Vitals per screen (SDK mode) and JMeter aggregated metrics per sampler (load test mode) with trend history.</t>
  </si>
  <si>
    <t>• Exposes performance analytics endpoints returning Core Web Vitals per screen in SDK mode and JMeter aggregated metrics per sampler in load test mode.
• SDK Mode provides GET /analytics/performance/{journeyId}/screens with LCP, FID, CLS, TTFB metrics; JMeter Mode provides GET /analytics/load/{journeyId}/runs with avg_ms, p90_ms, p95_ms, error_rate, and throughput from FR-048 BE-06 load_test_results.
• Trend endpoint GET /analytics/performance/{journeyId}/trend returns the last 10 run metrics for historical analysis.</t>
  </si>
  <si>
    <t>• Must return Core Web Vitals (LCP, FID, CLS, TTFB) per screen for SDK mode via GET /analytics/performance/{journeyId}/screens
• Must return JMeter aggregated metrics (throughput, response time, error rate) per sampler for load test mode
• Must return trend data for the last 10 runs via the trend endpoint
• Must respond in under 1 second for all performance analytics queries
• Must return an empty array if no performance data exists for the requested journey or run</t>
  </si>
  <si>
    <t>FR-022 BE-06, FR-043 BE-01/02, FR-044 BE-07/08, FR-045 BE-05 to BE-09, FR-046 BE-05, FR-048 BE-06, FR-049 BE-05, FR-050 BE-04, FR-048 BE-06</t>
  </si>
  <si>
    <t>performance_metrics, load_test_results</t>
  </si>
  <si>
    <t>journey_id, screen, lcp_ms, fid_ms, cls, ttfb_ms, avg_ms, p90_ms, error_rate</t>
  </si>
  <si>
    <t>GET /api/v1/analytics/performance/{journeyId}/screens
GET /api/v1/analytics/load/{journeyId}/runs
GET /api/v1/analytics/performance/{journeyId}/trend</t>
  </si>
  <si>
    <t>Performance data in FR-052 FE-01 persona tabs</t>
  </si>
  <si>
    <t>Security findings per journey
WCAG violations + trend
Healing events + PR stats</t>
  </si>
  <si>
    <t>Exposes the security, accessibility, healing, and design analytics endpoints returning aggregated findings and trends for each analysis type per journey.</t>
  </si>
  <si>
    <t>• Exposes security, accessibility, healing, and design analytics endpoints returning aggregated findings and trends for each analysis type per journey.
• Security endpoint GET /analytics/security/{journeyId} returns vulnerabilities and severity counts from FR-045 BE-09; Accessibility endpoint GET /analytics/accessibility/{journeyId} returns WCAG violations from FR-044 BE-07/08 with trend over last 10 runs.
• Healing endpoint GET /analytics/healing/{journeyId} returns healing_events from FR-049 BE-05, algorithm distribution, and PR raised count; Design endpoint provides design analysis metrics.</t>
  </si>
  <si>
    <t>• Must return security findings and severity counts from FR-045 BE-09 via GET /analytics/security/{journeyId}
• Must return accessibility violations from FR-044 BE-07/08 via the accessibility endpoint
• Must return healing events from FR-049 BE-05 via the healing endpoint
• Must return design sync status from FR-047 BE-06 via the design endpoint
• Must respond in under 1 second for all analytics endpoints</t>
  </si>
  <si>
    <t>FR-022 BE-06, FR-043 BE-01/02, FR-044 BE-07/08, FR-045 BE-05 to BE-09, FR-046 BE-05, FR-048 BE-06, FR-049 BE-05, FR-050 BE-04, FR-045 BE-09, FR-044 BE-08, FR-049 BE-05, FR-047 BE-06</t>
  </si>
  <si>
    <t>security_findings, accessibility_results, healing_events, design_sync_log</t>
  </si>
  <si>
    <t>journey_id, vulnerabilities[], wcag_violations[], healing_events[], design_sync_status</t>
  </si>
  <si>
    <t>GET /api/v1/analytics/security/{journeyId}
GET /api/v1/analytics/accessibility/{journeyId}
GET /api/v1/analytics/healing/{journeyId}
GET /api/v1/analytics/design/{journeyId}</t>
  </si>
  <si>
    <t>Specialised data in FR-052 FE-01 persona tabs</t>
  </si>
  <si>
    <t>Targeted regression history
Release impact trend
Coverage gaps
Discovery sessions</t>
  </si>
  <si>
    <t>Exposes the targeted regression, coverage gap, and discovery session analytics endpoints returning scan history, impacted journey counts, and time-saved metrics.</t>
  </si>
  <si>
    <t>• Exposes targeted regression, coverage gap, and discovery session analytics endpoints returning scan history, impacted journey counts, and time savings.
• Targeted regression endpoint GET /analytics/targeted-regression/summary returns scan history, impacted journey counts, and time saved versus full run from FR-050 BE-04/05.
• Coverage gaps endpoint GET /analytics/coverage/gaps returns journeys with no run in last 30 days and unowned files from FR-037 BE-04; Discovery endpoint GET /analytics/discovery/sessions returns discovery run history from FR-051.</t>
  </si>
  <si>
    <t>• Must return targeted regression scan history and impacted journey counts from FR-050 BE-04/05
• Must return coverage gaps from FR-037 BE-04 via the coverage gap endpoint
• Must return discovery session history from FR-051 BE-01 via the discovery endpoint
• Must compute and return time saved correctly based on impacted journeys and scan duration
• Must respond in under 1 second for all targeted regression, coverage gap, and discovery analytics queries</t>
  </si>
  <si>
    <t>FR-022 BE-06, FR-043 BE-01/02, FR-044 BE-07/08, FR-045 BE-05 to BE-09, FR-046 BE-05, FR-048 BE-06, FR-049 BE-05, FR-050 BE-04, FR-050 BE-04, FR-050 BE-05, FR-037 BE-04, FR-051 BE-01</t>
  </si>
  <si>
    <t>targeted_regression_scans, journeys, discovery_runs</t>
  </si>
  <si>
    <t>scan_id, impacted_journeys, time_saved, coverage_pct, gap_journeys[]</t>
  </si>
  <si>
    <t>GET /api/v1/analytics/targeted-regression/summary
GET /api/v1/analytics/coverage/gaps
GET /api/v1/analytics/discovery/sessions</t>
  </si>
  <si>
    <t>Regression and coverage data in FR-052 FE-01</t>
  </si>
  <si>
    <t>Grafana auto-provisioned
InfluxDB data source
Dashboard JSON templates</t>
  </si>
  <si>
    <t>Provisions Grafana with the InfluxDB data source and ICE dashboard templates via YAML configuration files deployed automatically on ICE startup.</t>
  </si>
  <si>
    <t>• Provisions Grafana with the InfluxDB data source and ICE dashboard templates via YAML configuration files deployed automatically on ICE startup.
• Grafana provisioning YAML files include datasource.yaml for InfluxDB connection and dashboard JSON templates per persona (QA Engineer, QA Lead, Developer, Performance).
• Deployed via Grafana /api/dashboards/import and auto-provisioned on ICE deploy via docker-compose/Helm.</t>
  </si>
  <si>
    <t>• Must provision InfluxDB datasource in Grafana using datasource.yaml on ICE startup
• Must import all 4 persona dashboard JSON templates automatically on deployment
• Must make all dashboards accessible without requiring manual setup or configuration
• Must link all dashboard panels to the InfluxDB datasource for live data queries
• Must ensure provisioning is idempotent and does not duplicate resources on re-deploy</t>
  </si>
  <si>
    <t>FR-022 BE-06 (InfluxDB writes)</t>
  </si>
  <si>
    <t>Grafana + InfluxDB + YAML</t>
  </si>
  <si>
    <t>Grafana</t>
  </si>
  <si>
    <t>docker-compose/Helm provisioning files</t>
  </si>
  <si>
    <t>Grafana dashboards auto-available on deploy</t>
  </si>
  <si>
    <t>Alert rules in Grafana
Email / Slack / webhook
Pass rate drop + performance threshold</t>
  </si>
  <si>
    <t>Provisions Grafana alert rules for journey pass rate drops, performance threshold breaches, and healing rate spikes, routing alerts to FR-041 notification channels.</t>
  </si>
  <si>
    <t>• Provisions Grafana alert rules for journey pass rate drops, performance threshold breaches, and healing rate spikes, routing alerts to FR-041 notification system.
• Alert rules include journey regression alert when pass rate drops &gt;10% versus last 7 days, performance degradation when p95 response time exceeds FR-033 threshold, and healing rate spike when &gt;5 heals occur in single run.
• Alert contact points use email/Slack/webhook from FR-041 notification system.
• Alerts trigger notification via FR-041 BE-02 when thresholds are breached.</t>
  </si>
  <si>
    <t>• Must trigger journey regression alert when pass rate drops &gt;10% versus last baseline
• Must trigger performance alert when any threshold breach occurs
• Must trigger healing spike alert when &gt;5 heals occur in a single run
• Must route all alert notifications through FR-041 BE-02 notification system
• Must provision alert rules idempotently on re-deploy without duplication or errors</t>
  </si>
  <si>
    <t>BE-05, FR-041 BE-01, FR-041 BE-02, FR-033 BE-01</t>
  </si>
  <si>
    <t>Grafana alerting YAML</t>
  </si>
  <si>
    <t>Grafana alerting YAML provisioning files</t>
  </si>
  <si>
    <t>Alerts fire to FR-041 notification channels</t>
  </si>
  <si>
    <t>Analytics icon in ICE nav
Persona tab switcher
Run history + journey results + drill-down</t>
  </si>
  <si>
    <t>Renders the Analytics Dashboard persona tab switcher (QA Engineer / QA Lead / Developer / Performance) and a Grafana link button above the existing analytics tabs.</t>
  </si>
  <si>
    <t>• Renders the Analytics Dashboard persona tab switcher with QA Engineer, QA Lead, Developer, and Performance tabs above the existing analytics display.
• Extends FR-043 FE-01 Analytics Dashboard with tabs showing relevant BE-01–BE-04 data panels: QA Engineer shows run results (BE-01), QA Lead shows coverage and targeted regression (BE-04), Developer shows healing and security (BE-03), and Performance shows Core Web Vitals and load (BE-02).
• Includes a Grafana link button for direct access to embedded dashboards.</t>
  </si>
  <si>
    <t>• Must render persona tab switcher with QA Engineer, QA Lead, Developer, and Performance tabs above analytics display
• Must display BE-01 run results in QA Engineer tab
• Must display BE-04 coverage and targeted regression in QA Lead tab
• Must display BE-03 healing and security data in Developer tab
• Must display BE-02 performance metrics in Performance tab
• Must open provisioned Grafana dashboard in new window when Grafana link is clicked</t>
  </si>
  <si>
    <t>BE-01, BE-02, BE-03, BE-04, FR-043 FE-01</t>
  </si>
  <si>
    <t>Persona-specific analytics visible; Grafana accessible</t>
  </si>
  <si>
    <t>Full E2E: run journey → results in ICE dashboard → Grafana</t>
  </si>
  <si>
    <t>Validates the Analytics API end-to-end: run results served correctly, performance and accessibility data returned, Grafana dashboards updated, and an alert fired on threshold breach.</t>
  </si>
  <si>
    <t>• Validates the Analytics API end-to-end by running 3 journeys (2 pass, 1 fail) and verifying that results are correctly served through all layers.
• Verifies that BE-01 returns correct results, FE-01 QA Engineer tab shows correct run summary, FR-043 confidence gate operates correctly, and Grafana dashboard updates with run data.
• Confirms that alert fires when pass rate drops below threshold as configured in FR-052 BE-06.</t>
  </si>
  <si>
    <t>• Must return correct run results from BE-01 after executing 3 journeys (2 pass, 1 fail)
• Must display correct run summary in FE-01 QA Engineer tab reflecting 2 pass and 1 fail
• Must show correct confidence gate calculation in FR-043
• Must update Grafana dashboard with new run data within 30 seconds
• Must fire alert when threshold breach occurs during test run</t>
  </si>
  <si>
    <t>BE-01 to BE-06, FE-01, FR-043 FE-01, FR-041 BE-02</t>
  </si>
  <si>
    <t>Playwright AI + Grafana API</t>
  </si>
  <si>
    <t>Full analytics pipeline verified end-to-end</t>
  </si>
  <si>
    <t>SaaS Infrastructure &amp; Multi-tenancy</t>
  </si>
  <si>
    <t>FR-053</t>
  </si>
  <si>
    <t>SaaS Infrastructure</t>
  </si>
  <si>
    <t>JWT → tenant_id extracted
All queries auto-scoped
TenantContext thread-local
No cross-tenant leakage</t>
  </si>
  <si>
    <t>Implements the tenant isolation middleware that extracts tenant_id from the JWT on every request and scopes all database queries to the current tenant using a thread-local context.</t>
  </si>
  <si>
    <t>• Implements tenant isolation middleware that extracts tenant_id from the JWT claim on every request and scopes all database queries to the current tenant.
• JWT token contains claim {"tenant_id": "codiem-bank", "user_id": "...", "role": "QA_LEAD"} and Spring Security filter extracts tenant_id, storing it in TenantContext (ThreadLocal&lt;String&gt;).
• JPA/Hibernate @Filter automatically appends WHERE tenant_id = :currentTenant to all entity queries via Hibernate filter mechanism at runtime.</t>
  </si>
  <si>
    <t>• Must extract tenant_id from JWT claim on every request and store in TenantContext
• Must automatically include WHERE tenant_id = ? in all JPA queries as verified by SQL logging
• Must prevent Tenant A from reading Tenant B data as verified in integration test
• Must allow super admin JWT to bypass tenant filter and read all tenants
• Must return 401 Unauthorized when tenant_id claim is missing from JWT</t>
  </si>
  <si>
    <t>FR-042 BE-01 (Tenant Provisioning Service)</t>
  </si>
  <si>
    <t>GitHub Copilot — Hibernate filter + Spring Security boilerplate
Claude — TenantAwareTaskExecutor + background job design</t>
  </si>
  <si>
    <t>Spring Boot · Spring Security · Hibernate @Filter · JWT (jjwt) · ThreadLocal · @Async</t>
  </si>
  <si>
    <t>READ (every query)</t>
  </si>
  <si>
    <t>All ICE tables (tenant_id column on all)</t>
  </si>
  <si>
    <t>tenant_id injected into all queries automatically via Hibernate filter</t>
  </si>
  <si>
    <t>INTERNAL — middleware layer. No HTTP endpoint.
TenantContext API:
  TenantContext.get()  → String tenantId
  TenantContext.set(tenantId) → void (background jobs)
  TenantContext.clear() → void (after request)</t>
  </si>
  <si>
    <t>@RequiresPlan annotation
Standard / Pro / Enterprise
Feature gate per FR
Graceful 403 with upgrade message</t>
  </si>
  <si>
    <t>Implements the plan-based feature gate using a @RequiresPlan annotation that checks the tenant's plan tier before allowing access to Pro or Enterprise features.</t>
  </si>
  <si>
    <t>• Implements plan-based feature gate using @RequiresPlan annotation that checks the tenant's plan tier before allowing access to Pro or Enterprise features.
• Standard plan includes functional testing (FR-020–028), accessibility testing (FR-025), Git Bridge (FR-043–039), and max 2 parallel agents, but excludes visual testing, load testing, self-healing, and targeted regression.
• Pro plan includes everything in Standard plus visual testing (FR-023) and self-healing (FR-046); Enterprise plan includes everything in Pro plus load testing (FR-045) and targeted regression (FR-047).
• Annotation blocks access and returns 403 Forbidden with error message when tenant plan does not include the required feature tier.</t>
  </si>
  <si>
    <t>• Must return 403 with upgrade message when Standard tenant attempts to access load testing
• Must return 403 when Pro tenant attempts to access load testing (Enterprise-only feature)
• Must allow Enterprise tenant full access to all features including load testing
• Must block 6th parallel run for Pro tenant with max=5 agents and return 429 with agent limit message
• Must enforce @RequiresPlan annotation on any Spring @Service method for feature gating</t>
  </si>
  <si>
    <t>FR-042 BE-01 (Tenant Provisioning Service), BE-01</t>
  </si>
  <si>
    <t>GitHub Copilot — AOP interceptor + annotation boilerplate
Claude — plan tier matrix design + agent limit logic</t>
  </si>
  <si>
    <t>Spring Boot · AOP (AspectJ) · Custom @Annotation · PostgreSQL (tenant.plan) · Jackson</t>
  </si>
  <si>
    <t>tenant (reads plan, max_parallel_agents)
run_execution (counts active_runs for agent limit)</t>
  </si>
  <si>
    <t>tenant.plan, tenant.max_parallel_agents, run_execution.status</t>
  </si>
  <si>
    <t>INTERNAL — AOP interceptor. No HTTP endpoint.
Plan check utility:
  PlanService.hasFeature(tenantId, Feature.VISUAL_TESTING) → boolean
  PlanService.getAgentLimit(tenantId) → int
Admin plan update:
PUT /admin/tenants/{tenantId}/plan
  Body: {plan: "PRO", maxParallelAgents: 5}
  Response 200: {tenantId, plan, maxParallelAgents}</t>
  </si>
  <si>
    <t>Meter: runs, journeys, agents
storage consumed
Monthly rollup
GET /admin/tenants/{id}/usage</t>
  </si>
  <si>
    <t>Implements usage metering that tracks run count, journey count, active agents, and storage consumed per tenant, exposing a monthly rollup via the admin API.</t>
  </si>
  <si>
    <t>• Implements usage metering that tracks run count, journey count, active agents, and storage consumed per tenant with monthly rollup reporting.
• Metered dimensions include total runs executed this month by type (FULL/TARGETED/SELECTIVE) and duration, total journeys in tenant with automation count, and storage consumed in S3 and InfluxDB.
• Exposes monthly rollup via admin API endpoint showing aggregated usage metrics per tenant for billing and capacity planning.</t>
  </si>
  <si>
    <t>• Must increment runs_this_month correctly on run completion by type (FULL/TARGETED/SELECTIVE)
• Must calculate agent-minutes from run duration and record accurately
• Must meter AI calls per CLAP generation and Discovery classification
• Must reset monthly rollup on 1st of each month without data loss
• Must return correct usage values via Usage API for admin dashboard
• Must prevent double-counting when concurrent runs complete simultaneously
• Must persist metered usage to usage_summary and usage_event and be retrievable on subsequent reads</t>
  </si>
  <si>
    <t>GitHub Copilot — event listener + atomic increment boilerplate
Claude — metering dimension design + rollup strategy</t>
  </si>
  <si>
    <t>Spring Boot · Spring Events · PostgreSQL · Jackson</t>
  </si>
  <si>
    <t>usage_summary (tenant_id, year_month, metric_type, value)
usage_event (tenant_id, event_type, value, recorded_at) — audit trail</t>
  </si>
  <si>
    <t>tenant_id, year_month, metric_type (enum), value (bigint)</t>
  </si>
  <si>
    <t>GET /admin/tenants/{tenantId}/usage
  ?month=2026-04  (defaults to current month)
  Response: {
    period: "2026-04",
    runsExecuted: 142,
    agentMinutes: 3840,
    journeysTotal: 43,
    journeysAutomated: 38,
    storageGb: 2.4,
    aiCallsClap: 87,
    aiCallsDiscovery: 12
  }
GET /admin/tenants/{tenantId}/usage/history
  Response: [{period, runsExecuted, agentMinutes}] — last 12 months</t>
  </si>
  <si>
    <t>Flyway migration V999
Adds tenant_id to all tables
Backfills existing rows
Adds NOT NULL constraint after</t>
  </si>
  <si>
    <t>Runs the Flyway migration that adds tenant_id to all existing tables and backfills the column before applying a NOT NULL constraint.</t>
  </si>
  <si>
    <t>• Runs Flyway migration that adds tenant_id column to all existing tables including journey, test_case, run_execution, git_config, and all other core tables.
• Backfills tenant_id column with appropriate tenant values before applying NOT NULL constraint to ensure data integrity.
• Migration executes in controlled manner to prepare database schema for multi-tenant isolation enforcement.</t>
  </si>
  <si>
    <t>• Must run migration without errors on clean schema
• Must run migration without errors on schema with existing data
• Must add tenant_id NOT NULL column to all 26 listed tables after migration
• Must create index on tenant_id for all tables
• Must backfill existing rows with codiem-default tenant_id before applying NOT NULL constraint
• Must provide rollback script V999_rollback.sql that reverses migration changes
• Must persist tenant_id column and data to all 26 tables and be retrievable on subsequent reads</t>
  </si>
  <si>
    <t>GitHub Copilot — Flyway migration SQL generation
Claude — batch update strategy + index design</t>
  </si>
  <si>
    <t>Flyway · PostgreSQL · SQL</t>
  </si>
  <si>
    <t>WRITE (schema migration)</t>
  </si>
  <si>
    <t>All 26 tables listed above</t>
  </si>
  <si>
    <t>tenant_id VARCHAR(100) NOT NULL + INDEX + FK to tenant table</t>
  </si>
  <si>
    <t>INTERNAL — Flyway migration. No HTTP endpoint.</t>
  </si>
  <si>
    <t>Enterprise tenant upgrade path
Extract tenant data → new DB
Zero-downtime migration
DataSource routing by tenant</t>
  </si>
  <si>
    <t>Implements the Enterprise tenant dedicated database migration path, extracting tenant data to an isolated database with zero-downtime DataSource routing.</t>
  </si>
  <si>
    <t>• Implements Enterprise tenant dedicated database migration path, extracting tenant data to an isolated database with zero-downtime DataSource routing.
• Triggered when Enterprise tenant requests dedicated DB for compliance, data residency, or performance isolation; super admin initiates migration.
• Migration pipeline provisions new PostgreSQL instance, exports tenant data using pg_dump with WHERE tenant_id filter, imports to dedicated instance, and switches DataSource routing without downtime.
• Allows Enterprise tenants to operate on isolated database infrastructure while maintaining API compatibility and zero service interruption.</t>
  </si>
  <si>
    <t>• Must export all tenant data from shared DB correctly with row counts matching source
• Must verify row counts match between shared and dedicated DB after import with zero data loss
• Must route Model 3 tenant queries to dedicated DB via DataSource routing correctly
• Must leave Model 1 tenants unaffected and functional during and after migration
• Must allow migration rollback before final cutover without data loss
• Must persist deployment_model field to tenant table and be retrievable on subsequent reads</t>
  </si>
  <si>
    <t>FR-042 BE-01 (Tenant Provisioning Service), BE-01, BE-04</t>
  </si>
  <si>
    <t>GitHub Copilot — AbstractRoutingDataSource + DataSource registry
Claude — zero-downtime migration pipeline + rollback strategy</t>
  </si>
  <si>
    <t>Spring Boot · AbstractRoutingDataSource · PostgreSQL · pg_dump/pg_restore · Docker / AWS RDS / Azure SQL</t>
  </si>
  <si>
    <t>PostgreSQL (shared + dedicated)</t>
  </si>
  <si>
    <t>tenant (deployment_model field)
All tenant-scoped tables (migrated)</t>
  </si>
  <si>
    <t>tenant.deployment_model: MODEL_1 / MODEL_3
tenant.dedicated_db_url (encrypted)</t>
  </si>
  <si>
    <t>POST /admin/tenants/{tenantId}/migrate-to-model3
  Response 202: {migrationId, status: "STARTED", estimatedMinutes}
GET  /admin/tenants/{tenantId}/migration-status/{migrationId}
  Response: {status: RUNNING/COMPLETED/FAILED,
             rowsExported, rowsImported, step}</t>
  </si>
  <si>
    <t>GET /admin/tenants
Suspend / reactivate tenant
Usage overview
Plan upgrade API</t>
  </si>
  <si>
    <t>Exposes the Super Admin API endpoints for listing tenants, suspending and reactivating accounts, viewing usage, and applying plan upgrades.</t>
  </si>
  <si>
    <t>• Exposes Super Admin API endpoints for listing tenants, suspending and reactivating accounts, viewing usage, and applying plan upgrades.
• GET /admin/tenants returns array of tenant summaries including tenantId, name, plan, status, agentCount, journeyCount, lastRunAt, storageGb, and deploymentModel; GET /admin/tenants/{tenantId} returns full tenant detail.
• PUT /admin/tenants/{tenantId}/plan accepts plan and maxParallelAgents in request body and applies changes with immediate effect without requiring restart.</t>
  </si>
  <si>
    <t>• Must return correct tenant list with usage summary via GET /admin/tenants
• Must apply plan upgrade immediately with feature gates updated in real-time
• Must return 402 on all endpoints for suspended tenant
• Must restore full access immediately upon reactivation
• Must show real-time infrastructure status via GET /admin/health
• Must require super admin JWT for all admin endpoints and return 403 for non-admin users
• Must persist status, plan, and max_parallel_agents updates to tenant table and be retrievable on subsequent reads</t>
  </si>
  <si>
    <t>FR-042 BE-01 (Tenant Provisioning Service), FR-042 BE-04 (Active Clients List API), BE-01, BE-03</t>
  </si>
  <si>
    <t>GitHub Copilot — admin CRUD API boilerplate
Claude — suspension middleware + health check design</t>
  </si>
  <si>
    <t>Spring Boot · PostgreSQL · Spring Security · Jackson</t>
  </si>
  <si>
    <t>tenant (status, plan, max_parallel_agents)
usage_summary (reads for admin dashboard)</t>
  </si>
  <si>
    <t>tenant: status, plan, max_parallel_agents, deployment_model</t>
  </si>
  <si>
    <t>GET    /admin/tenants
GET    /admin/tenants/{tenantId}
PUT    /admin/tenants/{tenantId}/plan
POST   /admin/tenants/{tenantId}/suspend
POST   /admin/tenants/{tenantId}/reactivate
POST   /admin/tenants/{tenantId}/migrate-to-model3  (BE-05)
GET    /admin/health</t>
  </si>
  <si>
    <t>Super admin only
Tenant list + health
Plan upgrade UI
Usage per tenant</t>
  </si>
  <si>
    <t>Renders the Super Admin Dashboard overlay with the tenant list, health status, plan badges, usage meters, and suspend/reactivate controls.</t>
  </si>
  <si>
    <t>• Renders the Super Admin Dashboard overlay with tenant list, health status bar, plan badges, usage meters, and suspend/reactivate controls.
• The header displays active tenant count, running jobs, queue depth, DB health, and InfluxDB health status metrics.
• The tenant table shows columns for Tenant, Plan, Status, Journeys, Last run, Storage, Deployment, and Actions with View/Edit plan/Suspend buttons, and clicking a tenant row opens a detail panel with usage, audit, and configuration tabs.</t>
  </si>
  <si>
    <t>• Must display tenant table showing all active tenants with correct metadata including plan, status, and usage
• Must display health bar with real-time DB, InfluxDB, and agent status updates
• Must show feature diff correctly in plan upgrade modal
• Must trigger correct API on suspend/reactivate and update table immediately without page reload
• Must show Model 3 migration tab only for Enterprise tenants
• Must restrict all admin screens to super admin role and return 403 for non-admin users</t>
  </si>
  <si>
    <t>FR-042 BE-01 (Tenant Provisioning Service), FR-042 FE-02 (Active Clients List UI), BE-06</t>
  </si>
  <si>
    <t>Cursor AI — admin dashboard layout + tenant table
Claude — plan upgrade modal + feature diff display</t>
  </si>
  <si>
    <t>tenant · usage_summary</t>
  </si>
  <si>
    <t>Calls: GET /admin/tenants, GET /admin/health, PUT /admin/tenants/{id}/plan, POST /suspend, POST /reactivate</t>
  </si>
  <si>
    <t>ENDPOINTS YOU CALL:
GET  /admin/tenants           (BE-06)
GET  /admin/tenants/{id}      (BE-06)
GET  /admin/health            (BE-06)
PUT  /admin/tenants/{id}/plan (BE-06)
GET  /admin/tenants/{id}/usage (BE-03)
POST /admin/tenants/{id}/suspend    (BE-06)
POST /admin/tenants/{id}/reactivate (BE-06)</t>
  </si>
  <si>
    <t>Locked feature overlay
"Upgrade to Pro" prompt
Plan comparison modal
Consistent across all screens</t>
  </si>
  <si>
    <t>Renders the plan gate locked feature overlay with an Upgrade prompt, plan comparison modal, and consistent styling across all gated screens.</t>
  </si>
  <si>
    <t>• Renders the plan gate locked feature overlay with an Upgrade prompt, plan comparison modal, and consistent styling across all gated screens.
• The PlanGate wrapper component accepts feature name and requiredPlan props and wraps restricted UI components like VisualTestingSettings.
• When the feature is locked, displays an overlay with lock icon, feature name, availability message for Pro and Enterprise plans, upgrade prompt text, and View plan details button.</t>
  </si>
  <si>
    <t>• Must correctly read current tenant plan from auth context JWT claims
• Must show locked feature overlay without rendering underlying component for insufficient plan
• Must display correct feature matrix in plan comparison modal with current plan highlighted
• Must show Enterprise features as locked for Pro tenant in modal
• Must hide overlay and render full component immediately when plan upgrade completes
• Must apply consistent PlanGate styling across all gated screens</t>
  </si>
  <si>
    <t>FR-042 BE-01 (Tenant Provisioning Service), BE-02</t>
  </si>
  <si>
    <t>Cursor AI — PlanGate component + plan comparison modal
Claude — feature matrix config design</t>
  </si>
  <si>
    <t>PostgreSQL (reads plan from JWT claims)</t>
  </si>
  <si>
    <t>JWT claims (plan tier embedded at login)</t>
  </si>
  <si>
    <t>plan from JWT claim → PlanGate evaluation</t>
  </si>
  <si>
    <t>INTERNAL — reads plan from React auth context (JWT).
No additional API call needed — plan embedded in JWT at login.
Plan comparison data:
GET /api/v1/plans/features
  Response: [{feature, standardIncluded, proIncluded, enterpriseIncluded}]</t>
  </si>
  <si>
    <t>E2E:
Tenant A cannot see Tenant B
Standard plan blocked from Pro features
Usage metered correctly</t>
  </si>
  <si>
    <t>Validates the full multi-tenancy isolation: Tenant A cannot see Tenant B data, Standard plan is blocked from Pro features, and usage is metered correctly.</t>
  </si>
  <si>
    <t>• Validates the full multi-tenancy isolation: Tenant A cannot see Tenant B data, Standard plan is blocked from Pro features, and usage is metered correctly.
• Test 1 verifies tenant isolation by creating a journey in Tenant A, logging in as Tenant B user, and confirming Tenant A journey does not appear in GET /journeys list and returns 404 on direct GET /journeys/{tenantAJourneyId}.
• Test 2 verifies plan gating by setting tenant plan to STANDARD and attempting to access Pro features, confirming appropriate blocking behavior.</t>
  </si>
  <si>
    <t>• Must make Tenant A data invisible to Tenant B in all queries across all tables
• Must return 403 with PLAN_LIMIT error body when Standard plan attempts Pro features
• Must return 429 when agent limit is exceeded with clear error message
• Must meter usage correctly after 3 runs with accurate counts in usage_summary
• Must return 402 on all endpoints when tenant is suspended
• Must pass all tests without any cross-tenant data leakage detected</t>
  </si>
  <si>
    <t>FR-042 BE-01 (Tenant Provisioning Service), BE-01, BE-02, BE-03, BE-04, BE-06, FE-01, FE-02</t>
  </si>
  <si>
    <t>Claude — multi-tenant E2E scenario design</t>
  </si>
  <si>
    <t>TestNG · Spring Boot Test · PostgreSQL · JWT · GitHub Actions</t>
  </si>
  <si>
    <t>tenant · journey · run_execution · usage_summary</t>
  </si>
  <si>
    <t>tenant isolation, plan gating, usage metering all verified</t>
  </si>
  <si>
    <t>All FR-050 endpoints under test.</t>
  </si>
  <si>
    <t>Non-Functional Requirements</t>
  </si>
  <si>
    <t>FR-054</t>
  </si>
  <si>
    <t>NFR Infrastructure</t>
  </si>
  <si>
    <t>NFR-001: CLAP &lt; 30s (50 TCs)
NFR-003: Dashboard &lt; 3s P95
NFR-004: 100 concurrent users
NFR-005: 20 parallel agents</t>
  </si>
  <si>
    <t>Implements performance NFRs: CLAP generation completes in under 30 seconds for 50 TCs, the dashboard loads in under 3 seconds at P95, and the system supports 100 concurrent users.</t>
  </si>
  <si>
    <t>• Implements performance NFRs: CLAP generation completes in under 30 seconds for 50 TCs, the dashboard loads in under 3 seconds at P95, and the system supports defined latency targets.
• NFR-001 specifies CLAP LLM invocation completes within 30s for up to 50 test cases in Step 2 and within 60s for automation code generation in Step 10.
• Implementation uses LLM Gateway timeout configuration of 30s/60s per operation type, streaming response mode for partial results as they arrive, and async invocation patterns.</t>
  </si>
  <si>
    <t>• Must complete CLAP generation for 50 test cases within 30 seconds
• Must process CI webhook within 5 seconds of receipt
• Must load analytics dashboard within 3 seconds for 10,000 records at P95
• Must respond to 100 concurrent users within 3 seconds verified by JMeter
• Must execute 20 parallel agent runs without race conditions
• Must query run_execution and InfluxDB continuous aggregations without timeout</t>
  </si>
  <si>
    <t>NFR-001 to NFR-020 (Non_Functional_Requirements.xlsx)</t>
  </si>
  <si>
    <t>GitHub Copilot — thread pool + connection pool config
Claude — async LLM streaming + paginated InfluxDB query design</t>
  </si>
  <si>
    <t>Spring Boot · Tomcat · HikariCP · Redis · InfluxDB · React Query · Spring Events · JMeter (validation)</t>
  </si>
  <si>
    <t>InfluxDB + PostgreSQL + Redis</t>
  </si>
  <si>
    <t>run_execution (agent_id, status) · InfluxDB continuous aggregations</t>
  </si>
  <si>
    <t>NFR-001 to NFR-005 acceptance criteria all measurable via Grafana</t>
  </si>
  <si>
    <t>CONFIGURATION:
LLM Gateway timeout: application.yml
  llm.timeout.generation: 35000
  llm.timeout.automation: 65000
Tomcat pool: server.tomcat.threads.max=200
HikariCP: spring.datasource.hikari.maximum-pool-size=50
MONITORING:
GET /actuator/metrics/http.server.requests — P95 latency
GET /actuator/metrics/hikaricp.connections — pool usage</t>
  </si>
  <si>
    <t>NFR-006: Auto-scale 10× baseline
NFR-007: 50K test cases + artefacts
NFR-008: 500 requirements / 20MB
Kubernetes HPA config</t>
  </si>
  <si>
    <t>Implements scalability and capacity NFRs: auto-scales to 10x baseline on demand, stores 50,000 test cases and artefacts per tenant, and handles 500 requirements per 20 MB upload.</t>
  </si>
  <si>
    <t>• Implements scalability and capacity NFRs: auto-scales to 10x baseline on demand, stores 50,000 test cases and artefacts per tenant, and handles 500 requests concurrently.
• NFR-006 requires CLAP engine and test runner to scale horizontally to 10× baseline load.
• Implementation uses Kubernetes Horizontal Pod Autoscaler per component with ice-clap-service set to minReplicas=1, maxReplicas=10, targetCPUUtilizationPercentage=70 and ice-runner-service set to minReplicas=2, maxReplicas=20.</t>
  </si>
  <si>
    <t>• Must auto-scale CLAP to 10 pods under load verified in k8s test environment via HPA
• Must store 50,000 test_case rows and return all list queries in under 1 second with pagination
• Must process 20MB XLSX requirements file without timeout
• Must generate test cases correctly for 500 requirements
• Must store 50,000 artefact records in artefact_metadata and S3 without degradation
• Must persist test_case and artefact_metadata to their respective tables and be retrievable on subsequent reads</t>
  </si>
  <si>
    <t>GitHub Copilot — Kubernetes HPA YAML + PostgreSQL partition DDL
Claude — chunked CLAP batch design + connection pool scaling formula</t>
  </si>
  <si>
    <t>Kubernetes · HPA · Spring Boot · PostgreSQL (partitioning) · S3/MinIO · Apache POI Streaming · Docker Compose</t>
  </si>
  <si>
    <t>PostgreSQL + S3</t>
  </si>
  <si>
    <t>test_case (partitioned) · artefact_metadata · S3 artefact storage</t>
  </si>
  <si>
    <t>NFR-006: HPA config · NFR-007: partition + index DDL · NFR-008: multipart.max-file-size config</t>
  </si>
  <si>
    <t>CONFIGURATION:
spring.servlet.multipart.max-file-size=20MB
spring.servlet.multipart.max-request-size=21MB
k8s/hpa-clap.yaml:
  minReplicas: 1, maxReplicas: 10
  targetCPUUtilizationPercentage: 70
k8s/hpa-runner.yaml:
  minReplicas: 2, maxReplicas: 20</t>
  </si>
  <si>
    <t>NFR-009: OAuth2/PAT on Xray+Git
NFR-010: JWT on all internal APIs
NFR-011: AES-256 at rest
NFR-012: TLS 1.2+ in transit
NFR-014: Audit log 12 months</t>
  </si>
  <si>
    <t>Implements security NFRs: OAuth2/PAT for Xray and Git, JWT on all internal APIs, AES-256 encryption at rest, TLS 1.2+ in transit, and 12-month audit log retention.</t>
  </si>
  <si>
    <t>• Implements security NFRs: OAuth2/PAT for Xray and Git, JWT on all internal APIs, AES-256 encryption at rest, TLS 1.2+ in transit, and 12-month audit log retention.
• NFR-009 requires all outbound calls to use authenticated connections with Xray using Bearer token (Personal Access Token) and Git providers using OAuth 2.0/PAT/SSH key per FR-043 BE-06.
• Credentials are AES-256 encrypted in design_config and git_config tables and are never included in logs.</t>
  </si>
  <si>
    <t>• Must include auth header on all Xray and Git outbound calls verified in integration test
• Must return 401 for unauthenticated requests to any /api/** endpoint
• Must return 401 with INVALID_TOKEN error for expired JWT
• Must render sensitive columns (credentials, tokens) unreadable in DB dump using AES-256 encryption
• Must enforce TLS 1.2+ on all connections verified with openssl
• Must persist audit_log entries (tenant_id, user_id, action_type, entity_type, entity_id, step_ref) and be retrievable on subsequent reads</t>
  </si>
  <si>
    <t>GitHub Copilot — JWT filter + AOP audit log boilerplate
Claude — credential masking + chain-hash audit design</t>
  </si>
  <si>
    <t>Spring Security · JWT (jjwt) · Spring AOP · pgcrypto · AWS KMS · TLS 1.2 · OkHttp · SHA-256</t>
  </si>
  <si>
    <t>audit_log (tenant_id, user_id, action_type, entity_type, entity_id, step_ref, outcome, ip_address, timestamp, integrity_hash)</t>
  </si>
  <si>
    <t>All audit_log fields + encrypted sensitive columns in all config tables</t>
  </si>
  <si>
    <t>INTERNAL — Spring Security + AOP. No HTTP endpoint for audit.
Admin audit query:
GET /admin/audit-log
  ?tenantId=&amp;userId=&amp;actionType=&amp;from=&amp;to=
  Response: [{timestamp, userId, actionType, entityType, outcome, ipAddress}]</t>
  </si>
  <si>
    <t>NFR-013: 4 roles minimum
Least-privilege per screen
Enforced on all API endpoints
FR-049 BE-02 extended</t>
  </si>
  <si>
    <t>Implements RBAC NFRs: a minimum of four roles enforced with least-privilege access across all API endpoints and screens.</t>
  </si>
  <si>
    <t>• Implements RBAC NFRs: a minimum of four roles enforced with least-privilege access across all API endpoints and screens.
• Core RBAC middleware is built in FR-050 BE-02 and this task extends it with the full 4-role permission matrix including Tenant Admin, QA Lead, and other roles.
• Tenant Admin has access to all screens plus Settings and User management, can suspend/reactivate users, but cannot access /admin (super admin only), while QA Lead has restricted permissions.</t>
  </si>
  <si>
    <t>• Must return 403 when QA Engineer attempts to access Settings
• Must return 403 when Read Only user attempts to trigger a run
• Must return 403 when QA Lead attempts to invite users
• Must grant Tenant Admin full access to all tenant screens
• Must enforce role change on next login with new JWT issued
• Must include required role in body of all 403 responses</t>
  </si>
  <si>
    <t>GitHub Copilot — @RequiresRole AOP annotation + permission matrix
Claude — scope hierarchy design</t>
  </si>
  <si>
    <t>Spring Security · AOP · JWT · Spring Boot</t>
  </si>
  <si>
    <t>ice_user (role) · JWT claims</t>
  </si>
  <si>
    <t>role from JWT + permission matrix enforcement</t>
  </si>
  <si>
    <t>INTERNAL — AOP. No HTTP endpoint.
Permission check utility:
  RoleService.hasPermission(role, Screen.SETTINGS) → boolean
Permission matrix:
GET /api/v1/auth/permissions
  Response: [{screen, allowedRoles[]}] — for FE menu rendering</t>
  </si>
  <si>
    <t>NFR-015: 99.5% uptime SLA
NFR-016: 99% CLAP availability
NFR-017: RPO 1h · RTO 4h
NFR-017: 3 retries on infra fail
NFR-018: Git push retry + flag
NFR-017: Webhook fallback</t>
  </si>
  <si>
    <t>Implements reliability NFRs: 99.5% uptime SLA, 99% CLAP availability, RPO 1 hour and RTO 4 hours, three retries on infrastructure failure, and webhook fallback handling.</t>
  </si>
  <si>
    <t>• Implements reliability NFRs: 99.5% uptime SLA, 99% CLAP availability, RPO 1 hour and RTO 4 hours, three retries on infrastructure failure, and webhook retry policies.
• NFR-015 platform availability is monitored via health check endpoint GET /health returning status, db, influx, redis with Kubernetes liveness and readiness probes on all pods.
• Load balancer health checks remove unhealthy pods from rotation and uptime is monitored in Grafana with alerts if availability drops below 99.5%.</t>
  </si>
  <si>
    <t>• Must return correct component status from /health within 500ms
• Must trip LLM circuit breaker after 5 failures and route to fallback
• Must create daily backup and store to S3 verified in monitoring
• Must complete DB restore from backup within 4 hours to meet RTO
• Must retry infrastructure failure 3 times and mark 4th attempt as permanent failure
• Must persist run_execution (retry_count, last_error, infrastructure_failed_at) and webhook_delivery and be retrievable on subsequent reads</t>
  </si>
  <si>
    <t>GitHub Copilot — Resilience4j circuit breaker + retry config
Claude — backup verification strategy + webhook delivery log design</t>
  </si>
  <si>
    <t>Spring Boot · Resilience4j · Kubernetes probes · pg_basebackup · AWS S3 · Spring Retry</t>
  </si>
  <si>
    <t>run_execution (retry_count, last_error, infrastructure_failed_at)
webhook_delivery_log (event_id, delivered_at, status, retry_count)
llm_request_queue (status=QUEUED_PENDING_LLM)</t>
  </si>
  <si>
    <t>retry_count, last_error, next_retry_at, pushed_to_git, automated_flag</t>
  </si>
  <si>
    <t>GET  /health
  Response: {status: UP/DOWN, db: UP/DOWN, influx: UP/DOWN, redis: UP/DOWN}
PUT  /api/v1/journeys/{journeyId}/automated-flag
  Body: {automated: true, reason: "Manual override — webhook missed"}
  Response 200: {journeyId, automated, updatedBy, updatedAt}</t>
  </si>
  <si>
    <t>NFR-017: Error code + resolution
NFR-017: Flags visible per row
Global error component
Real-time flag updates</t>
  </si>
  <si>
    <t>Implements usability NFRs: structured error messages with resolution hints on all error states, real-time flag updates per row, and a global error component for unhandled failures.</t>
  </si>
  <si>
    <t>• Implements usability NFRs: structured error messages with resolution hints on all error states, real-time flag updates per row, and a global error component.
• NFR-017 requires 100% of user-facing errors to include error code plus resolution hint.
• Implementation uses global ICE Error component displaying error code icon, error code (e.g., ICE-4029), descriptive message (e.g., Git push failed — branch "main" is protected), and resolution hint (e.g., Use a feature branch or disable branch protection).</t>
  </si>
  <si>
    <t>• Must render every API error response with error code plus resolution hint
• Must cover all error codes from all FR APIs in ICE_ERROR_CODES.ts
• Must display Git and Automated flag badges on every journey row
• Must update flag badges in real-time when another user triggers a change
• Must show flag tooltip with who changed it and when sourced from audit_log</t>
  </si>
  <si>
    <t>Cursor AI — IceError component + flag badge design
Claude — error code registry + WebSocket reconnect design</t>
  </si>
  <si>
    <t>React · TypeScript · Tailwind CSS · WebSocket / SSE · React Query</t>
  </si>
  <si>
    <t>journey (pushed_to_git, automated_flag)
audit_log (for tooltip — who changed the flag)</t>
  </si>
  <si>
    <t>Calls: GET /journeys (with flag fields), WebSocket /ws/journey-flags/{tenantId}</t>
  </si>
  <si>
    <t>WEBSOCKET:
WS /ws/journey-flags/{tenantId}
  Messages: {journeyId, flag: "pushed_to_git"|"automated", value, updatedBy}
ERROR FORMAT (all APIs):
  {errorCode: "ICE-3042", message: "Git push failed",
   resolution: "Use a feature branch", retryable: true}</t>
  </si>
  <si>
    <t>NFR acceptance tests
JMeter: latency + concurrency
Security: auth + TLS + audit
Reliability: retry + backup</t>
  </si>
  <si>
    <t>Validates all NFR acceptance criteria: JMeter latency and concurrency tests, security auth and TLS verification, audit log completeness, and reliability retry behaviour.</t>
  </si>
  <si>
    <t>• Validates all NFR acceptance criteria: JMeter latency and concurrency tests, security auth and TLS verification, audit log completeness, and reliability checks.
• E2E NFR validation covers all 27 NFRs via an automated test suite that runs in the CI pipeline to verify NFR acceptance criteria are met.
• Performance tests use JMeter to measure NFR-001 CLAP generation for 50 TCs under 30s, NFR-003 dashboard load with 10,000 records at P95 under 3s, NFR-004 100 concurrent users with all responses under 3s, and other defined metrics.</t>
  </si>
  <si>
    <t>• Must verify all 27 NFR acceptance criteria in automated test suite
• Must pass performance tests at defined thresholds using JMeter
• Must confirm no authentication bypass found in security tests
• Must confirm retry and fallback mechanisms in reliability tests
• Must complete NFR test suite in under 30 minutes in CI pipeline
• Must publish test results to Grafana or equivalent monitoring dashboard</t>
  </si>
  <si>
    <t>Claude — NFR test scenario design + security test cases</t>
  </si>
  <si>
    <t>TestNG · JMeter · openssl · Spring Boot Test · Testcontainers · GitHub Actions</t>
  </si>
  <si>
    <t>PostgreSQL + InfluxDB + S3</t>
  </si>
  <si>
    <t>All tables — read-only verification</t>
  </si>
  <si>
    <t>All NFR acceptance criteria fields verified</t>
  </si>
  <si>
    <t>All FR-051 endpoints under test.</t>
  </si>
  <si>
    <t>ICE 3.0 — Timeline Summary</t>
  </si>
  <si>
    <t>Change the blue cells to recalculate the timeline</t>
  </si>
  <si>
    <t>Team Configuration  (change these — blue = input)</t>
  </si>
  <si>
    <t>Setting</t>
  </si>
  <si>
    <t>Value</t>
  </si>
  <si>
    <t>Unit</t>
  </si>
  <si>
    <t>Note</t>
  </si>
  <si>
    <t>BE developers</t>
  </si>
  <si>
    <t>devs</t>
  </si>
  <si>
    <t>Handles BE + INT tasks</t>
  </si>
  <si>
    <t>FE developers</t>
  </si>
  <si>
    <t>Handles FE tasks</t>
  </si>
  <si>
    <t>Working days / week</t>
  </si>
  <si>
    <t>days</t>
  </si>
  <si>
    <t>Standard 5-day work week</t>
  </si>
  <si>
    <t>Raw Effort from Detailed Requirements  (auto-calculated)</t>
  </si>
  <si>
    <t>Type</t>
  </si>
  <si>
    <t>With AI + Buffer (days)</t>
  </si>
  <si>
    <t>Without AI (days)</t>
  </si>
  <si>
    <t>Source</t>
  </si>
  <si>
    <t>Backend (BE)</t>
  </si>
  <si>
    <t>BE/FE col = 'Backend Dev'</t>
  </si>
  <si>
    <t>Frontend (FE)</t>
  </si>
  <si>
    <t>BE/FE col = 'Frontend Dev'</t>
  </si>
  <si>
    <t>Integration (INT)</t>
  </si>
  <si>
    <t>BE/FE col = 'QA / Both Devs'</t>
  </si>
  <si>
    <t>TOTAL</t>
  </si>
  <si>
    <t>Sum</t>
  </si>
  <si>
    <t>Duration</t>
  </si>
  <si>
    <t>With AI
(weeks)</t>
  </si>
  <si>
    <t>Without AI
(weeks)</t>
  </si>
  <si>
    <t>How it's calculated</t>
  </si>
  <si>
    <t>Calendar weeks
(BE+FE parallel per FR · FRs sequential)</t>
  </si>
  <si>
    <t>FR Schedule cumulative total ÷ working days per week</t>
  </si>
  <si>
    <t>Recommended (Realistic) Summary</t>
  </si>
  <si>
    <t>With AI</t>
  </si>
  <si>
    <t>Without AI</t>
  </si>
  <si>
    <t>Calendar weeks (w/ AI)</t>
  </si>
  <si>
    <t>Calendar months (approx)</t>
  </si>
  <si>
    <t>Calendar weeks (w/o AI)</t>
  </si>
  <si>
    <t>AI saving (weeks)</t>
  </si>
  <si>
    <t>AI saving (%)</t>
  </si>
  <si>
    <t>N/A</t>
  </si>
  <si>
    <t>ICE 3.0 — Per-FR Schedule  (formulas pull from Detailed Requirements · team inputs in Timeline Summary)</t>
  </si>
  <si>
    <t>All durations in working days · FRs run sequentially · BE and FE parallel within each FR</t>
  </si>
  <si>
    <t>Description (from Detailed Requirements)</t>
  </si>
  <si>
    <t>BE wall
(days)</t>
  </si>
  <si>
    <t>FE wall
(days)</t>
  </si>
  <si>
    <t>INT wall
(days)</t>
  </si>
  <si>
    <t>FR total
(w/ AI)</t>
  </si>
  <si>
    <t>FR total
(w/o AI)</t>
  </si>
  <si>
    <t>Cumulative
(w/ AI)</t>
  </si>
  <si>
    <t xml:space="preserve">  Design &amp; Author</t>
  </si>
  <si>
    <t>Extract, structure &amp; load requirements to CLAP session</t>
  </si>
  <si>
    <t>CLAP processes requirements &amp; generates test cases</t>
  </si>
  <si>
    <t>ICE validates the CLAP response</t>
  </si>
  <si>
    <t>Adding / deleting / modifying test cases in the pool</t>
  </si>
  <si>
    <t xml:space="preserve">  Import &amp; Export</t>
  </si>
  <si>
    <t>Export generated test cases to Excel</t>
  </si>
  <si>
    <t>Export generated test cases to Xray</t>
  </si>
  <si>
    <t>Import test cases from Excel</t>
  </si>
  <si>
    <t>Import test cases from Xray</t>
  </si>
  <si>
    <t>Import validation service (FR-010 &amp; FR-011)</t>
  </si>
  <si>
    <t xml:space="preserve">  Journey Stitcher</t>
  </si>
  <si>
    <t>CLAP enrichment of test cases</t>
  </si>
  <si>
    <t>CLAP proposes journeys from accepted TCs</t>
  </si>
  <si>
    <t>CLAP identifies gaps in journey steps</t>
  </si>
  <si>
    <t>Journey tests converted to standard TC format</t>
  </si>
  <si>
    <t>Review &amp; Export — Phase 5</t>
  </si>
  <si>
    <t xml:space="preserve">  Automation</t>
  </si>
  <si>
    <t>ICE-Git Bridge — Git provider adapter layer</t>
  </si>
  <si>
    <t>Generate BDD scripts for journey tests</t>
  </si>
  <si>
    <t>Check-in BDD scripts to Git</t>
  </si>
  <si>
    <t>Developer webhook — automated flag update</t>
  </si>
  <si>
    <t>ICE Core JAR Decoupling (ScriptBridge)</t>
  </si>
  <si>
    <t xml:space="preserve">  Settings</t>
  </si>
  <si>
    <t>Settings — Targeted Regression</t>
  </si>
  <si>
    <t>Settings — Ownership Map</t>
  </si>
  <si>
    <t>Settings — Library Configuration</t>
  </si>
  <si>
    <t>Settings — Analytics Provider</t>
  </si>
  <si>
    <t>Settings — User Management</t>
  </si>
  <si>
    <t>Settings — Notifications</t>
  </si>
  <si>
    <t>Settings — Onboarding</t>
  </si>
  <si>
    <t xml:space="preserve">  Analytics &amp; Pipeline</t>
  </si>
  <si>
    <t xml:space="preserve">  Advanced Features</t>
  </si>
  <si>
    <t>ICE SDK — Multi-language client libraries</t>
  </si>
  <si>
    <t>OpenCV integration &amp; visual diff</t>
  </si>
  <si>
    <t>IDesignProvider &amp; design sync</t>
  </si>
  <si>
    <t>JMX auto-generator &amp; load testing</t>
  </si>
  <si>
    <t>Self-healing — DOM snapshot &amp; healing engine</t>
  </si>
  <si>
    <t>Targeted regression engine</t>
  </si>
  <si>
    <t>Application discovery</t>
  </si>
  <si>
    <t>SaaS infrastructure &amp; multi-tenancy</t>
  </si>
  <si>
    <t xml:space="preserve">  NFRs</t>
  </si>
  <si>
    <t>Non-functional requirements</t>
  </si>
  <si>
    <t>ICE 3.0 — Sprint Plan  (formula-driven · change team size in config to recalculate)</t>
  </si>
  <si>
    <t>Sprint duration = max(BE+INT effort ÷ BE devs,  FE effort ÷ FE devs)  ·  Independent settings FRs pulled forward to Sprint 2</t>
  </si>
  <si>
    <t>Team Configuration  (change these — they drive all sprint durations below)</t>
  </si>
  <si>
    <t>BE developers (handles BE + INT tasks)</t>
  </si>
  <si>
    <t>days/week</t>
  </si>
  <si>
    <t>Sprint</t>
  </si>
  <si>
    <t>FR coverage + rationale</t>
  </si>
  <si>
    <t>BE+INT effort
(w/AI days)</t>
  </si>
  <si>
    <t>FE effort
(w/AI days)</t>
  </si>
  <si>
    <t>Sprint duration
(days)</t>
  </si>
  <si>
    <t>Sprint duration
(weeks)</t>
  </si>
  <si>
    <t>Cumulative
(days)</t>
  </si>
  <si>
    <t>Cumulative
(weeks)</t>
  </si>
  <si>
    <t>Sprint 1</t>
  </si>
  <si>
    <t>FR-001, FR-002, FR-003, FR-004, FR-005
Core generation — upload, parse, send to CLAP, generate TCs, validate</t>
  </si>
  <si>
    <t>Sprint 2</t>
  </si>
  <si>
    <t>FR-006–FR-012 + FR-025–FR-034
TC pool + import/export  ·  + 10 independent settings (FR-025–034) run in parallel on FE track — no cross-FR deps</t>
  </si>
  <si>
    <t>Sprint 3</t>
  </si>
  <si>
    <t>FR-013, FR-014, FR-015
Journey Stitcher — enrichment, journey proposal &amp; gap analysis</t>
  </si>
  <si>
    <t>Sprint 4</t>
  </si>
  <si>
    <t>FR-016, FR-017
Journey Stitcher — generate TC output &amp; review/export (Phase 5)</t>
  </si>
  <si>
    <t>Sprint 5</t>
  </si>
  <si>
    <t>FR-018, FR-019
ICE-Git Bridge engine (FR-018) + generate BDD scripts (FR-019)  ·  FR-024 Git Config settings unlocked after FR-018</t>
  </si>
  <si>
    <t>Sprint 6</t>
  </si>
  <si>
    <t>FR-020, FR-021, FR-022, FR-023, FR-024, FR-039, FR-040
Commit to Git, developer webhook, execute tests, ScriptBridge  ·  FR-024 Git Config (needs FR-018)  ·  FR-039 Analytics Provider + FR-040 User Management folded in (both unlocked by FR-024, small effort — 0.6 wk sprint absorbed)</t>
  </si>
  <si>
    <t>Sprint 7</t>
  </si>
  <si>
    <t>FR-043, FR-044
Analytics dashboard (needs FR-022, FR-027, FR-028)  ·  Accessibility pipeline (needs FR-022, FR-031)</t>
  </si>
  <si>
    <t>Sprint 8</t>
  </si>
  <si>
    <t>FR-045, FR-046, FR-047, FR-048, FR-049
Advanced — ICE SDK, OpenCV visual diff, design sync, JMX load testing, self-healing engine  ·  FR-035 Design Integration unlocked after FR-047</t>
  </si>
  <si>
    <t>Sprint 9</t>
  </si>
  <si>
    <t>FR-035, FR-036, FR-037, FR-038, FR-050, FR-051
Remaining settings (FR-035–038 now unlocked)  ·  Targeted regression engine (FR-050) + App discovery (FR-051)</t>
  </si>
  <si>
    <t>Sprint 10</t>
  </si>
  <si>
    <t>FR-042, FR-052, FR-053, FR-041, FR-054
Onboarding (FR-042)  ·  Analytics API &amp; Grafana (FR-052, needs almost everything)  ·  SaaS (FR-053)  ·  Notifications (FR-041)  ·  NFRs (FR-054)</t>
  </si>
  <si>
    <t>10 sprints · 54 FRs · independent settings + FR-039/040 absorbed into earlier sprints</t>
  </si>
  <si>
    <t>Note — Sprint duration = max(BE+INT effort ÷ BE devs,  FE effort ÷ FE devs).  FR-025 to FR-034 (10 independent settings with no cross-FR dependencies) moved to Sprint 2 — FE devs run them in parallel with the TC pool work.  Change C5 or C6 to recalculate all sprint durations automatically.</t>
  </si>
  <si>
    <t>ICE 3.0 — Detailed Sprint Plan</t>
  </si>
  <si>
    <t>Sprint 1 start date →</t>
  </si>
  <si>
    <t>← Change this date · all start/end dates cascade automatically · working days only (Mon–Fri)</t>
  </si>
  <si>
    <t>Wave</t>
  </si>
  <si>
    <t>Task type</t>
  </si>
  <si>
    <t>Task details</t>
  </si>
  <si>
    <t>Est (days)</t>
  </si>
  <si>
    <t>Start date</t>
  </si>
  <si>
    <t>End date</t>
  </si>
  <si>
    <t>Actual start</t>
  </si>
  <si>
    <t>Actual end</t>
  </si>
  <si>
    <t>Assigned to</t>
  </si>
  <si>
    <t>Status</t>
  </si>
  <si>
    <t>Actual days</t>
  </si>
  <si>
    <t>Variance (days)</t>
  </si>
  <si>
    <t>Notes</t>
  </si>
  <si>
    <t xml:space="preserve">  Sprint 1  ·  FR-001 – FR-005  ·  8.3 working days</t>
  </si>
  <si>
    <t>W0</t>
  </si>
  <si>
    <t xml:space="preserve">Defines and stores the allowed file formats (PDF, DOCX, XLSX, CSV) as </t>
  </si>
  <si>
    <t>Not Started</t>
  </si>
  <si>
    <t>Enforces a configurable maximum file size limit (default 20 MB) at ten</t>
  </si>
  <si>
    <t>Maintains a registry of structured error codes and human-readable mess</t>
  </si>
  <si>
    <t>Validates the MIME type of each uploaded file against the whitelist, r</t>
  </si>
  <si>
    <t xml:space="preserve">Enforces the file size limit at the API layer before the file reaches </t>
  </si>
  <si>
    <t>Defines the standard JSON error response schema returned on upload fai</t>
  </si>
  <si>
    <t>Validates file integrity by checking for corruption or truncation afte</t>
  </si>
  <si>
    <t>Stores the uploaded file reference in the active session context so do</t>
  </si>
  <si>
    <t>Supports multiple file uploads per session, allowing users to add furt</t>
  </si>
  <si>
    <t>Exposes the POST /api/v1/upload endpoint that accepts multipart file u</t>
  </si>
  <si>
    <t>Builds the structured prompt template that wraps the extracted require</t>
  </si>
  <si>
    <t>Constructs the BDD output format specification that CLAP uses as its t</t>
  </si>
  <si>
    <t>Extracts and injects the requirement document content into the session</t>
  </si>
  <si>
    <t>Logs every prompt sent to CLAP including the session ID, timestamp, an</t>
  </si>
  <si>
    <t>Defines the LLM provider configuration schema including provider name,</t>
  </si>
  <si>
    <t>Resolves the active LLM provider for the current tenant and constructs</t>
  </si>
  <si>
    <t>Manages the streaming connection between ICE and the CLAP LLM, handlin</t>
  </si>
  <si>
    <t>Implements retry logic for transient CLAP API failures, with configura</t>
  </si>
  <si>
    <t>Enforces token limits per request to prevent runaway generation costs,</t>
  </si>
  <si>
    <t>Tracks CLAP API usage metrics per tenant (tokens consumed, latency, er</t>
  </si>
  <si>
    <t>Validates the CLAP API key and provider connectivity at session start,</t>
  </si>
  <si>
    <t xml:space="preserve">Caches repeated identical prompts within a session to avoid redundant </t>
  </si>
  <si>
    <t>CLAP receives the structured prompt and processes the requirements fro</t>
  </si>
  <si>
    <t>Parses the raw CLAP response and extracts the structured test case arr</t>
  </si>
  <si>
    <t>Handles partial CLAP responses where generation was interrupted, retur</t>
  </si>
  <si>
    <t>Maps CLAP-generated test case fields to the ICE 9-field TC schema, ens</t>
  </si>
  <si>
    <t>Stores the raw CLAP generation output in the session checkpoint so the</t>
  </si>
  <si>
    <t>Validates each generated test case against the mandatory 9-field schem</t>
  </si>
  <si>
    <t>Detects duplicate test cases within the session pool by comparing TC d</t>
  </si>
  <si>
    <t>Assigns a validation status to each TC (valid, flagged-incomplete, fla</t>
  </si>
  <si>
    <t>Renders the file upload area on the Design &amp; Author screen, supporting</t>
  </si>
  <si>
    <t>Displays inline validation error messages directly below the upload ar</t>
  </si>
  <si>
    <t xml:space="preserve">Shows a progress indicator during upload, reflecting real-time upload </t>
  </si>
  <si>
    <t>Calls the BE-10 upload API on file selection, handles the response, an</t>
  </si>
  <si>
    <t>Enables the Generate &amp; Add to Pool button only after at least one vali</t>
  </si>
  <si>
    <t>Displays the uploaded file name and metadata (size, type) alongside th</t>
  </si>
  <si>
    <t>Renders the Generate &amp; Add to Pool button and manages its enabled/load</t>
  </si>
  <si>
    <t xml:space="preserve">Displays a generation progress indicator (spinner and status message) </t>
  </si>
  <si>
    <t>Renders the generated test cases in the TC pool table as they stream i</t>
  </si>
  <si>
    <t>Displays a generation summary banner (e.g. 12 test cases generated) on</t>
  </si>
  <si>
    <t>Renders validation status badges on each TC row in the pool table, dis</t>
  </si>
  <si>
    <t xml:space="preserve">Displays a validation summary card above the pool table showing total </t>
  </si>
  <si>
    <t>Validates all upload rejection paths including wrong format, oversized</t>
  </si>
  <si>
    <t xml:space="preserve">Validates error handling: CLAP timeout, invalid API key, and provider </t>
  </si>
  <si>
    <t>Validates CLAP partial response handling: interrupted generation retur</t>
  </si>
  <si>
    <t>W1</t>
  </si>
  <si>
    <t>Validates the full upload happy path: valid file selected, uploaded su</t>
  </si>
  <si>
    <t>Validates the full prompt construction pipeline: file uploaded, conten</t>
  </si>
  <si>
    <t>Validates the end-to-end prompt send flow: button clicked, prompt cons</t>
  </si>
  <si>
    <t>Validates the full CLAP generation flow: prompt sent, BDD test cases r</t>
  </si>
  <si>
    <t>Validates the full validation pipeline: generated TCs processed, manda</t>
  </si>
  <si>
    <t xml:space="preserve">  Sprint 2  ·  FR-006 – FR-034  ·  13.7 working days</t>
  </si>
  <si>
    <t>Exposes the GET /api/v1/session/testcases endpoint that returns the fu</t>
  </si>
  <si>
    <t>Exposes the GET /api/v1/session/testcases/search endpoint that perform</t>
  </si>
  <si>
    <t>Exposes the API endpoints for adding, editing, and deleting individual</t>
  </si>
  <si>
    <t>Exposes the GET /session/ttl and POST /session/extend endpoints that r</t>
  </si>
  <si>
    <t xml:space="preserve">Intercepts 401 Unauthorized responses globally and redirects the user </t>
  </si>
  <si>
    <t>Generates an Excel file from the selected TCs in the session pool, map</t>
  </si>
  <si>
    <t>Authenticates with the Xray API using the tenant's configured credenti</t>
  </si>
  <si>
    <t>Maps the selected TCs from the ICE 9-field schema to the Xray test cas</t>
  </si>
  <si>
    <t>Handles partial Xray push failures, returning a per-TC success/failure</t>
  </si>
  <si>
    <t>Updates each successfully pushed TC in the session with its Xray issue</t>
  </si>
  <si>
    <t>Parses the uploaded Excel file using the ICE import template, extracti</t>
  </si>
  <si>
    <t>Validates the imported Excel rows against the 9-field schema before ad</t>
  </si>
  <si>
    <t>Adds the validated imported TCs to the Redis session pool, assigning e</t>
  </si>
  <si>
    <t>Authenticates with the Xray API and retrieves the list of test cases f</t>
  </si>
  <si>
    <t>Maps the retrieved Xray test issues to the ICE 9-field TC schema and a</t>
  </si>
  <si>
    <t>Handles Xray API pagination, fetching all matching test cases across m</t>
  </si>
  <si>
    <t>Runs the shared import validation service on all incoming TCs from bot</t>
  </si>
  <si>
    <t>Assigns a validation status (valid, flagged-incomplete, flagged-duplic</t>
  </si>
  <si>
    <t>Defines and persists the branch configuration entity, storing the list</t>
  </si>
  <si>
    <t>Validates new branch name entries against naming conventions and preve</t>
  </si>
  <si>
    <t>Exposes the API to map branch names to run type roles (regression bran</t>
  </si>
  <si>
    <t>Defines and persists the CI/CD configuration entity for the tenant, st</t>
  </si>
  <si>
    <t>Exposes the CRUD API for CI/CD configuration, supporting save and upda</t>
  </si>
  <si>
    <t>Receives the CI/CD pipeline callback webhook after a triggered run com</t>
  </si>
  <si>
    <t>Exposes the test connection endpoint that validates the CI/CD connecti</t>
  </si>
  <si>
    <t>Defines and persists the Xray/Jira configuration entity, storing the J</t>
  </si>
  <si>
    <t>Exposes the CRUD API for Xray configuration, supporting save and updat</t>
  </si>
  <si>
    <t>Exposes the test connection endpoint that validates the Xray connectio</t>
  </si>
  <si>
    <t>Defines and persists the LLM configuration entity, storing provider ty</t>
  </si>
  <si>
    <t>Implements the LLM model swap, allowing the active model to be changed</t>
  </si>
  <si>
    <t xml:space="preserve">Exposes the test connection endpoint that sends a minimal test prompt </t>
  </si>
  <si>
    <t xml:space="preserve">Defines and persists the agent pool configuration entity, storing max </t>
  </si>
  <si>
    <t xml:space="preserve">Defines and persists the data residency configuration entity, storing </t>
  </si>
  <si>
    <t>Enforces the configured data region at the infrastructure level, ensur</t>
  </si>
  <si>
    <t>Defines and persists the accessibility profile entity, storing the con</t>
  </si>
  <si>
    <t>Queries the WCAG rule registry to count how many Axe rules match the c</t>
  </si>
  <si>
    <t>Maps the selected regulatory preset (WCAG 2.1 AA, EN 301 549, AgID) to</t>
  </si>
  <si>
    <t xml:space="preserve">Defines and persists the visual testing configuration entity, storing </t>
  </si>
  <si>
    <t>Exposes the API to list, reset, and delete baselines stored in the con</t>
  </si>
  <si>
    <t>Exposes the test connection endpoint that validates the storage connec</t>
  </si>
  <si>
    <t>Defines and persists the load testing configuration entity, storing vi</t>
  </si>
  <si>
    <t>Exposes the API to create, update, and delete custom load profiles, st</t>
  </si>
  <si>
    <t>Defines and persists the self-healing configuration entity, storing th</t>
  </si>
  <si>
    <t>Renders the 9-column TC pool table populated from the session, display</t>
  </si>
  <si>
    <t>Renders the column headers and sort controls for the TC pool table, al</t>
  </si>
  <si>
    <t>Renders the free-text search input above the pool table and filters di</t>
  </si>
  <si>
    <t>Renders filter controls for test type, priority, and validation status</t>
  </si>
  <si>
    <t xml:space="preserve">Renders the expandable step detail panel for each TC row, showing the </t>
  </si>
  <si>
    <t>Renders the bulk select checkbox column and Select All control, enabli</t>
  </si>
  <si>
    <t xml:space="preserve">Renders the bulk action toolbar that appears when one or more TCs are </t>
  </si>
  <si>
    <t>Renders the Push to Xray button in the footer, enabled only when the p</t>
  </si>
  <si>
    <t>Renders the session expiry warning banner when fewer than 5 minutes re</t>
  </si>
  <si>
    <t>Renders the Export Selected to Excel button in the pool table footer a</t>
  </si>
  <si>
    <t xml:space="preserve">Renders the Export Selected to Xray button in the footer and displays </t>
  </si>
  <si>
    <t>Renders the Import from Excel panel with a file upload dropzone, impor</t>
  </si>
  <si>
    <t xml:space="preserve">Renders the Import from Xray panel with project and filter selectors, </t>
  </si>
  <si>
    <t>Displays the import result summary after the Xray import completes, sh</t>
  </si>
  <si>
    <t>Renders the Branch Configuration settings screen with the current bran</t>
  </si>
  <si>
    <t>Renders the Add Branch input field that adds a new branch tag to the l</t>
  </si>
  <si>
    <t xml:space="preserve">Renders the remove control on each branch tag that deletes the branch </t>
  </si>
  <si>
    <t>Renders the Regression Branch dropdown that maps one of the configured</t>
  </si>
  <si>
    <t>Renders the Smoke Branch dropdown that maps one of the configured bran</t>
  </si>
  <si>
    <t>Renders the Save Changes button that persists the current branch confi</t>
  </si>
  <si>
    <t>Renders the CI/CD Integration settings screen with the provider select</t>
  </si>
  <si>
    <t xml:space="preserve">Renders the Provider dropdown (Jenkins / GitHub Actions / GitLab CI / </t>
  </si>
  <si>
    <t>Renders the Jenkins-specific fields (Server URL, API Token, Pipeline J</t>
  </si>
  <si>
    <t>Renders the GitHub Actions-specific fields (Workflow File, PAT) when G</t>
  </si>
  <si>
    <t>Renders the GitLab CI-specific fields (Project ID, Pipeline Trigger To</t>
  </si>
  <si>
    <t xml:space="preserve">Renders the Azure DevOps-specific fields (Organisation, Project, PAT) </t>
  </si>
  <si>
    <t>Renders the Test Connection button that calls BE-04 and displays the c</t>
  </si>
  <si>
    <t>Renders the Save Changes button that persists the current CI/CD config</t>
  </si>
  <si>
    <t>Renders the Xray/Jira settings screen with all configuration fields an</t>
  </si>
  <si>
    <t>Renders the Jira Base URL input field for the tenant's Jira instance U</t>
  </si>
  <si>
    <t xml:space="preserve">Renders the Cloud API Token / Server PAT radio selector that switches </t>
  </si>
  <si>
    <t>Renders the API Token or PAT input field (masked) based on the selecte</t>
  </si>
  <si>
    <t>Renders the Default Project Key input that sets the Jira project key u</t>
  </si>
  <si>
    <t>Renders the Re-test button that calls BE-03 and shows the connection r</t>
  </si>
  <si>
    <t>Renders the Save Changes button that persists the Xray configuration t</t>
  </si>
  <si>
    <t>Renders the LLM Configuration settings screen with provider, model, AP</t>
  </si>
  <si>
    <t>Renders the Provider dropdown (Anthropic / OpenAI / Azure OpenAI) that</t>
  </si>
  <si>
    <t>Renders the Model input field for specifying the exact model identifie</t>
  </si>
  <si>
    <t>Renders the API Key input field (masked) for the selected LLM provider</t>
  </si>
  <si>
    <t>Renders the Temperature slider (0.0 to 1.0) for controlling the LLM ou</t>
  </si>
  <si>
    <t>Renders the Test Connection button that calls BE-03 and displays the r</t>
  </si>
  <si>
    <t>Renders the Save Changes button that persists the LLM configuration to</t>
  </si>
  <si>
    <t>Renders the Agent Pool settings screen with the agent type display and</t>
  </si>
  <si>
    <t>Renders the Agent Type field as read-only, showing the current agent t</t>
  </si>
  <si>
    <t xml:space="preserve">Renders the Max Parallel Agents dropdown that sets the maximum number </t>
  </si>
  <si>
    <t>Renders the Queue Behaviour dropdown (Wait / Drop / Fail Fast) that co</t>
  </si>
  <si>
    <t>Renders the Agent Timeout dropdown that sets the maximum execution tim</t>
  </si>
  <si>
    <t>Renders the Save Changes button that persists the agent pool configura</t>
  </si>
  <si>
    <t xml:space="preserve">Renders the Data Residency settings screen showing the current region </t>
  </si>
  <si>
    <t>Renders the current active data region as a read-only display field on</t>
  </si>
  <si>
    <t>Renders the Data Region dropdown listing the available regions (EU, US</t>
  </si>
  <si>
    <t>Renders the region change confirmation modal that warns the user of th</t>
  </si>
  <si>
    <t>Renders the Save Changes button, active only after the user has confir</t>
  </si>
  <si>
    <t>Renders the Accessibility Profile settings screen with all filter drop</t>
  </si>
  <si>
    <t>Renders the Domain dropdown (Web / Mobile / Both) that filters the app</t>
  </si>
  <si>
    <t>Renders the WCAG Level dropdown (A / AA / AAA) that sets the minimum W</t>
  </si>
  <si>
    <t>Renders the Severity Threshold dropdown (Critical / Serious / Moderate</t>
  </si>
  <si>
    <t>Renders the Component Groups dropdown that restricts the profile to sp</t>
  </si>
  <si>
    <t xml:space="preserve">Renders the Regulatory Preset selector that auto-populates the filter </t>
  </si>
  <si>
    <t xml:space="preserve">Renders the Active Rule Count display that updates dynamically as the </t>
  </si>
  <si>
    <t>Renders the Save Changes button that persists the accessibility profil</t>
  </si>
  <si>
    <t>Renders the Visual Testing settings screen with threshold, storage, an</t>
  </si>
  <si>
    <t>Renders the Global Threshold input that sets the SSIM score below whic</t>
  </si>
  <si>
    <t xml:space="preserve">Renders the per-screen threshold override table that allows setting a </t>
  </si>
  <si>
    <t>Renders the Ignore Regions toggle and region editor that allows the us</t>
  </si>
  <si>
    <t>Renders the Manage Baselines button that opens the baseline management</t>
  </si>
  <si>
    <t xml:space="preserve">Renders the Reset All Baselines button that calls BE-02 to delete all </t>
  </si>
  <si>
    <t>Renders the Test Connection button that calls BE-03 and displays the s</t>
  </si>
  <si>
    <t>Renders the Save Changes button that persists the visual testing confi</t>
  </si>
  <si>
    <t>Renders the Load Testing settings screen with the default profile sele</t>
  </si>
  <si>
    <t>Renders the Default Load Profile dropdown (Baseline / Stress / Spike /</t>
  </si>
  <si>
    <t>Renders the Ramp-up Period input that sets the time in seconds over wh</t>
  </si>
  <si>
    <t xml:space="preserve">Renders the Response Time Threshold input (P95) that sets the maximum </t>
  </si>
  <si>
    <t>Renders the Error Rate Threshold input that sets the maximum acceptabl</t>
  </si>
  <si>
    <t>Renders the Add Custom Profile button and form for creating a new name</t>
  </si>
  <si>
    <t>Renders the Save Changes button that persists the load testing configu</t>
  </si>
  <si>
    <t>Renders the Self-Healing settings screen with the enable toggle and al</t>
  </si>
  <si>
    <t>Renders the Enable Self-Healing toggle that activates or deactivates t</t>
  </si>
  <si>
    <t>Renders the Algorithm 1 Threshold input that sets the minimum Levensht</t>
  </si>
  <si>
    <t>Renders the Algorithm 2 Threshold input that sets the minimum tree edi</t>
  </si>
  <si>
    <t>Renders the Auto-raise PR on Heal toggle that enables automatic GitHub</t>
  </si>
  <si>
    <t>Renders the Healing Branch Prefix input that sets the Git branch namin</t>
  </si>
  <si>
    <t>Renders the Save Changes button that persists the self-healing configu</t>
  </si>
  <si>
    <t>Renders the per-row delete button that removes a single TC from the se</t>
  </si>
  <si>
    <t>Validates the full pool table render: TCs loaded from session, display</t>
  </si>
  <si>
    <t>Validates the full session management lifecycle: expiry warning shown,</t>
  </si>
  <si>
    <t xml:space="preserve">Validates the full Excel export flow: TCs selected, export triggered, </t>
  </si>
  <si>
    <t xml:space="preserve">Validates Excel import error handling: wrong template format, missing </t>
  </si>
  <si>
    <t>Validates the full branch configuration flow: branches added, roles ma</t>
  </si>
  <si>
    <t>Validates the full CI/CD settings flow: provider selected, fields comp</t>
  </si>
  <si>
    <t>Validates the full Xray settings flow: URL and credentials entered, co</t>
  </si>
  <si>
    <t>Validates the full LLM configuration flow: provider and model set, API</t>
  </si>
  <si>
    <t>Validates the full agent pool configuration flow: max agents set, queu</t>
  </si>
  <si>
    <t xml:space="preserve">Validates the full data residency flow: region selected, confirmation </t>
  </si>
  <si>
    <t>Validates the full accessibility profile flow: filters set, active rul</t>
  </si>
  <si>
    <t>Validates the full visual testing settings flow: threshold set, storag</t>
  </si>
  <si>
    <t>Validates the full load testing settings flow: default profile set, th</t>
  </si>
  <si>
    <t>Validates the full self-healing settings flow: enabled, thresholds set</t>
  </si>
  <si>
    <t>Validates the full Xray export flow: TCs selected, authenticated, push</t>
  </si>
  <si>
    <t>Validates the full Excel import happy path: template uploaded, rows pa</t>
  </si>
  <si>
    <t>Validates the full Xray import flow: project selected, TCs fetched, ma</t>
  </si>
  <si>
    <t>Validates that the import validation service correctly flags incomplet</t>
  </si>
  <si>
    <t xml:space="preserve">  Sprint 3  ·  FR-013 – FR-015  ·  2.6 working days</t>
  </si>
  <si>
    <t xml:space="preserve">Triggers the CLAP enrichment pipeline when the user enters Phase 1 of </t>
  </si>
  <si>
    <t>Records the user's accept or reject decision for each enriched TC in t</t>
  </si>
  <si>
    <t xml:space="preserve">Builds a dependency graph from the enriched accepted TCs to determine </t>
  </si>
  <si>
    <t>Calls CLAP to name and group the TCs into proposed journeys based on t</t>
  </si>
  <si>
    <t>Exposes the API to manually add a new journey to the session, creating</t>
  </si>
  <si>
    <t>Exposes the API to confirm a single journey, marking it as confirmed i</t>
  </si>
  <si>
    <t xml:space="preserve">Exposes the API to delete a journey from the session, removing it and </t>
  </si>
  <si>
    <t>Exposes the API to confirm all proposed journeys in a single call, mar</t>
  </si>
  <si>
    <t>Analyses the TC sequences within each confirmed journey to detect miss</t>
  </si>
  <si>
    <t>Records the user's approve or reject decision for each gap TC in the s</t>
  </si>
  <si>
    <t xml:space="preserve">Approves all pending gap TCs in a single session write, marking every </t>
  </si>
  <si>
    <t xml:space="preserve">Renders the Phase 1 Enrichment review screen showing all enriched TCs </t>
  </si>
  <si>
    <t>Renders the Accept button per TC row, calling the session write API an</t>
  </si>
  <si>
    <t>Renders the Reject button per TC row, restoring the original unenriche</t>
  </si>
  <si>
    <t>Renders the Accept All High Confidence button that bulk-accepts all TC</t>
  </si>
  <si>
    <t xml:space="preserve">Renders the Proceed to Step 2 button, enabled only after at least one </t>
  </si>
  <si>
    <t>Renders the Phase 2 Journey review screen displaying CLAP-proposed jou</t>
  </si>
  <si>
    <t>Renders the Add Journey Manually form that allows the user to create a</t>
  </si>
  <si>
    <t xml:space="preserve">Renders the Confirm Journey button per journey row, calling BE-04 and </t>
  </si>
  <si>
    <t xml:space="preserve">Renders the Delete Journey button per row, calling BE-05 and removing </t>
  </si>
  <si>
    <t>Renders the Confirm All Journeys button, calling BE-06 and updating al</t>
  </si>
  <si>
    <t>Renders the Proceed to Step 3 button, enabled once at least one journe</t>
  </si>
  <si>
    <t>Renders the Phase 3 Gap Review screen with a two-panel layout: a scrol</t>
  </si>
  <si>
    <t>Renders the Approve Gap TC button per gap card, calling BE-02 and upda</t>
  </si>
  <si>
    <t>Renders the Reject Gap button per gap card, calling BE-02 with rejecte</t>
  </si>
  <si>
    <t>Renders the Approve All Gaps button, calling BE-03 and updating all ga</t>
  </si>
  <si>
    <t>Renders the Proceed to Step 4 button, enabled once at least one gap ha</t>
  </si>
  <si>
    <t xml:space="preserve">  Sprint 4  ·  FR-016 – FR-017  ·  2.7 working days</t>
  </si>
  <si>
    <t>Calls CLAP to produce the final 9-field journey TC table from the conf</t>
  </si>
  <si>
    <t>Exposes GET /sessions/{id}/generated-tcs that returns the full generat</t>
  </si>
  <si>
    <t>Exposes GET /session/{id}/phase4-state that returns the current enable</t>
  </si>
  <si>
    <t>Persists the confirmed journey TCs from the session to the ICE databas</t>
  </si>
  <si>
    <t>Validates the journey TC set before Save and Proceed, checking that al</t>
  </si>
  <si>
    <t>Accepts an Excel file import on the Phase 5 screen, parsing journey TC</t>
  </si>
  <si>
    <t>Calls the Xray API to push the Phase 5 journey TCs as test issues, upd</t>
  </si>
  <si>
    <t>Generates an Excel export of the Phase 5 journey TC table, using the I</t>
  </si>
  <si>
    <t>Generates and serves the ICE journey TC import template as a downloada</t>
  </si>
  <si>
    <t>Exposes the API to delete a single TC row from the Phase 5 generated T</t>
  </si>
  <si>
    <t>Renders the Phase 4 Generate screen with the TC x Journey membership m</t>
  </si>
  <si>
    <t>Renders the TC membership toggle cells in the matrix, allowing the use</t>
  </si>
  <si>
    <t>Renders the Edit, Add, and Delete journey controls above the matrix co</t>
  </si>
  <si>
    <t xml:space="preserve">Renders the Finalise and Generate 9-field TC Output button that calls </t>
  </si>
  <si>
    <t xml:space="preserve">Saves the confirmed journey assignments to the session checkpoint and </t>
  </si>
  <si>
    <t>Renders the Phase 4 and Phase 5 shared footer bar and manages the enab</t>
  </si>
  <si>
    <t>Renders the Phase 5 Review and Export screen with the full generated j</t>
  </si>
  <si>
    <t>Renders the Save and Proceed button that calls BE-01 to write journeys</t>
  </si>
  <si>
    <t>Renders the Push to Xray button in the Phase 5 header, calling BE-04 a</t>
  </si>
  <si>
    <t>Renders the Import Journey TCs panel with a dropzone, template downloa</t>
  </si>
  <si>
    <t>Renders the Export to Excel button that calls BE-05 and triggers a bro</t>
  </si>
  <si>
    <t>Renders the Download Template button that calls BE-06 and triggers a b</t>
  </si>
  <si>
    <t xml:space="preserve">Renders the Automate button in the Phase 5 footer, enabled only after </t>
  </si>
  <si>
    <t>Validates the full Push to Xray flow from Phase 5: TCs pushed, Xray ke</t>
  </si>
  <si>
    <t>Validates the full Save and Proceed flow: journey TCs written to ICE D</t>
  </si>
  <si>
    <t xml:space="preserve">  Sprint 5  ·  FR-018 – FR-019  ·  9.7 working days</t>
  </si>
  <si>
    <t>Defines the IGitProvider Java interface that all Git provider adapters</t>
  </si>
  <si>
    <t>Implements the GitHub adapter (cloud and self-hosted) using the GitHub</t>
  </si>
  <si>
    <t>Implements the GitLab adapter (cloud and self-hosted) using the GitLab</t>
  </si>
  <si>
    <t xml:space="preserve">Implements the push operation used after code generation, calling the </t>
  </si>
  <si>
    <t>Implements the pull operation used by ScriptBridge at runtime, fetchin</t>
  </si>
  <si>
    <t>Exposes the POST /api/webhooks/git endpoint that receives push event n</t>
  </si>
  <si>
    <t>Implements AES-256 encryption for Git credentials (PAT and SSH private</t>
  </si>
  <si>
    <t>Implements the Bitbucket adapter using the Bitbucket Repositories API,</t>
  </si>
  <si>
    <t xml:space="preserve">Implements the Azure DevOps adapter using the Azure DevOps Git Pushes </t>
  </si>
  <si>
    <t>Implements credential masking across all Git operations, ensuring PATs</t>
  </si>
  <si>
    <t xml:space="preserve">After a validated webhook is received, matches the changed file paths </t>
  </si>
  <si>
    <t>Implements the POST /api/v1/settings/git-configs/{id}/test endpoint th</t>
  </si>
  <si>
    <t>Orchestrates the BDD code generation pipeline for a selected set of jo</t>
  </si>
  <si>
    <t>Calls CLAP to generate the Gherkin .feature file for a journey TC, usi</t>
  </si>
  <si>
    <t>Syncs the Automate screen on load by joining journey data from Xray an</t>
  </si>
  <si>
    <t>Resolves the automation status (Needs Code / Stale / Generated / Commi</t>
  </si>
  <si>
    <t xml:space="preserve">Calls Xray to pull the latest journey list and status for the tenant, </t>
  </si>
  <si>
    <t>Calls the ICE DB to pull the stored journey and artefact records, merg</t>
  </si>
  <si>
    <t>Calls CLAP to generate the step definition file for a journey TC, usin</t>
  </si>
  <si>
    <t>Calls CLAP to generate the page object class file for a journey TC, us</t>
  </si>
  <si>
    <t>Stores the generated Gherkin, step definition, and class file as artef</t>
  </si>
  <si>
    <t xml:space="preserve">Marks generated artefacts as stale when the source TC content changes </t>
  </si>
  <si>
    <t>Handles parallel code generation for multiple selected journeys, manag</t>
  </si>
  <si>
    <t>Validates that all three artefacts (Gherkin, step definition, class fi</t>
  </si>
  <si>
    <t>Resolves naming conflicts when generated class or step definition name</t>
  </si>
  <si>
    <t>Supports regeneration of individual artefact types without regeneratin</t>
  </si>
  <si>
    <t>Tracks generation history per journey, storing each generation event w</t>
  </si>
  <si>
    <t>Renders the Automate screen with the journey list, automation status b</t>
  </si>
  <si>
    <t xml:space="preserve">Renders the Pull from Xray filter pill, loading journeys sourced from </t>
  </si>
  <si>
    <t>Renders the Pull from ICE filter pill, loading journeys sourced from t</t>
  </si>
  <si>
    <t>Renders the Needs Code filter pill that narrows the journey list to jo</t>
  </si>
  <si>
    <t>Renders the Stale filter pill that narrows the journey list to journey</t>
  </si>
  <si>
    <t>Renders the Sync button that triggers BE-03 to refresh the Automate sc</t>
  </si>
  <si>
    <t>Renders the Select All checkbox that selects all visible journeys in t</t>
  </si>
  <si>
    <t>Renders the Generate Code for Selected button that calls BE-01 for all</t>
  </si>
  <si>
    <t xml:space="preserve">Renders the per-row Generate and Regenerate buttons that trigger code </t>
  </si>
  <si>
    <t>Renders the Commit to Git navigation button in the Automate screen foo</t>
  </si>
  <si>
    <t>Validates the full Git Bridge pipeline end-to-end: push a generated sc</t>
  </si>
  <si>
    <t>Runs a security audit across all Git Bridge operations to confirm cred</t>
  </si>
  <si>
    <t>Validates the Sync flow: Xray and ICE DB data joined, journey list ren</t>
  </si>
  <si>
    <t>Validates the Generate Code flow: journeys selected, CLAP called for a</t>
  </si>
  <si>
    <t>Validates parallel generation for multiple journeys within the agent p</t>
  </si>
  <si>
    <t>Validates stale detection: TC content changed after generation, artefa</t>
  </si>
  <si>
    <t>Validates regeneration: individual artefact type regenerated without a</t>
  </si>
  <si>
    <t>Validates error handling: CLAP generation failure for one journey does</t>
  </si>
  <si>
    <t xml:space="preserve">Validates naming conflict resolution: generated file names that clash </t>
  </si>
  <si>
    <t xml:space="preserve">  Sprint 6  ·  FR-020 – FR-040  ·  14.3 working days</t>
  </si>
  <si>
    <t>Loads the Commit to Git screen data by joining artefact records with t</t>
  </si>
  <si>
    <t>Refreshes the Commit to Git screen data on demand, re-checking Git pus</t>
  </si>
  <si>
    <t xml:space="preserve">Validates the target branch against the configured branch list before </t>
  </si>
  <si>
    <t>Calls the ICE-Git Bridge (FR-018 BE-04) to push the selected journey a</t>
  </si>
  <si>
    <t>Manages the push queue for bulk pushes, processing journeys sequential</t>
  </si>
  <si>
    <t xml:space="preserve">Updates the artefact push status in the ICE DB after a successful Git </t>
  </si>
  <si>
    <t>Sets the journey automated_flag=true in the ICE DB after all three art</t>
  </si>
  <si>
    <t>Exposes the endpoint to update the automated_flag on the journey recor</t>
  </si>
  <si>
    <t>Returns the post-push journey status including git_commit_sha and push</t>
  </si>
  <si>
    <t>Exposes the API to filter journeys on the Commit to Git screen by stat</t>
  </si>
  <si>
    <t>Receives the Git push webhook from the developer's IDE commit, validat</t>
  </si>
  <si>
    <t>Parses the webhook payload to extract the branch name and changed file</t>
  </si>
  <si>
    <t>Sets automated_flag=true on each journey whose script_path matches a f</t>
  </si>
  <si>
    <t>Returns the updated automated flag status and timestamp for each match</t>
  </si>
  <si>
    <t xml:space="preserve">Loads the Execute Tests screen configuration, returning the available </t>
  </si>
  <si>
    <t>Implements the Commit Regression run type, fetching the commit list fo</t>
  </si>
  <si>
    <t>Implements the Commit Regression commit picker, expanding the selected</t>
  </si>
  <si>
    <t>Implements the Release Regression scan, comparing two refs to identify</t>
  </si>
  <si>
    <t>Orchestrates the journey test run, invoking ScriptBridge to pull and e</t>
  </si>
  <si>
    <t>Implements the local run execution path, running journey scripts in th</t>
  </si>
  <si>
    <t>Implements the Jenkins execution path, triggering the configured Jenki</t>
  </si>
  <si>
    <t>Defines the multi-language ScriptBridge JAR build pipeline that packag</t>
  </si>
  <si>
    <t>Publishes the built ScriptBridge JAR to the internal Maven repository,</t>
  </si>
  <si>
    <t>Runs the automated migration on deploy, updating existing script proje</t>
  </si>
  <si>
    <t>Injects the ScriptBridge JAR dependency into generated automation scri</t>
  </si>
  <si>
    <t xml:space="preserve">Provides the admin bulk import tool for migrating all existing script </t>
  </si>
  <si>
    <t xml:space="preserve">Runs the one-time migration script that updates all existing artefact </t>
  </si>
  <si>
    <t xml:space="preserve">Defines and persists the Git configuration entity including provider, </t>
  </si>
  <si>
    <t>Exposes the CRUD API for Git configuration records, supporting create,</t>
  </si>
  <si>
    <t>Exposes the test connection endpoint that runs a four-check connection</t>
  </si>
  <si>
    <t>Loads the analytics provider configuration from the ICE database and r</t>
  </si>
  <si>
    <t>Exposes the test connection endpoint that validates the analytics prov</t>
  </si>
  <si>
    <t>Exposes the import dashboards endpoint that provisions the standard IC</t>
  </si>
  <si>
    <t xml:space="preserve">Loads the user management screen by returning the full list of tenant </t>
  </si>
  <si>
    <t>Exposes the API to edit a user's role or status, persisting the change</t>
  </si>
  <si>
    <t>Enforces role-based access control for all ICE API endpoints, validati</t>
  </si>
  <si>
    <t>Renders the Commit to Git screen with the journey table showing artefa</t>
  </si>
  <si>
    <t>Renders the Functionality filter dropdown that narrows the journey tab</t>
  </si>
  <si>
    <t>Renders the All quick filter pill that shows all journeys regardless o</t>
  </si>
  <si>
    <t>Renders the Ready to Push quick filter pill that shows only journeys w</t>
  </si>
  <si>
    <t>Renders the Stale quick filter pill that shows journeys where artefact</t>
  </si>
  <si>
    <t>Renders the Pushed quick filter pill that shows only journeys where al</t>
  </si>
  <si>
    <t xml:space="preserve">Renders the Sync button on the Commit to Git screen, triggering BE-02 </t>
  </si>
  <si>
    <t>Renders the Push Selected to Git button that calls BE-04 for all selec</t>
  </si>
  <si>
    <t>Renders the per-row Push button that triggers a push for a single jour</t>
  </si>
  <si>
    <t>Renders the per-row Go to Automate link that navigates back to the Aut</t>
  </si>
  <si>
    <t>Renders the Execute Tests navigation button in the Commit to Git foote</t>
  </si>
  <si>
    <t>Validates the branch selection before push, showing an inline error if</t>
  </si>
  <si>
    <t xml:space="preserve">Renders the status filter bar with All / Ready / Stale / Pushed pills </t>
  </si>
  <si>
    <t>Renders the Automated badge (YES/NO) per journey on the Automate and E</t>
  </si>
  <si>
    <t xml:space="preserve">Renders the Execute Tests screen with all configuration rows, context </t>
  </si>
  <si>
    <t>Renders the Branch selector dropdown in Row 1, populated from the conf</t>
  </si>
  <si>
    <t>Renders the Run Mode radio buttons (Run Locally / Jenkins / GitHub Act</t>
  </si>
  <si>
    <t>Renders the Browser checkboxes (All / Chrome / Firefox / Safari / Edge</t>
  </si>
  <si>
    <t>Renders the Type of Test checkboxes (Functional / Accessibility / Visu</t>
  </si>
  <si>
    <t>Renders the Responsive checkboxes (All / DW Large / DW Regular / DW Sm</t>
  </si>
  <si>
    <t>Renders the Run Type dropdown (Select Manually / Commit Regression / R</t>
  </si>
  <si>
    <t>Renders the Select Manually context panel with the journey table, allo</t>
  </si>
  <si>
    <t>Renders the Commit Regression context panel with the commit list and j</t>
  </si>
  <si>
    <t>Renders the Release Regression context panel with the from/to ref inpu</t>
  </si>
  <si>
    <t>Renders the Run action buttons (Run Journeys / Jenkins / Analytics) in</t>
  </si>
  <si>
    <t>Renders the live results area, streaming per-journey pass/fail results</t>
  </si>
  <si>
    <t>Renders the Analytics button that navigates to the Analytics Dashboard</t>
  </si>
  <si>
    <t xml:space="preserve">Renders the Branch selector on the Execute Tests screen, allowing the </t>
  </si>
  <si>
    <t>Renders the Git Configuration settings screen with the list of configu</t>
  </si>
  <si>
    <t xml:space="preserve">Renders the Add Configuration form for creating a new Git connection, </t>
  </si>
  <si>
    <t>Renders the Edit button per Git config card, opening the edit form pre</t>
  </si>
  <si>
    <t xml:space="preserve">Renders the Delete button per Git config card, calling the delete API </t>
  </si>
  <si>
    <t>Renders the Save Changes button that calls BE-02 to persist the curren</t>
  </si>
  <si>
    <t>Renders the Re-test button that calls BE-03 and displays the four-chec</t>
  </si>
  <si>
    <t>Renders the Analytics Provider settings screen with provider selection</t>
  </si>
  <si>
    <t xml:space="preserve">Renders the Provider dropdown (InfluxDB / Grafana / Datadog / Custom) </t>
  </si>
  <si>
    <t>Renders the API Key input (masked) for the analytics provider's authen</t>
  </si>
  <si>
    <t>Renders the Test Connection button that calls BE-02 and displays the c</t>
  </si>
  <si>
    <t>Renders the Import Dashboards button that calls BE-03 and shows the im</t>
  </si>
  <si>
    <t>Renders the Save Changes button that persists the analytics provider c</t>
  </si>
  <si>
    <t>Renders the User Management settings screen with the user table and In</t>
  </si>
  <si>
    <t>Renders the Invite User button and modal form for entering the invitee</t>
  </si>
  <si>
    <t>Renders the Edit button per user row that opens the role and status ed</t>
  </si>
  <si>
    <t>Renders the Resend Invite button for pending users, re-sending the inv</t>
  </si>
  <si>
    <t>Renders the Roles reference cards at the bottom of the screen, showing</t>
  </si>
  <si>
    <t>Validates the Sync flow: push status refreshed from Git, stale flags u</t>
  </si>
  <si>
    <t xml:space="preserve">Validates the Push Selected to Git flow: journeys selected, artefacts </t>
  </si>
  <si>
    <t>Validates branch validation: push blocked when target branch is not in</t>
  </si>
  <si>
    <t>Validates bulk push: multiple journeys pushed in sequence, per-journey</t>
  </si>
  <si>
    <t>Validates partial push failure: one journey fails, others succeed, and</t>
  </si>
  <si>
    <t>Validates automated_flag update: all three artefacts pushed, automated</t>
  </si>
  <si>
    <t xml:space="preserve">Validates the status filter pills: each pill shows the correct subset </t>
  </si>
  <si>
    <t xml:space="preserve">Validates the Select Manually flow: journeys selected, run triggered, </t>
  </si>
  <si>
    <t>Validates the Commit Regression flow: commit selected, affected journe</t>
  </si>
  <si>
    <t>Validates the Release Regression flow: refs entered, scan completed, i</t>
  </si>
  <si>
    <t>Validates live result streaming: real-time pass/fail updates appear co</t>
  </si>
  <si>
    <t>Validates that existing scripts continue to execute correctly after th</t>
  </si>
  <si>
    <t>Validates the full end-to-end decoupling: generated script uses decoup</t>
  </si>
  <si>
    <t>Validates the full Git Config settings flow: config created, saved, re</t>
  </si>
  <si>
    <t>Validates the full webhook flow: developer commits to Git, ICE receive</t>
  </si>
  <si>
    <t>Validates that all Execute Tests configuration rows render correctly a</t>
  </si>
  <si>
    <t>Validates the analytics provider settings flow: provider configured, c</t>
  </si>
  <si>
    <t>Validates the user management flow: user invited, role assigned, invit</t>
  </si>
  <si>
    <t xml:space="preserve">  Sprint 7  ·  FR-043 – FR-044  ·  6.3 working days</t>
  </si>
  <si>
    <t>Exposes the GET /api/v1/analytics/runs endpoint that returns the run h</t>
  </si>
  <si>
    <t xml:space="preserve">Exposes the GET /api/v1/analytics/runs/{runId} endpoint returning the </t>
  </si>
  <si>
    <t>Evaluates the CLAP confidence gate for the current run, returning whet</t>
  </si>
  <si>
    <t>Runs CLAP root cause analysis in the background for failed test cases,</t>
  </si>
  <si>
    <t>Generates a PDF or Excel report of the run results including the confi</t>
  </si>
  <si>
    <t>Creates a Jira issue for a failed TC by calling the Jira API, pre-popu</t>
  </si>
  <si>
    <t>Deploys the Axe accessibility JAR to the ICE agent pool, making it ava</t>
  </si>
  <si>
    <t>Registers the Axe JAR version and deployment status in the ICE databas</t>
  </si>
  <si>
    <t>Resolves the active accessibility profile for the current tenant at ru</t>
  </si>
  <si>
    <t>Executes the Axe JAR against the current page during a journey run, pa</t>
  </si>
  <si>
    <t>Enriches the raw Axe violation report with WCAG technique IDs, help UR</t>
  </si>
  <si>
    <t>Applies the configured severity threshold to the enriched violation re</t>
  </si>
  <si>
    <t>Writes the processed accessibility results to the accessibility_result</t>
  </si>
  <si>
    <t>Exposes the accessibility results via the Analytics API, returning vio</t>
  </si>
  <si>
    <t>Generates an Excel export of the accessibility results for a run, form</t>
  </si>
  <si>
    <t>Manages the Axe sidecar JAR lifecycle, starting and stopping the JAR p</t>
  </si>
  <si>
    <t>Renders the Analytics button in the ICE navigation that opens the Anal</t>
  </si>
  <si>
    <t>Renders the Results tab in the Analytics Dashboard showing the run sum</t>
  </si>
  <si>
    <t>Renders the Confidence Gate card displaying the overall CLAP confidenc</t>
  </si>
  <si>
    <t>Renders the CLAP Root Cause card showing the AI-generated failure anal</t>
  </si>
  <si>
    <t>Renders the Generate Report button that calls BE-05 and triggers a dow</t>
  </si>
  <si>
    <t>Renders the Accessibility checkbox in the Execute Tests Type of Test r</t>
  </si>
  <si>
    <t xml:space="preserve">Renders the Accessibility tab in the Analytics Dashboard, showing the </t>
  </si>
  <si>
    <t>Validates the Analytics Dashboard results table: run data loaded, per-</t>
  </si>
  <si>
    <t>Validates the confidence gate and CLAP root cause flow: gate evaluated</t>
  </si>
  <si>
    <t>Validates the Generate Report flow: report generated with all required</t>
  </si>
  <si>
    <t>Validates the Axe JAR deployment: JAR available to agents, version reg</t>
  </si>
  <si>
    <t>Validates the profile builder query: active profile resolved correctly</t>
  </si>
  <si>
    <t>Validates the JAR execution flow: Axe runs against a live page, violat</t>
  </si>
  <si>
    <t>Validates the Analytics Dashboard accessibility tab: violations displa</t>
  </si>
  <si>
    <t xml:space="preserve">  Sprint 8  ·  FR-045 – FR-049  ·  16.7 working days</t>
  </si>
  <si>
    <t>Implements the Java ICE SDK with all 17 analysis methods, providing th</t>
  </si>
  <si>
    <t>Implements the C# ICE SDK with all 17 analysis methods, calling the lo</t>
  </si>
  <si>
    <t>Implements the Python ICE SDK with all 17 analysis methods, calling th</t>
  </si>
  <si>
    <t>Implements the JavaScript and TypeScript ICE SDK with all 17 async ana</t>
  </si>
  <si>
    <t>Implements the central POST /api/v1/analyse receiver that accepts anal</t>
  </si>
  <si>
    <t>Implements the accessibility.analyse() backend handler that runs the A</t>
  </si>
  <si>
    <t>Implements the visual.analyse() backend handler that captures a screen</t>
  </si>
  <si>
    <t>Implements the performance.analyse() backend handler that collects Cor</t>
  </si>
  <si>
    <t>Implements the security.start() and security.stop() backend handlers t</t>
  </si>
  <si>
    <t>Implements the responsiveness.check() backend handler that triggers th</t>
  </si>
  <si>
    <t>Implements the ScriptBridge SDK injection, adding the correct SDK depe</t>
  </si>
  <si>
    <t>Provides the OpenCV Java utility library for image loading, MIME conve</t>
  </si>
  <si>
    <t>Manages baseline screenshot storage and retrieval, storing the first-r</t>
  </si>
  <si>
    <t>Reads the visual testing configuration at runtime (threshold, ignore r</t>
  </si>
  <si>
    <t>Runs the SSIM comparison engine, computing per-region similarity score</t>
  </si>
  <si>
    <t>Orchestrates the full visual diff pipeline: baseline retrieval, config</t>
  </si>
  <si>
    <t xml:space="preserve">Generates the annotated diff image by overlaying red (CONTENT_CHANGE) </t>
  </si>
  <si>
    <t>Defines the IDesignProvider Java interface with methods for listing sc</t>
  </si>
  <si>
    <t xml:space="preserve">Implements the Figma adapter using the Figma REST API, fetching frame </t>
  </si>
  <si>
    <t>Reads the design integration configuration at runtime from the tenant'</t>
  </si>
  <si>
    <t>Stores the raw Figma screen specifications and user-defined layer-to-C</t>
  </si>
  <si>
    <t>Reads the stored design specs and element mappings to generate Galen .</t>
  </si>
  <si>
    <t>Orchestrates the full design sync pipeline per journey: pulls specs fr</t>
  </si>
  <si>
    <t>Reads CDP network events from the cdp_events table and generates a val</t>
  </si>
  <si>
    <t>Stores the raw CDP network events captured during a security-enabled j</t>
  </si>
  <si>
    <t>Reads the load testing configuration at runtime from the tenant's load</t>
  </si>
  <si>
    <t>Generates a CSV parameter template from the JMX DataSet config headers</t>
  </si>
  <si>
    <t xml:space="preserve">Pulls the JMX file from Git, injects the load profile parameters into </t>
  </si>
  <si>
    <t>Aggregates JMeter output metrics per sampler (avg, min, max, p90, p95,</t>
  </si>
  <si>
    <t>Stores DOM snapshots per screen per run in the dom_snapshots table, pr</t>
  </si>
  <si>
    <t xml:space="preserve">Implements Algorithm 1 attribute similarity healing using Levenshtein </t>
  </si>
  <si>
    <t>Implements Algorithm 2 DOM tree position healing using tree edit dista</t>
  </si>
  <si>
    <t xml:space="preserve">Implements Algorithm 3 visual position and text content healing using </t>
  </si>
  <si>
    <t xml:space="preserve">Orchestrates the healing cascade by running Algorithm 1, then 2, then </t>
  </si>
  <si>
    <t>Implements the WebDriver protocol proxy that intercepts findElement fa</t>
  </si>
  <si>
    <t>Implements the active repair service that pulls the healed script from</t>
  </si>
  <si>
    <t>Reads the self-healing configuration at runtime from the tenant's self</t>
  </si>
  <si>
    <t xml:space="preserve">Extends ScriptBridge to start the healing proxy before test execution </t>
  </si>
  <si>
    <t>Renders the element mapping table on the Automate screen with Figma la</t>
  </si>
  <si>
    <t xml:space="preserve">Renders the Load Test configuration strip on the Execute Tests screen </t>
  </si>
  <si>
    <t xml:space="preserve">Renders the Healing Events panel in the Analytics Dashboard showing a </t>
  </si>
  <si>
    <t>Validates all 17 SDK methods using a Java test journey, confirming eac</t>
  </si>
  <si>
    <t>Validates all 17 SDK methods using a C# test journey, confirming the s</t>
  </si>
  <si>
    <t>Validates the Python SDK for accessibility and performance analysis, c</t>
  </si>
  <si>
    <t xml:space="preserve">Validates the full visual diff pipeline across three runs: Run 1 sets </t>
  </si>
  <si>
    <t>Validates the full design sync pipeline: Figma API called, specs store</t>
  </si>
  <si>
    <t>Validates the auto-sync flow: Figma file updated, webhook received, de</t>
  </si>
  <si>
    <t>Validates the full JMX load testing pipeline: CDP events captured, JMX</t>
  </si>
  <si>
    <t>Validates the healing proxy end-to-end: broken locator introduced, pro</t>
  </si>
  <si>
    <t>Validates the full healing cascade: Algorithm 1 forced to fail, Algori</t>
  </si>
  <si>
    <t xml:space="preserve">  Sprint 9  ·  FR-035 – FR-051  ·  11.7 working days</t>
  </si>
  <si>
    <t>Defines and persists the design integration configuration entity, stor</t>
  </si>
  <si>
    <t>Exposes the test connection endpoint that validates the design provide</t>
  </si>
  <si>
    <t>Receives the Figma file update webhook and triggers the design sync or</t>
  </si>
  <si>
    <t>Loads the targeted regression settings from the ICE database and retur</t>
  </si>
  <si>
    <t>Implements the auto-trigger scan on push, receiving the Git webhook an</t>
  </si>
  <si>
    <t>Implements the auto-run journeys on push, dispatching a targeted run_e</t>
  </si>
  <si>
    <t xml:space="preserve">Implements the PR check, blocking a pull request if it introduces new </t>
  </si>
  <si>
    <t>Implements the nightly scheduled scan, comparing the previous day's ma</t>
  </si>
  <si>
    <t>Loads the ownership map screen by fetching the current ice-ownership.y</t>
  </si>
  <si>
    <t xml:space="preserve">Pulls the latest ice-ownership.yml from Git and re-parses it into the </t>
  </si>
  <si>
    <t>Saves the current ownership map as ice-ownership.yml and pushes the up</t>
  </si>
  <si>
    <t>Queries the Git repository for file paths not matched by any ownership</t>
  </si>
  <si>
    <t xml:space="preserve">Loads the library configuration from the ICE database and returns the </t>
  </si>
  <si>
    <t>Reads the targeted regression configuration at runtime from the tenant</t>
  </si>
  <si>
    <t xml:space="preserve">Extends the IGitProvider interface with getChangedFiles() implemented </t>
  </si>
  <si>
    <t>Matches changed files against the ownership map patterns to resolve im</t>
  </si>
  <si>
    <t>Exposes the POST /api/v1/targeted-regression/scan endpoint that accept</t>
  </si>
  <si>
    <t xml:space="preserve">Creates a TARGETED_REGRESSION run_execution for the impacted journeys </t>
  </si>
  <si>
    <t>Computes a risk score (0 to 100) per impacted journey based on file ch</t>
  </si>
  <si>
    <t>Defines and persists the discovery configuration entity, storing the a</t>
  </si>
  <si>
    <t>Runs the Selenium Chrome headless crawler from the configured app URL,</t>
  </si>
  <si>
    <t>Classifies each navigation graph node by DOM analysis, detecting scree</t>
  </si>
  <si>
    <t xml:space="preserve">Sends a screenshot of each screen to the configured LLM (FR-028) with </t>
  </si>
  <si>
    <t xml:space="preserve">Orchestrates the full discovery pipeline: crawl, classify (rule-based </t>
  </si>
  <si>
    <t xml:space="preserve">Assembles proposed ICE journeys from all navigation paths between the </t>
  </si>
  <si>
    <t>Imports approved proposed journeys into the ICE journeys table with so</t>
  </si>
  <si>
    <t>Renders the Design Integration settings screen with provider selection</t>
  </si>
  <si>
    <t>Renders the Provider dropdown (Figma / Sketch) that selects the design</t>
  </si>
  <si>
    <t>Renders the Figma File URL input for the URL of the Figma file contain</t>
  </si>
  <si>
    <t>Renders the Access Token input (masked) for the Figma API personal acc</t>
  </si>
  <si>
    <t>Renders the Auto-sync on Figma update toggle that enables automatic sy</t>
  </si>
  <si>
    <t>Renders the Test Connection button that calls BE-02 and displays the F</t>
  </si>
  <si>
    <t>Renders the Save Changes button that persists the design integration c</t>
  </si>
  <si>
    <t>Renders the Targeted Regression settings screen with all toggle and co</t>
  </si>
  <si>
    <t>Renders the Enable toggle that activates the targeted regression featu</t>
  </si>
  <si>
    <t>Renders the Watch Branches input that defines which branches trigger t</t>
  </si>
  <si>
    <t>Renders the Auto-trigger Scan toggle that enables the changed-file sca</t>
  </si>
  <si>
    <t>Renders the Auto-run toggle that enables automatic journey execution a</t>
  </si>
  <si>
    <t>Renders the PR Check toggle that enables the unmapped file gate on pul</t>
  </si>
  <si>
    <t>Renders the Scheduled Nightly Scan toggle that enables the overnight b</t>
  </si>
  <si>
    <t>Renders the Notification Email input that sets the email address for s</t>
  </si>
  <si>
    <t xml:space="preserve">Renders the Save Changes button that persists the targeted regression </t>
  </si>
  <si>
    <t>Renders the Ownership Map settings screen with the sync status bar, ma</t>
  </si>
  <si>
    <t>Renders the sync status bar showing the last sync timestamp, current s</t>
  </si>
  <si>
    <t>Renders the Sync Now button that triggers BE-02 to pull and re-parse t</t>
  </si>
  <si>
    <t>Renders the Mapping Table tab with an editable table of functionality-</t>
  </si>
  <si>
    <t>Renders the Save and Push button on the Mapping Table tab that calls B</t>
  </si>
  <si>
    <t>Renders the Unowned Files tab with the list of unmapped files and a Bu</t>
  </si>
  <si>
    <t>Renders the Run Wizard button that opens the ownership map setup wizar</t>
  </si>
  <si>
    <t>Renders the Edit YAML tab with a raw YAML editor and a Validate and Pu</t>
  </si>
  <si>
    <t>Renders the Save Changes button that persists any unsaved mapping tabl</t>
  </si>
  <si>
    <t>Renders the Library Configuration settings screen with a toggle row fo</t>
  </si>
  <si>
    <t>Renders the Functional Testing toggle as permanently enabled and non-i</t>
  </si>
  <si>
    <t xml:space="preserve">Renders the Visual Testing toggle that enables or disables the OpenCV </t>
  </si>
  <si>
    <t xml:space="preserve">Renders the Accessibility Testing toggle that enables or disables the </t>
  </si>
  <si>
    <t>Renders the Performance Testing toggle that enables or disables the pe</t>
  </si>
  <si>
    <t>Renders the Security Testing toggle that enables or disables the secur</t>
  </si>
  <si>
    <t>Renders the Self-Healing toggle that enables or disables the healing p</t>
  </si>
  <si>
    <t>Renders the Save Changes button that persists the library configuratio</t>
  </si>
  <si>
    <t>Renders the Targeted Regression section on the Execute Tests screen wi</t>
  </si>
  <si>
    <t xml:space="preserve">Renders the Targeted Regression panel in the Analytics Dashboard with </t>
  </si>
  <si>
    <t>Renders the Application Discovery overlay with app URL input, auth con</t>
  </si>
  <si>
    <t>Renders the Discovery Review panel showing proposed journeys sorted by</t>
  </si>
  <si>
    <t>Validates the full design integration settings flow: Figma URL and tok</t>
  </si>
  <si>
    <t>Validates the auto-trigger scan flow: code pushed to watched branch, s</t>
  </si>
  <si>
    <t>Validates the PR check flow: PR with unmapped files is blocked, PR wit</t>
  </si>
  <si>
    <t>Validates the unowned files flow: unmapped files detected, bulk assign</t>
  </si>
  <si>
    <t>Validates the auto-sync flow: ice-ownership.yml updated in Git, sync t</t>
  </si>
  <si>
    <t xml:space="preserve">Validates the library configuration flow: toggles set, saved, and the </t>
  </si>
  <si>
    <t>Validates the commit-level targeted regression flow: code pushed to wa</t>
  </si>
  <si>
    <t>Validates the release scan flow: tag comparison run, changed files res</t>
  </si>
  <si>
    <t>Validates the full discovery pipeline against a known test app: correc</t>
  </si>
  <si>
    <t>Validates the full targeted regression settings save flow: all toggles</t>
  </si>
  <si>
    <t>Validates the mapping table flow: pattern added, saved, pushed to Git,</t>
  </si>
  <si>
    <t xml:space="preserve">  Sprint 10  ·  FR-041 – FR-054  ·  10.8 working days</t>
  </si>
  <si>
    <t>Loads the notification configuration from the ICE database and returns</t>
  </si>
  <si>
    <t>Dispatches notifications to the configured channels (Slack, email, web</t>
  </si>
  <si>
    <t>Exposes the test webhook endpoint that sends a test message to the con</t>
  </si>
  <si>
    <t>Processes Step 1 of the New Client Setup Wizard, creating the tenant r</t>
  </si>
  <si>
    <t>Processes Step 2 of the wizard, configuring the module layout and assi</t>
  </si>
  <si>
    <t>Sends the invitation email to the new client's admin user in the backg</t>
  </si>
  <si>
    <t>Exposes the API to list all active client tenants for the Codiem admin</t>
  </si>
  <si>
    <t>Exposes the run history and per-TC result detail endpoints, supporting</t>
  </si>
  <si>
    <t xml:space="preserve">Exposes the performance analytics endpoints returning Core Web Vitals </t>
  </si>
  <si>
    <t>Exposes the security, accessibility, healing, and design analytics end</t>
  </si>
  <si>
    <t>Exposes the targeted regression, coverage gap, and discovery session a</t>
  </si>
  <si>
    <t>Provisions Grafana with the InfluxDB data source and ICE dashboard tem</t>
  </si>
  <si>
    <t>Provisions Grafana alert rules for journey pass rate drops, performanc</t>
  </si>
  <si>
    <t>Implements the tenant isolation middleware that extracts tenant_id fro</t>
  </si>
  <si>
    <t>Implements the plan-based feature gate using a @RequiresPlan annotatio</t>
  </si>
  <si>
    <t>Implements usage metering that tracks run count, journey count, active</t>
  </si>
  <si>
    <t>Runs the Flyway migration that adds tenant_id to all existing tables a</t>
  </si>
  <si>
    <t>Implements the Enterprise tenant dedicated database migration path, ex</t>
  </si>
  <si>
    <t xml:space="preserve">Exposes the Super Admin API endpoints for listing tenants, suspending </t>
  </si>
  <si>
    <t>Implements performance NFRs: CLAP generation completes in under 30 sec</t>
  </si>
  <si>
    <t xml:space="preserve">Implements scalability and capacity NFRs: auto-scales to 10x baseline </t>
  </si>
  <si>
    <t>Implements security NFRs: OAuth2/PAT for Xray and Git, JWT on all inte</t>
  </si>
  <si>
    <t>Implements RBAC NFRs: a minimum of four roles enforced with least-priv</t>
  </si>
  <si>
    <t xml:space="preserve">Implements reliability NFRs: 99.5% uptime SLA, 99% CLAP availability, </t>
  </si>
  <si>
    <t>Renders the Notifications settings screen with the event table and Sla</t>
  </si>
  <si>
    <t xml:space="preserve">Renders the event table with a per-event toggle and channel selector, </t>
  </si>
  <si>
    <t xml:space="preserve">Renders the Slack Webhook URL input for the incoming webhook URL used </t>
  </si>
  <si>
    <t>Renders the Test Webhook button that calls BE-03 and displays a succes</t>
  </si>
  <si>
    <t>Renders the Save Changes button that persists the notification configu</t>
  </si>
  <si>
    <t>Renders the Onboarding settings screen with the Active Clients list an</t>
  </si>
  <si>
    <t>Renders the Active Clients list table showing all onboarded tenants wi</t>
  </si>
  <si>
    <t>Renders the New Client Setup Wizard button that opens the multi-step w</t>
  </si>
  <si>
    <t>Renders the wizard stepper showing progress through the four setup ste</t>
  </si>
  <si>
    <t>Renders the Create Client and Send Invite button in Step 1 that submit</t>
  </si>
  <si>
    <t>Renders the Module Setup step where the admin configures the initial m</t>
  </si>
  <si>
    <t>Renders the Users and Roles step where the admin adds the initial user</t>
  </si>
  <si>
    <t xml:space="preserve">Renders the Done step confirming onboarding is complete and providing </t>
  </si>
  <si>
    <t>Renders the Analytics Dashboard persona tab switcher (QA Engineer / QA</t>
  </si>
  <si>
    <t>Renders the Super Admin Dashboard overlay with the tenant list, health</t>
  </si>
  <si>
    <t>Renders the plan gate locked feature overlay with an Upgrade prompt, p</t>
  </si>
  <si>
    <t>Implements usability NFRs: structured error messages with resolution h</t>
  </si>
  <si>
    <t>Validates the new client onboarding flow: tenant created, modules conf</t>
  </si>
  <si>
    <t xml:space="preserve">Validates the Analytics API end-to-end: run results served correctly, </t>
  </si>
  <si>
    <t>Validates the full multi-tenancy isolation: Tenant A cannot see Tenant</t>
  </si>
  <si>
    <t xml:space="preserve">Validates all NFR acceptance criteria: JMeter latency and concurrency </t>
  </si>
  <si>
    <t>Validates the notifications flow: events configured, webhook URL saved</t>
  </si>
  <si>
    <t>Validates the full onboarding journey: all four wizard steps completed</t>
  </si>
  <si>
    <t>ICE 3.0 — Effort Summary Dashboard</t>
  </si>
  <si>
    <t>All numbers pull live from Detailed Requirements (cols L &amp; M) and FR Schedule · change any estimate in DR and this sheet recalculates</t>
  </si>
  <si>
    <t>KEY METRICS  (live from Detailed Requirements)</t>
  </si>
  <si>
    <t>Total Tasks</t>
  </si>
  <si>
    <t>Total FRs</t>
  </si>
  <si>
    <t>w/o AI (days)</t>
  </si>
  <si>
    <t>w/ AI (days)</t>
  </si>
  <si>
    <t>AI Saving (days)</t>
  </si>
  <si>
    <t>AI Saving (%)</t>
  </si>
  <si>
    <t>EFFORT BY PIPELINE AREA  (days w/ AI · pulls from Detailed Requirements cols L &amp; M)</t>
  </si>
  <si>
    <t>Pipeline Area</t>
  </si>
  <si>
    <t>Tasks</t>
  </si>
  <si>
    <t>BE (AI days)</t>
  </si>
  <si>
    <t>FE (AI days)</t>
  </si>
  <si>
    <t>INT (AI days)</t>
  </si>
  <si>
    <t>Total (AI days)</t>
  </si>
  <si>
    <t>w/o AI days</t>
  </si>
  <si>
    <t>AI Saving</t>
  </si>
  <si>
    <t>Import &amp; Export</t>
  </si>
  <si>
    <t>Automation</t>
  </si>
  <si>
    <t>Settings</t>
  </si>
  <si>
    <t>Advanced Features</t>
  </si>
  <si>
    <t>SaaS &amp; Infrastructure</t>
  </si>
  <si>
    <t>NFRs</t>
  </si>
  <si>
    <t>EFFORT BY DEVELOPER ROLE  (days · pulls from Detailed Requirements cols L &amp; M)</t>
  </si>
  <si>
    <t>Developer Role</t>
  </si>
  <si>
    <t>EFFORT BY FR  (all 54 FRs · BE/FE/INT from FR Schedule · task count &amp; w/o AI from Detailed Requirements)</t>
  </si>
  <si>
    <t>GRAND TOTAL</t>
  </si>
  <si>
    <t>Claude Project Custom Instructions — ICE 3.0</t>
  </si>
  <si>
    <t>Copy the text from column C into the "Project instructions" field for each project. These are applied automatically on every chat.</t>
  </si>
  <si>
    <t>ICE — Backend (Spring Boot)</t>
  </si>
  <si>
    <t>← Project Name</t>
  </si>
  <si>
    <t>Instructions
(copy this entire cell into Project instructions field)</t>
  </si>
  <si>
    <t>You are a senior backend developer on the ICE 3.0 platform (Intelligent CX Validation) built by Changepond Technologies.
TECH STACK: Spring Boot 3.x · Java 17 · JPA/Hibernate · PostgreSQL · Redis · Spring Security · JWT · Apache POI · OkHttp · JUnit 5 · Mockito · Maven · OpenAPI 3.0
CRITICAL RULES — follow without exception:
1. TENANT ISOLATION: Every database query MUST include tenant_id scoping. tenant_id ALWAYS comes from the JWT token via ThreadLocal context — never from request parameters. A missing tenant_id is a data leak.
2. SESSION GUARDS: Journey Stitcher has 5 phases. Always check the session phase flag (e.g. step_1_complete) before executing any service logic. Return 400 if the prerequisite phase is not complete.
3. ERROR CODES: Use 404 (not 403) when a tenant tries to access a resource belonging to another tenant — do not reveal the resource exists.
4. TESTS: Always generate JUnit 5 unit tests alongside every service method. Mock repositories with Mockito. Test both success and failure paths.
5. API FORMAT: Follow OpenAPI 3.0. Controllers return ResponseEntity&lt;T&gt;. DTOs for request/response — never expose entity classes directly.
6. ICE-GIT BRIDGE: Git credentials are AES-256 encrypted at rest. Always decrypt in-memory only within the adapter call scope. Never log credentials or return them in API responses.
When given a task, expect: FR number, task ID, scope, acceptance criteria (AC), API contract, edge cases. Satisfy every AC point. Check each one before responding.</t>
  </si>
  <si>
    <t>ICE — Frontend (Angular)</t>
  </si>
  <si>
    <t xml:space="preserve"> </t>
  </si>
  <si>
    <t>You are a senior frontend developer on the ICE 3.0 platform (Intelligent CX Validation) built by Changepond Technologies.
TECH STACK: Angular 16+ · TypeScript · RxJS · Angular HttpClient · Reactive Forms · SCSS · JWT HTTP Interceptor · Angular Router · ChangeDetectionStrategy.OnPush
CRITICAL RULES — follow without exception:
1. JWT INTERCEPTOR: All HTTP calls go through the JWT interceptor. Never manually add Authorization headers. Never pass tenant_id as a request parameter — it flows via the JWT token.
2. SUBSCRIPTIONS: Always use takeUntil(this.destroy$) or the async pipe to prevent memory leaks. Never subscribe without unsubscribing.
3. ONPUSH: Use ChangeDetectionStrategy.OnPush on all data-heavy components — especially Journey Stitcher tables and Automate screen tables.
4. STATE: Phase state in Journey Stitcher is stored in a shared service with BehaviorSubject. Never store phase state in local component variables.
5. ERROR HANDLING: Handle 401 (token refresh), 403 (access denied), 404 (not found), 500 (server error) in the HTTP interceptor and show appropriate UI feedback.
6. FORMS: Use Reactive Forms with FormBuilder. Always validate before submitting. Show inline validation errors.
ICE SCREENS: Design &amp; Author · Journey Stitcher (5 phases) · Automate (source picker: Xray/ICE) · Commit to Git (Functionality filter + Quick filters) · Execute Tests · Tenant Settings · Analytics Dashboard.
When given a task, expect: FR number, task ID, scope, acceptance criteria (AC), component name, API contract. Satisfy every AC point.</t>
  </si>
  <si>
    <t>ICE — QA(Test &amp; Review)</t>
  </si>
  <si>
    <t>You are a QA specialist on the ICE 3.0 platform (Intelligent CX Validation) built by Changepond Technologies.
YOUR ROLE: Help with test case review, acceptance criteria analysis, WCAG accessibility checking, test scenario generation, and FR clarification.
ICE CONTEXT:
- ICE has 40 Functional Requirements (FR-001 to FR-039) across 7 main screens
- Journey TCs use a 9-field format: TC ID, Prerequisite, Description, Step ID, First Step, Expected Outcome, Test Type, Functionality, Priority
- Multi-tenant SaaS — every test that touches data must verify tenant isolation (tenant A cannot see tenant B's data)
- WCAG 2.1 accessibility rules are enforced via the Accessibility Module (FR-037) — 87 rules across domains
WHEN REVIEWING ACs: Check each acceptance criteria point individually. Flag any that are ambiguous, untestable, or missing edge cases.
WHEN GENERATING TEST CASES: Use the ICE 9-field format. Include both happy path and negative/edge case scenarios.
WHEN ASKED ABOUT WCAG: Reference the specific Success Criterion (e.g. SC 1.4.3 Contrast) and the WCAG level (A, AA, AAA).</t>
  </si>
  <si>
    <t>ICE — Architecture(Your personal project)</t>
  </si>
  <si>
    <t>You are a technical architect for ICE 3.0 (Intelligent CX Validation Platform) at Changepond Technologies.
PLATFORM CONTEXT:
- 40 FRs, 327 tasks, 9 screens, 8-month build timeline with 2 FE + 2 BE developers using Claude acceleration
- Multi-tenant SaaS: shared DB/shared schema (Model 1). tenant_id flows via JWT. 3-level hierarchy: Tenant → Module → Journey
- First DB write: Save &amp; Proceed on Review &amp; Export (Journey Stitcher Phase 5)
- Automate screen: source picker (Xray or ICE DB), Pull from ICE available without Xray push
- ICE-Git Bridge (FR-039/FI-001): provider adapter pattern, host+owner+repo+auth mandatory, branch always runtime
- ScriptBridge (FR-038/FI-002): pulls scripts at Execute Tests runtime via git_config_ref on journey record
- Accessibility (FR-037): 87 WCAG rules, 7-step pipeline, wcag_techniques table, domain/site-type profiling
DEPLOYMENT MODELS: SaaS (Changepond-hosted), On-Premise (Docker/Helm), Private Cloud (AWS Bedrock/Azure OpenAI), Hybrid
When I ask architectural questions, reference the decisions we have already locked. When I ask to review code or FRs, check against the consolidated tasks AC and edge cases.</t>
  </si>
  <si>
    <t>ICE 3.0 — Claude Onboarding Workshop Agenda (Half Day)</t>
  </si>
  <si>
    <t>Run this once when the team is assembled. Goal: every developer and QA member knows how to use Claude effectively for ICE tasks.</t>
  </si>
  <si>
    <t>#</t>
  </si>
  <si>
    <t>Time</t>
  </si>
  <si>
    <t>Topic</t>
  </si>
  <si>
    <t>What to cover</t>
  </si>
  <si>
    <t>Who leads</t>
  </si>
  <si>
    <t>1</t>
  </si>
  <si>
    <t>09:00–09:30</t>
  </si>
  <si>
    <t>Why Claude changes the workflow</t>
  </si>
  <si>
    <t>Before: developer writes code from scratch. After: developer directs and reviews Claude. The bottleneck moves from writing to reviewing. Show the consolidated tasks Excel — explain how every row is a Claude prompt.</t>
  </si>
  <si>
    <t>You (lead)</t>
  </si>
  <si>
    <t>2</t>
  </si>
  <si>
    <t>09:30–10:00</t>
  </si>
  <si>
    <t>Live demo — BE task from scratch</t>
  </si>
  <si>
    <t>Take one real FR task (e.g. FR-014B BE-07). Show the wrong way (vague prompt) vs the right way (paste scope + AC + API contract). Compare output quality. Show how to ask Claude to fix a specific AC gap.</t>
  </si>
  <si>
    <t>3</t>
  </si>
  <si>
    <t>10:00–10:30</t>
  </si>
  <si>
    <t>Live demo — FE task from scratch</t>
  </si>
  <si>
    <t>Take one FE task (e.g. FR-021 FE-01 Automate source selector). Show how to give Claude the Angular component spec, the mockup reference, and the API contract. Show how to review for OnPush, subscription cleanup, JWT interceptor.</t>
  </si>
  <si>
    <t>FE lead</t>
  </si>
  <si>
    <t>10:30–10:45</t>
  </si>
  <si>
    <t>Break</t>
  </si>
  <si>
    <t>-</t>
  </si>
  <si>
    <t>4</t>
  </si>
  <si>
    <t>10:45–11:15</t>
  </si>
  <si>
    <t>What to always check in Claude output</t>
  </si>
  <si>
    <t>BE checklist: tenant_id on every query · session guard · correct error codes · AC satisfied · JUnit tests present.
FE checklist: JWT interceptor · OnPush · takeUntil · Reactive Forms · error handling.
Rule: never merge Claude code without checking these.</t>
  </si>
  <si>
    <t>5</t>
  </si>
  <si>
    <t>11:15–12:00</t>
  </si>
  <si>
    <t>Hands-on — each person does one real task</t>
  </si>
  <si>
    <t>Each developer picks one task from the consolidated tasks Excel. Opens their ICE project in Claude. Prompts, reviews output against AC, iterates. Debrief as a group on what worked and what needed fixing.</t>
  </si>
  <si>
    <t>All developers</t>
  </si>
  <si>
    <t>6</t>
  </si>
  <si>
    <t>12:00–12:15</t>
  </si>
  <si>
    <t>QA — how to use Claude for test review</t>
  </si>
  <si>
    <t>Show QA team how to: ask Claude to review an AC for testability gaps · generate test scenarios from an FR · check a WCAG rule against a screen description. Remind them to use the ICE QA project.</t>
  </si>
  <si>
    <t>QA lead</t>
  </si>
  <si>
    <t>7</t>
  </si>
  <si>
    <t>12:15–12:30</t>
  </si>
  <si>
    <t>Ground rules and Q&amp;A</t>
  </si>
  <si>
    <t>Ground rules:
• Use work account only (company data stays in org)
• Always work inside the ICE project — not personal chats
• tenant_id is non-negotiable — flag any Claude output that misses it
• If Claude gets something wrong, iterate in chat — do not edit code manually</t>
  </si>
  <si>
    <t>Claude Team Plan — Changepond ICE 3.0 Setup Guide</t>
  </si>
  <si>
    <t>Complete step-by-step process from account creation to working Claude Projects for the ICE development team</t>
  </si>
  <si>
    <t>Action</t>
  </si>
  <si>
    <t>How to do it</t>
  </si>
  <si>
    <t>Notes / Why</t>
  </si>
  <si>
    <t xml:space="preserve">  PHASE 1 — ACCOUNT CREATION</t>
  </si>
  <si>
    <t>1.1</t>
  </si>
  <si>
    <t>Go to claude.ai</t>
  </si>
  <si>
    <t>Open claude.ai in your browser.
Click your profile icon → Upgrade plan</t>
  </si>
  <si>
    <t>Use your Changepond work email (e.g. sen@changepond.com) — this becomes the organisation domain for SSO later.</t>
  </si>
  <si>
    <t>☐ To do</t>
  </si>
  <si>
    <t>1.2</t>
  </si>
  <si>
    <t>Select Team plan</t>
  </si>
  <si>
    <t>Click "Team" from the plan options.
Select Annual billing (saves ~20% vs monthly)</t>
  </si>
  <si>
    <t>Annual = $20/seat/month Standard, $100/seat/month Premium.
Monthly = $25/$125. Annual billed upfront.</t>
  </si>
  <si>
    <t>1.3</t>
  </si>
  <si>
    <t>Purchase seats</t>
  </si>
  <si>
    <t>Buy 4 Premium seats:
  • You (architect/lead)
  • 2 × FE developers
  • 1 × BE developer (lead)
Buy 5 Standard seats:
  • 1 × BE developer
  • 4–5 × QA team members</t>
  </si>
  <si>
    <t>You can mix seat types. Premium = 6.25× usage + Claude Code. Standard = 1.25× usage, sufficient for QA.
Minimum 5 seats to activate the plan.</t>
  </si>
  <si>
    <t>1.4</t>
  </si>
  <si>
    <t>Confirm you are Primary Owner</t>
  </si>
  <si>
    <t>You are automatically set as Primary Owner when you create the organisation.
Verify at Organisation Settings → Organisation → Members</t>
  </si>
  <si>
    <t>Primary Owner = full control over billing, members, spend limits and data exports. Only one per org.</t>
  </si>
  <si>
    <t xml:space="preserve">  PHASE 2 — INVITE TEAM MEMBERS</t>
  </si>
  <si>
    <t>2.1</t>
  </si>
  <si>
    <t>Disable member-to-member invites</t>
  </si>
  <si>
    <t>Organisation Settings → Organisation
Find "Member invites" toggle → turn OFF</t>
  </si>
  <si>
    <t>Prevents anyone inviting colleagues without your approval. Only you can add new members.</t>
  </si>
  <si>
    <t>2.2</t>
  </si>
  <si>
    <t>Invite developers</t>
  </si>
  <si>
    <t>Organisation Settings → Organisation → Invite
Add each developer's work email.
Set Role = User
Set Seat = Premium (for lead BE + both FE) or Standard (for 2nd BE)</t>
  </si>
  <si>
    <t>Invitees get an email to join. They must use their work email to accept — not a personal account.</t>
  </si>
  <si>
    <t>2.3</t>
  </si>
  <si>
    <t>Invite QA team members</t>
  </si>
  <si>
    <t>Same process as above.
Set Role = User
Set Seat = Standard for all QA members</t>
  </si>
  <si>
    <t>Standard seat is sufficient for QA work — test case review, AC writing, FR queries. No Claude Code needed.</t>
  </si>
  <si>
    <t>2.4</t>
  </si>
  <si>
    <t>Verify all members joined</t>
  </si>
  <si>
    <t>Organisation Settings → Organisation → Members
Confirm each person's status shows "Active" (not "Pending")</t>
  </si>
  <si>
    <t>Pending = they haven't accepted the invite yet. Resend if needed from the same Members screen.</t>
  </si>
  <si>
    <t xml:space="preserve">  PHASE 3 — ACCESS CONTROLS &amp; SPEND LIMITS</t>
  </si>
  <si>
    <t>3.1</t>
  </si>
  <si>
    <t>Disable extra usage for QA</t>
  </si>
  <si>
    <t>Organisation Settings → Usage
Scroll to "Extra usage requests"
Toggle OFF</t>
  </si>
  <si>
    <t>QA members on Standard seats have a weekly usage allowance included in their $20 seat. When they hit it, they wait for the 7-day reset. No extra charges, no approval requests to you.</t>
  </si>
  <si>
    <t>3.2</t>
  </si>
  <si>
    <t>Enable extra usage for developers</t>
  </si>
  <si>
    <t>Organisation Settings → Usage
Click "Enable" under Extra usage
Pre-purchase a buffer (e.g. $50–100/month)
Enable auto-reload when balance drops low</t>
  </si>
  <si>
    <t>Developers on Premium may need to go beyond their weekly allowance during heavy sprint weeks. Extra usage is billed at API rates — set a cap to prevent surprises.</t>
  </si>
  <si>
    <t>3.3</t>
  </si>
  <si>
    <t>Set per-developer spend cap</t>
  </si>
  <si>
    <t>Organisation Settings → Usage → Spend limits by user
Click "..." next to each developer
Click "Edit limit"
Set e.g. $15–20/month per developer</t>
  </si>
  <si>
    <t>Once a developer hits their spend limit, usage pauses until the next billing period. MTD Spend column shows real-time consumption per person.</t>
  </si>
  <si>
    <t>3.4</t>
  </si>
  <si>
    <t>Set organisation-wide cap</t>
  </si>
  <si>
    <t>Organisation Settings → Usage
Click "Adjust limit" under Usage and spend limits
Set a total monthly cap (e.g. $100) as a safety ceiling</t>
  </si>
  <si>
    <t>The org-wide cap is the hard ceiling regardless of individual limits. Prevents runaway charges if multiple developers hit overages in the same month.</t>
  </si>
  <si>
    <t xml:space="preserve">  PHASE 4 — SSO SETUP (optional but recommended)</t>
  </si>
  <si>
    <t>4.1</t>
  </si>
  <si>
    <t>Enable SSO</t>
  </si>
  <si>
    <t>Organisation Settings → Security
Click "Configure SSO"
Connect to your identity provider:
  • Google Workspace (if Changepond uses Gmail)
  • Microsoft 365 (if Changepond uses Outlook)
  • Okta / Azure AD</t>
  </si>
  <si>
    <t>SSO means team members log in with their Changepond credentials — no separate Claude password. When someone leaves Changepond, revoking their company account automatically blocks Claude access.</t>
  </si>
  <si>
    <t>4.2</t>
  </si>
  <si>
    <t>Enable Domain Capture</t>
  </si>
  <si>
    <t>Organisation Settings → Security
Enable Domain Capture for @changepond.com
(or your company domain)</t>
  </si>
  <si>
    <t>Anyone signing into Claude with a @changepond.com email is automatically routed into your org. Prevents team members from accidentally creating personal accounts with work emails.</t>
  </si>
  <si>
    <t xml:space="preserve">  PHASE 5 — CREATE ICE CLAUDE PROJECTS</t>
  </si>
  <si>
    <t>5.1</t>
  </si>
  <si>
    <t>Create "ICE — Backend" project</t>
  </si>
  <si>
    <t>Go to claude.ai → Projects → New Project
Name: "ICE 3.0 — Backend"
Visibility: Private
Invite: 2 BE developers + you (Can edit)</t>
  </si>
  <si>
    <t>Private = only invited members can access. Developers get the ICE context automatically in every chat they start from this project.</t>
  </si>
  <si>
    <t>5.2</t>
  </si>
  <si>
    <t>Upload BE knowledge base</t>
  </si>
  <si>
    <t>Inside the project → Add to project knowledge
Upload these files:
  • ICE_Consolidated_Tasks (BE tasks)
  • DB schema / table definitions
  • Multi-tenancy + JWT architecture doc
  • ICE-Git Bridge spec (FR-039)
  • ScriptBridge spec (FR-038)</t>
  </si>
  <si>
    <t>The knowledge base is shared across all members of the project. Every chat starts with Claude already knowing the ICE BE stack, tenant_id rules, and API contracts.</t>
  </si>
  <si>
    <t>5.3</t>
  </si>
  <si>
    <t>Set BE project instructions</t>
  </si>
  <si>
    <t>Inside the project → Project instructions
Paste the BE custom instructions (see Sheet 2 for full text)</t>
  </si>
  <si>
    <t>Instructions tell Claude how to behave: always scope queries by tenant_id, always generate JUnit 5 tests, always follow the ICE API contract format. Applied automatically on every chat.</t>
  </si>
  <si>
    <t>5.4</t>
  </si>
  <si>
    <t>Create "ICE — Frontend" project</t>
  </si>
  <si>
    <t>Same process as 5.1–5.3
Name: "ICE 3.0 — Frontend"
Invite: 2 FE developers + you
Knowledge base: FE consolidated tasks, mockup v5 HTML, Angular component patterns</t>
  </si>
  <si>
    <t>Separate project for FE so the knowledge base is focused — BE spec documents don't pollute FE conversations.</t>
  </si>
  <si>
    <t>5.5</t>
  </si>
  <si>
    <t>Create "ICE — QA" project</t>
  </si>
  <si>
    <t>Name: "ICE 3.0 — QA"
Invite: all QA members + you
Knowledge base: FR definitions, AC lists, WCAG rules, test case templates</t>
  </si>
  <si>
    <t>QA team can query Claude about specific FRs, get AC clarification, generate test scenarios — all informed by the actual ICE spec rather than generic output.</t>
  </si>
  <si>
    <t>5.6</t>
  </si>
  <si>
    <t>Create "ICE — Architecture" project (your own)</t>
  </si>
  <si>
    <t>Name: "ICE 3.0 — Architecture"
Visibility: Private — only you
Knowledge base: full consolidated tasks, all architecture decisions, mockup v5</t>
  </si>
  <si>
    <t>Your personal deep-context project. Use this for FR-level design decisions, reviewing developer output, and architectural questions. This is essentially the project you've been using in our sessions.</t>
  </si>
  <si>
    <t xml:space="preserve">  PHASE 6 — TEAM WORKFLOW — HOW DEVELOPERS USE CLAUDE DAILY</t>
  </si>
  <si>
    <t>6.1</t>
  </si>
  <si>
    <t>Brief the team on prompting from tasks</t>
  </si>
  <si>
    <t>Run a half-day workshop (see Sheet 3 for agenda)
Key message: always start from the FR task row in the consolidated tasks Excel — paste scope, AC, API contract as the prompt</t>
  </si>
  <si>
    <t>The biggest productivity gain is not Claude itself — it's knowing how to give Claude the right context. A developer who pastes the FR task definition gets production-ready code. One who types a vague question gets boilerplate.</t>
  </si>
  <si>
    <t>6.2</t>
  </si>
  <si>
    <t>Establish a "generate from task" workflow</t>
  </si>
  <si>
    <t>For each task, developer:
1. Opens ICE Backend or Frontend project
2. Pastes the FR task row (scope + AC + API contract)
3. Reviews output against AC checklist
4. Asks Claude to fix specific issues
5. Does not manually edit Claude output — iterates in chat</t>
  </si>
  <si>
    <t>Iterating in conversation keeps Claude in context and produces cleaner code than manual edits. The AC column in consolidated tasks is the review checklist.</t>
  </si>
  <si>
    <t>6.3</t>
  </si>
  <si>
    <t>Set tenant_id as a non-negotiable review item</t>
  </si>
  <si>
    <t>Every Spring Boot query must be checked for tenant_id scoping before merge.
Add to PR template: "[ ] tenant_id applied to all queries"</t>
  </si>
  <si>
    <t>Claude will sometimes miss tenant_id on complex join queries. This is the #1 thing to check in every BE code review. A missed tenant_id is a data leak between clients.</t>
  </si>
  <si>
    <t>6.4</t>
  </si>
  <si>
    <t>Monthly usage review</t>
  </si>
  <si>
    <t>Organisation Settings → Usage → MTD Spend
Review each member's consumption
Adjust seat types if needed:
  • Hitting Standard limits weekly → upgrade to Premium
  • Barely using it → consider Standard or removal</t>
  </si>
  <si>
    <t>The MTD Spend column shows real-time consumption. Optimise seat assignments based on actual usage after the first month — not upfront assumptions.</t>
  </si>
  <si>
    <t xml:space="preserve">  PHASE 7 — COST SUMMARY</t>
  </si>
  <si>
    <t>7.1</t>
  </si>
  <si>
    <t>4 × Premium seats</t>
  </si>
  <si>
    <t>$100/seat/month × 4</t>
  </si>
  <si>
    <t>$400/month · $4,800/year
You + 2 FE developers + 1 BE lead. 6.25× usage vs Pro. Includes Claude Code.</t>
  </si>
  <si>
    <t>7.2</t>
  </si>
  <si>
    <t>5 × Standard seats</t>
  </si>
  <si>
    <t>$20/seat/month × 5</t>
  </si>
  <si>
    <t>$100/month · $1,200/year
1 BE developer + 4 QA members. 1.25× usage vs Pro. Sufficient for QA tasks.</t>
  </si>
  <si>
    <t>7.3</t>
  </si>
  <si>
    <t>Extra usage buffer (developers)</t>
  </si>
  <si>
    <t>Pre-purchase ~$50–100/month</t>
  </si>
  <si>
    <t>$50–100/month
Optional. Only consumed if developers hit their Premium weekly limit. Set individual caps of $15–20/person.</t>
  </si>
  <si>
    <t>7.4</t>
  </si>
  <si>
    <t>TOTAL (excl. extra usage)</t>
  </si>
  <si>
    <t>$500/month · $6,000/year
Annual billing gives ~20% saving vs monthly. Minimum 5 seats already satisfied.</t>
  </si>
  <si>
    <t>Claude Quick Reference — ICE 3.0 Team</t>
  </si>
  <si>
    <t>SEAT TYPES AT A GLANCE</t>
  </si>
  <si>
    <t>Standard — $20/month</t>
  </si>
  <si>
    <t>1.25× Pro usage · All Claude features · Projects · 200K context · Good for: QA, lighter users</t>
  </si>
  <si>
    <t>Premium — $100/month</t>
  </si>
  <si>
    <t>6.25× Pro usage · Claude Code · Cowork · Good for: developers doing daily heavy generation</t>
  </si>
  <si>
    <t>Mix &amp; match</t>
  </si>
  <si>
    <t>You can assign different seat types to different members within the same plan. Change anytime from Org Settings → Members.</t>
  </si>
  <si>
    <t>SPEND CONTROL — WHERE EACH SETTING LIVES</t>
  </si>
  <si>
    <t>Disable QA extra usage</t>
  </si>
  <si>
    <t>Org Settings → Usage → Extra usage requests → Toggle OFF</t>
  </si>
  <si>
    <t>Enable dev extra usage</t>
  </si>
  <si>
    <t>Org Settings → Usage → Extra usage → Enable → Pre-purchase balance</t>
  </si>
  <si>
    <t>Per-person spend cap</t>
  </si>
  <si>
    <t>Org Settings → Usage → Spend limits by user → "..." → Edit limit</t>
  </si>
  <si>
    <t>Org-wide ceiling</t>
  </si>
  <si>
    <t>Org Settings → Usage → Usage and spend limits → Adjust limit</t>
  </si>
  <si>
    <t>Monitor consumption</t>
  </si>
  <si>
    <t>Org Settings → Usage → MTD Spend column (real-time per person)</t>
  </si>
  <si>
    <t>PROJECTS — KEY FACTS</t>
  </si>
  <si>
    <t>What is shared</t>
  </si>
  <si>
    <t>Knowledge base (files you upload) + Custom instructions → shared with all project members</t>
  </si>
  <si>
    <t>What is private</t>
  </si>
  <si>
    <t>Individual chats → always private even in a shared/public project</t>
  </si>
  <si>
    <t>Visibility options</t>
  </si>
  <si>
    <t>Private (invited only) or Public (everyone in org can find and use it)</t>
  </si>
  <si>
    <t>Permission levels</t>
  </si>
  <si>
    <t>Can view: read + chat. Can edit: modify instructions and knowledge.</t>
  </si>
  <si>
    <t>Context window</t>
  </si>
  <si>
    <t>200K tokens per chat (same as Pro plan). Enough for full ICE consolidated tasks.</t>
  </si>
  <si>
    <t>Where to find</t>
  </si>
  <si>
    <t>claude.ai → Projects → Team tab (public projects) or Shared with me tab</t>
  </si>
  <si>
    <t>THE GOLDEN PROMPTING RULE</t>
  </si>
  <si>
    <t>What to always paste</t>
  </si>
  <si>
    <t>FR number · Task ID · Scope · Acceptance criteria · API contract · Edge cases
(All in the consolidated tasks Excel — one row = one Claude prompt)</t>
  </si>
  <si>
    <t>What to always check in BE output</t>
  </si>
  <si>
    <t>tenant_id on every query · session phase guard · correct error code (404 not 403 for cross-tenant) · JUnit 5 tests present · AC satisfied point by point</t>
  </si>
  <si>
    <t>What to always check in FE output</t>
  </si>
  <si>
    <t>JWT interceptor used (no manual headers) · takeUntil/async pipe · ChangeDetectionStrategy.OnPush · Reactive Forms · error handling on HTTP calls</t>
  </si>
  <si>
    <t>How to fix Claude mistakes</t>
  </si>
  <si>
    <t>In conversation: "The service is missing tenant_id on the INSERT. Fix that." — do not edit code manually. Keep Claude in context.</t>
  </si>
  <si>
    <t>DATA &amp; PRIVACY</t>
  </si>
  <si>
    <t>Admin chat access</t>
  </si>
  <si>
    <t>You cannot see individual chats in real time. You can request a data export from Anthropic which may include conversations.</t>
  </si>
  <si>
    <t>Incognito chats</t>
  </si>
  <si>
    <t>Still included in org data exports even though not saved to user history. Tell team: use work seat for work only.</t>
  </si>
  <si>
    <t>No model training</t>
  </si>
  <si>
    <t>Team plan: data not used to train Claude models by default.</t>
  </si>
  <si>
    <t>When someone leaves</t>
  </si>
  <si>
    <t>Remove from Org Settings → Members. They lose access immediately. Seat freed for reassignment.</t>
  </si>
  <si>
    <t>COST SUMMARY</t>
  </si>
  <si>
    <t>Team Strength</t>
  </si>
  <si>
    <t>Seat type</t>
  </si>
  <si>
    <t>Cost/per seat/month(USD)</t>
  </si>
  <si>
    <t>Team Size</t>
  </si>
  <si>
    <t>Total Cost/month(USD)</t>
  </si>
  <si>
    <t>Project Lead(Senthil)</t>
  </si>
  <si>
    <t>Premium</t>
  </si>
  <si>
    <t>FE Senior Developers</t>
  </si>
  <si>
    <t>BE Senior Developers</t>
  </si>
  <si>
    <t>Junior deveopers/Testers</t>
  </si>
  <si>
    <t>Standard</t>
  </si>
  <si>
    <t>Total</t>
  </si>
  <si>
    <t>For 1 month</t>
  </si>
  <si>
    <t>For 4 months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</si>
</sst>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
    <numFmt numFmtId="165" formatCode="0.0&quot; wks&quot;"/>
    <numFmt numFmtId="166" formatCode="0.0&quot; months&quot;"/>
    <numFmt numFmtId="167" formatCode="dd\-mmm\-yyyy"/>
    <numFmt numFmtId="168" formatCode="dd\-mmm"/>
    <numFmt numFmtId="169" formatCode="\+0.0;[Red]\-0.0;0"/>
  </numFmts>
  <fonts count="66" x14ac:knownFonts="1">
    <font>
      <sz val="11"/>
      <color theme="1"/>
      <name val="Calibri"/>
      <family val="2"/>
      <charset val="1"/>
    </font>
    <font>
      <b/>
      <sz val="11"/>
      <color rgb="FFFFFFFF"/>
      <name val="Calibri"/>
      <charset val="1"/>
    </font>
    <font>
      <b/>
      <sz val="10"/>
      <color rgb="FFFFFFFF"/>
      <name val="Arial"/>
      <charset val="1"/>
    </font>
    <font>
      <sz val="11"/>
      <name val="Calibri"/>
      <charset val="1"/>
    </font>
    <font>
      <sz val="10"/>
      <name val="Arial"/>
      <charset val="1"/>
    </font>
    <font>
      <b/>
      <sz val="18"/>
      <color rgb="FFFFFFFF"/>
      <name val="Arial"/>
      <charset val="1"/>
    </font>
    <font>
      <sz val="10"/>
      <color rgb="FFD6E4F0"/>
      <name val="Arial"/>
      <charset val="1"/>
    </font>
    <font>
      <b/>
      <sz val="11"/>
      <color rgb="FFFFFFFF"/>
      <name val="Arial"/>
      <charset val="1"/>
    </font>
    <font>
      <sz val="10"/>
      <color rgb="FF1F3864"/>
      <name val="Arial"/>
      <charset val="1"/>
    </font>
    <font>
      <sz val="11"/>
      <color rgb="FF0000FF"/>
      <name val="Arial"/>
      <charset val="1"/>
    </font>
    <font>
      <sz val="10"/>
      <color rgb="FF595959"/>
      <name val="Arial"/>
      <charset val="1"/>
    </font>
    <font>
      <i/>
      <sz val="10"/>
      <color rgb="FF595959"/>
      <name val="Arial"/>
      <charset val="1"/>
    </font>
    <font>
      <sz val="11"/>
      <name val="Arial"/>
      <charset val="1"/>
    </font>
    <font>
      <sz val="10"/>
      <color rgb="FFFFFFFF"/>
      <name val="Arial"/>
      <charset val="1"/>
    </font>
    <font>
      <sz val="10"/>
      <color rgb="FF000000"/>
      <name val="Arial"/>
      <charset val="1"/>
    </font>
    <font>
      <b/>
      <sz val="10"/>
      <color rgb="FF1F3864"/>
      <name val="Arial"/>
      <charset val="1"/>
    </font>
    <font>
      <b/>
      <sz val="10"/>
      <color rgb="FF1E6B3C"/>
      <name val="Arial"/>
      <charset val="1"/>
    </font>
    <font>
      <b/>
      <sz val="10"/>
      <color rgb="FFC55A11"/>
      <name val="Arial"/>
      <charset val="1"/>
    </font>
    <font>
      <b/>
      <sz val="14"/>
      <color rgb="FF1E6B3C"/>
      <name val="Arial"/>
      <charset val="1"/>
    </font>
    <font>
      <b/>
      <sz val="14"/>
      <color rgb="FFC55A11"/>
      <name val="Arial"/>
      <charset val="1"/>
    </font>
    <font>
      <b/>
      <sz val="13"/>
      <color rgb="FF1E6B3C"/>
      <name val="Arial"/>
      <charset val="1"/>
    </font>
    <font>
      <b/>
      <sz val="13"/>
      <color rgb="FFC55A11"/>
      <name val="Arial"/>
      <charset val="1"/>
    </font>
    <font>
      <b/>
      <sz val="13"/>
      <color rgb="FF006064"/>
      <name val="Arial"/>
      <charset val="1"/>
    </font>
    <font>
      <b/>
      <sz val="12"/>
      <color rgb="FFFFFFFF"/>
      <name val="Arial"/>
      <charset val="1"/>
    </font>
    <font>
      <i/>
      <sz val="9"/>
      <color rgb="FFFFFFFF"/>
      <name val="Arial"/>
      <charset val="1"/>
    </font>
    <font>
      <b/>
      <sz val="10"/>
      <name val="Arial"/>
      <charset val="1"/>
    </font>
    <font>
      <b/>
      <sz val="11"/>
      <color rgb="FF276749"/>
      <name val="Arial"/>
      <charset val="1"/>
    </font>
    <font>
      <b/>
      <sz val="11"/>
      <color rgb="FFC53030"/>
      <name val="Arial"/>
      <charset val="1"/>
    </font>
    <font>
      <b/>
      <sz val="11"/>
      <color rgb="FF1A365D"/>
      <name val="Arial"/>
      <charset val="1"/>
    </font>
    <font>
      <i/>
      <sz val="9"/>
      <color rgb="FF4A5568"/>
      <name val="Arial"/>
      <charset val="1"/>
    </font>
    <font>
      <sz val="9"/>
      <name val="Arial"/>
      <charset val="1"/>
    </font>
    <font>
      <b/>
      <sz val="11"/>
      <color rgb="FF2D3748"/>
      <name val="Arial"/>
      <charset val="1"/>
    </font>
    <font>
      <i/>
      <sz val="9"/>
      <color rgb="FF718096"/>
      <name val="Arial"/>
      <charset val="1"/>
    </font>
    <font>
      <b/>
      <sz val="13"/>
      <color rgb="FFFFFFFF"/>
      <name val="Arial"/>
      <charset val="1"/>
    </font>
    <font>
      <sz val="10"/>
      <color rgb="FF2D3748"/>
      <name val="Arial"/>
      <charset val="1"/>
    </font>
    <font>
      <b/>
      <sz val="9"/>
      <color rgb="FFFFFFFF"/>
      <name val="Arial"/>
      <charset val="1"/>
    </font>
    <font>
      <sz val="9"/>
      <color rgb="FF4A5568"/>
      <name val="Arial"/>
      <charset val="1"/>
    </font>
    <font>
      <b/>
      <sz val="9"/>
      <color rgb="FF185FA5"/>
      <name val="Arial"/>
      <charset val="1"/>
    </font>
    <font>
      <b/>
      <sz val="10"/>
      <color rgb="FF276749"/>
      <name val="Arial"/>
      <charset val="1"/>
    </font>
    <font>
      <sz val="9"/>
      <color rgb="FF666666"/>
      <name val="Arial"/>
      <charset val="1"/>
    </font>
    <font>
      <b/>
      <sz val="9"/>
      <color rgb="FF0F6E56"/>
      <name val="Arial"/>
      <charset val="1"/>
    </font>
    <font>
      <b/>
      <sz val="9"/>
      <color rgb="FF854F0B"/>
      <name val="Arial"/>
      <charset val="1"/>
    </font>
    <font>
      <b/>
      <sz val="11"/>
      <name val="Arial"/>
      <charset val="1"/>
    </font>
    <font>
      <b/>
      <sz val="10"/>
      <color rgb="FFC53030"/>
      <name val="Arial"/>
      <charset val="1"/>
    </font>
    <font>
      <b/>
      <sz val="12"/>
      <color rgb="FF276749"/>
      <name val="Arial"/>
      <charset val="1"/>
    </font>
    <font>
      <b/>
      <sz val="14"/>
      <color rgb="FFFFFFFF"/>
      <name val="Arial"/>
      <family val="2"/>
      <charset val="1"/>
    </font>
    <font>
      <sz val="10"/>
      <color rgb="FFAAAAAA"/>
      <name val="Arial"/>
      <family val="2"/>
      <charset val="1"/>
    </font>
    <font>
      <b/>
      <sz val="11"/>
      <color rgb="FFFFFFFF"/>
      <name val="Arial"/>
      <family val="2"/>
      <charset val="1"/>
    </font>
    <font>
      <sz val="9"/>
      <color rgb="FFAAAAAA"/>
      <name val="Arial"/>
      <family val="2"/>
      <charset val="1"/>
    </font>
    <font>
      <b/>
      <sz val="9"/>
      <color rgb="FF1565C0"/>
      <name val="Arial"/>
      <family val="2"/>
      <charset val="1"/>
    </font>
    <font>
      <sz val="9"/>
      <color rgb="FF1A1A1A"/>
      <name val="Consolas"/>
      <family val="3"/>
      <charset val="1"/>
    </font>
    <font>
      <b/>
      <sz val="9"/>
      <color rgb="FF4527A0"/>
      <name val="Arial"/>
      <family val="2"/>
      <charset val="1"/>
    </font>
    <font>
      <b/>
      <sz val="9"/>
      <color rgb="FF2E7D32"/>
      <name val="Arial"/>
      <family val="2"/>
      <charset val="1"/>
    </font>
    <font>
      <b/>
      <sz val="9"/>
      <color rgb="FF6A1B9A"/>
      <name val="Arial"/>
      <family val="2"/>
      <charset val="1"/>
    </font>
    <font>
      <b/>
      <sz val="10"/>
      <color rgb="FFFFFFFF"/>
      <name val="Arial"/>
      <family val="2"/>
      <charset val="1"/>
    </font>
    <font>
      <b/>
      <sz val="10"/>
      <color rgb="FF1565C0"/>
      <name val="Arial"/>
      <family val="2"/>
      <charset val="1"/>
    </font>
    <font>
      <b/>
      <sz val="10"/>
      <color rgb="FF1A1A1A"/>
      <name val="Arial"/>
      <family val="2"/>
      <charset val="1"/>
    </font>
    <font>
      <sz val="10"/>
      <color rgb="FF1A1A1A"/>
      <name val="Arial"/>
      <family val="2"/>
      <charset val="1"/>
    </font>
    <font>
      <b/>
      <sz val="10"/>
      <color rgb="FF4527A0"/>
      <name val="Arial"/>
      <family val="2"/>
      <charset val="1"/>
    </font>
    <font>
      <b/>
      <sz val="10"/>
      <color rgb="FF2E7D32"/>
      <name val="Arial"/>
      <family val="2"/>
      <charset val="1"/>
    </font>
    <font>
      <b/>
      <sz val="10"/>
      <color rgb="FFF57F17"/>
      <name val="Arial"/>
      <family val="2"/>
      <charset val="1"/>
    </font>
    <font>
      <b/>
      <sz val="10"/>
      <color rgb="FF6A1B9A"/>
      <name val="Arial"/>
      <family val="2"/>
      <charset val="1"/>
    </font>
    <font>
      <b/>
      <sz val="10"/>
      <color rgb="FF00695C"/>
      <name val="Arial"/>
      <family val="2"/>
      <charset val="1"/>
    </font>
    <font>
      <sz val="9"/>
      <color rgb="FF444444"/>
      <name val="Arial"/>
      <family val="2"/>
      <charset val="1"/>
    </font>
    <font>
      <sz val="10"/>
      <color rgb="FF888888"/>
      <name val="Arial"/>
      <family val="2"/>
      <charset val="1"/>
    </font>
    <font>
      <b/>
      <sz val="10"/>
      <color rgb="FFC62828"/>
      <name val="Arial"/>
      <family val="2"/>
      <charset val="1"/>
    </font>
  </fonts>
  <fills count="60">
    <fill>
      <patternFill patternType="none"/>
    </fill>
    <fill>
      <patternFill patternType="gray125"/>
    </fill>
    <fill>
      <patternFill patternType="solid">
        <fgColor rgb="FF1D3A4E"/>
        <bgColor rgb="FF1A395D"/>
      </patternFill>
    </fill>
    <fill>
      <patternFill patternType="solid">
        <fgColor rgb="FF276749"/>
        <bgColor rgb="FF1C6A3B"/>
      </patternFill>
    </fill>
    <fill>
      <patternFill patternType="solid">
        <fgColor rgb="FFE3F2FD"/>
        <bgColor rgb="FFE6F1FB"/>
      </patternFill>
    </fill>
    <fill>
      <patternFill patternType="solid">
        <fgColor rgb="FFF0FFF4"/>
        <bgColor rgb="FFF7FAFC"/>
      </patternFill>
    </fill>
    <fill>
      <patternFill patternType="solid">
        <fgColor rgb="FF1F3864"/>
        <bgColor rgb="FF1A395D"/>
      </patternFill>
    </fill>
    <fill>
      <patternFill patternType="solid">
        <fgColor rgb="FF1564BB"/>
        <bgColor rgb="FF0E69BF"/>
      </patternFill>
    </fill>
    <fill>
      <patternFill patternType="solid">
        <fgColor rgb="FFEDF3FA"/>
        <bgColor rgb="FFEDF2F7"/>
      </patternFill>
    </fill>
    <fill>
      <patternFill patternType="solid">
        <fgColor rgb="FFFFF2CC"/>
        <bgColor rgb="FFFAEEDA"/>
      </patternFill>
    </fill>
    <fill>
      <patternFill patternType="solid">
        <fgColor rgb="FFFFFFFF"/>
        <bgColor rgb="FFFAFAFB"/>
      </patternFill>
    </fill>
    <fill>
      <patternFill patternType="solid">
        <fgColor rgb="FFF2F4F7"/>
        <bgColor rgb="FFEDF3FA"/>
      </patternFill>
    </fill>
    <fill>
      <patternFill patternType="solid">
        <fgColor rgb="FFE1F1DA"/>
        <bgColor rgb="FFEBF1DE"/>
      </patternFill>
    </fill>
    <fill>
      <patternFill patternType="solid">
        <fgColor rgb="FF1E6C3A"/>
        <bgColor rgb="FF1C6A3B"/>
      </patternFill>
    </fill>
    <fill>
      <patternFill patternType="solid">
        <fgColor rgb="FF4E5865"/>
        <bgColor rgb="FF276749"/>
      </patternFill>
    </fill>
    <fill>
      <patternFill patternType="solid">
        <fgColor rgb="FF1A395D"/>
        <bgColor rgb="FF1A365D"/>
      </patternFill>
    </fill>
    <fill>
      <patternFill patternType="solid">
        <fgColor rgb="FFEDF2F7"/>
        <bgColor rgb="FFEDF3FA"/>
      </patternFill>
    </fill>
    <fill>
      <patternFill patternType="solid">
        <fgColor rgb="FFFAFAFB"/>
        <bgColor rgb="FFF7FAFC"/>
      </patternFill>
    </fill>
    <fill>
      <patternFill patternType="solid">
        <fgColor rgb="FFE6F1FB"/>
        <bgColor rgb="FFE3F2FD"/>
      </patternFill>
    </fill>
    <fill>
      <patternFill patternType="solid">
        <fgColor rgb="FFE1F5EE"/>
        <bgColor rgb="FFE0F2F1"/>
      </patternFill>
    </fill>
    <fill>
      <patternFill patternType="solid">
        <fgColor rgb="FFFAEEDA"/>
        <bgColor rgb="FFFCEEEB"/>
      </patternFill>
    </fill>
    <fill>
      <patternFill patternType="solid">
        <fgColor rgb="FFFFF5F5"/>
        <bgColor rgb="FFFAFAFB"/>
      </patternFill>
    </fill>
    <fill>
      <patternFill patternType="solid">
        <fgColor rgb="FF44249E"/>
        <bgColor rgb="FF6A1B9A"/>
      </patternFill>
    </fill>
    <fill>
      <patternFill patternType="solid">
        <fgColor rgb="FF502422"/>
        <bgColor rgb="FF303847"/>
      </patternFill>
    </fill>
    <fill>
      <patternFill patternType="darkGray">
        <fgColor rgb="FF1E6C3A"/>
        <bgColor rgb="FF1C6A3B"/>
      </patternFill>
    </fill>
    <fill>
      <patternFill patternType="darkGray">
        <fgColor rgb="FFFCEEEB"/>
        <bgColor rgb="FFFAEEDA"/>
      </patternFill>
    </fill>
    <fill>
      <patternFill patternType="darkGray">
        <fgColor rgb="FF1D3A4E"/>
        <bgColor rgb="FF1A395D"/>
      </patternFill>
    </fill>
    <fill>
      <patternFill patternType="solid">
        <fgColor rgb="FF1A365D"/>
        <bgColor rgb="FF1A395D"/>
      </patternFill>
    </fill>
    <fill>
      <patternFill patternType="solid">
        <fgColor rgb="FFF7FAFC"/>
        <bgColor rgb="FFFAFAFB"/>
      </patternFill>
    </fill>
    <fill>
      <patternFill patternType="solid">
        <fgColor rgb="FFC6F6D5"/>
        <bgColor rgb="FFE1F1DA"/>
      </patternFill>
    </fill>
    <fill>
      <patternFill patternType="solid">
        <fgColor rgb="FF232D4D"/>
        <bgColor rgb="FF303847"/>
      </patternFill>
    </fill>
    <fill>
      <patternFill patternType="darkGray">
        <fgColor rgb="FF232D4D"/>
        <bgColor rgb="FF1A365D"/>
      </patternFill>
    </fill>
    <fill>
      <patternFill patternType="darkGray">
        <fgColor rgb="FF303847"/>
        <bgColor rgb="FF1D3A4E"/>
      </patternFill>
    </fill>
    <fill>
      <patternFill patternType="solid">
        <fgColor rgb="FFEBF8FF"/>
        <bgColor rgb="FFEDF3FA"/>
      </patternFill>
    </fill>
    <fill>
      <patternFill patternType="solid">
        <fgColor rgb="FF4E5865"/>
        <bgColor rgb="FF276749"/>
      </patternFill>
    </fill>
    <fill>
      <patternFill patternType="solid">
        <fgColor rgb="FFFFFFF0"/>
        <bgColor rgb="FFFFFBE7"/>
      </patternFill>
    </fill>
    <fill>
      <patternFill patternType="solid">
        <fgColor rgb="FF1D3A4E"/>
        <bgColor rgb="FF1A395D"/>
      </patternFill>
    </fill>
    <fill>
      <patternFill patternType="solid">
        <fgColor rgb="FF341C63"/>
        <bgColor rgb="FF232D4D"/>
      </patternFill>
    </fill>
    <fill>
      <patternFill patternType="solid">
        <fgColor rgb="FF1A395D"/>
        <bgColor rgb="FF1A365D"/>
      </patternFill>
    </fill>
    <fill>
      <patternFill patternType="darkGray">
        <fgColor rgb="FF341C63"/>
        <bgColor rgb="FF232D4D"/>
      </patternFill>
    </fill>
    <fill>
      <patternFill patternType="solid">
        <fgColor rgb="FF1C6A3B"/>
        <bgColor rgb="FF1E6C3A"/>
      </patternFill>
    </fill>
    <fill>
      <patternFill patternType="darkGray">
        <fgColor rgb="FF341C63"/>
        <bgColor rgb="FF44249E"/>
      </patternFill>
    </fill>
    <fill>
      <patternFill patternType="darkGray">
        <fgColor rgb="FF502422"/>
        <bgColor rgb="FF341C63"/>
      </patternFill>
    </fill>
    <fill>
      <patternFill patternType="solid">
        <fgColor rgb="FF0D2E52"/>
        <bgColor rgb="FF1A365D"/>
      </patternFill>
    </fill>
    <fill>
      <patternFill patternType="mediumGray">
        <fgColor rgb="FF0D2E52"/>
        <bgColor rgb="FF111E24"/>
      </patternFill>
    </fill>
    <fill>
      <patternFill patternType="solid">
        <fgColor rgb="FF0E69BF"/>
        <bgColor rgb="FF1564BB"/>
      </patternFill>
    </fill>
    <fill>
      <patternFill patternType="solid">
        <fgColor rgb="FFEDE7F6"/>
        <bgColor rgb="FFF3E5F5"/>
      </patternFill>
    </fill>
    <fill>
      <patternFill patternType="solid">
        <fgColor rgb="FF2E7D32"/>
        <bgColor rgb="FF1E6C3A"/>
      </patternFill>
    </fill>
    <fill>
      <patternFill patternType="solid">
        <fgColor rgb="FFE8F5E9"/>
        <bgColor rgb="FFE1F5EE"/>
      </patternFill>
    </fill>
    <fill>
      <patternFill patternType="solid">
        <fgColor rgb="FF6A1B9A"/>
        <bgColor rgb="FF44249E"/>
      </patternFill>
    </fill>
    <fill>
      <patternFill patternType="solid">
        <fgColor rgb="FFF3E5F5"/>
        <bgColor rgb="FFEDE7F6"/>
      </patternFill>
    </fill>
    <fill>
      <patternFill patternType="solid">
        <fgColor rgb="FFFFFBE7"/>
        <bgColor rgb="FFFFF9E4"/>
      </patternFill>
    </fill>
    <fill>
      <patternFill patternType="solid">
        <fgColor rgb="FFFFF9E4"/>
        <bgColor rgb="FFFFFBE7"/>
      </patternFill>
    </fill>
    <fill>
      <patternFill patternType="solid">
        <fgColor rgb="FFE0F2F1"/>
        <bgColor rgb="FFE1F5EE"/>
      </patternFill>
    </fill>
    <fill>
      <patternFill patternType="solid">
        <fgColor rgb="FFF57F17"/>
        <bgColor rgb="FFBC570E"/>
      </patternFill>
    </fill>
    <fill>
      <patternFill patternType="solid">
        <fgColor rgb="FF01685C"/>
        <bgColor rgb="FF1C6A3B"/>
      </patternFill>
    </fill>
    <fill>
      <patternFill patternType="solid">
        <fgColor rgb="FFC62D20"/>
        <bgColor rgb="FFBC570E"/>
      </patternFill>
    </fill>
    <fill>
      <patternFill patternType="solid">
        <fgColor rgb="FFFCEEEB"/>
        <bgColor rgb="FFFAEEDA"/>
      </patternFill>
    </fill>
    <fill>
      <patternFill patternType="solid">
        <fgColor theme="3" tint="0.59968871120334488"/>
        <bgColor rgb="FFBDBDBD"/>
      </patternFill>
    </fill>
    <fill>
      <patternFill patternType="solid">
        <fgColor theme="6" tint="0.79979857783745845"/>
        <bgColor rgb="FFE8F5E9"/>
      </patternFill>
    </fill>
  </fills>
  <borders count="20">
    <border>
      <left/>
      <right/>
      <top/>
      <bottom/>
      <diagonal/>
    </border>
    <border>
      <left style="thin">
        <color auto="1"/>
      </left>
      <right style="thin">
        <color auto="1"/>
      </right>
      <top style="thin">
        <color auto="1"/>
      </top>
      <bottom style="thin">
        <color auto="1"/>
      </bottom>
      <diagonal/>
    </border>
    <border>
      <left style="thin">
        <color rgb="FFD0D0D0"/>
      </left>
      <right style="thin">
        <color rgb="FFD0D0D0"/>
      </right>
      <top style="thin">
        <color rgb="FFD0D0D0"/>
      </top>
      <bottom style="thin">
        <color rgb="FFD0D0D0"/>
      </bottom>
      <diagonal/>
    </border>
    <border>
      <left/>
      <right style="thin">
        <color rgb="FFBDBDBD"/>
      </right>
      <top/>
      <bottom style="thin">
        <color rgb="FFBDBDBD"/>
      </bottom>
      <diagonal/>
    </border>
    <border>
      <left style="thin">
        <color rgb="FFBDBDBD"/>
      </left>
      <right style="thin">
        <color rgb="FFBDBDBD"/>
      </right>
      <top/>
      <bottom style="thin">
        <color rgb="FFBDBDBD"/>
      </bottom>
      <diagonal/>
    </border>
    <border>
      <left/>
      <right style="thin">
        <color rgb="FFBDBDBD"/>
      </right>
      <top style="thin">
        <color rgb="FFBDBDBD"/>
      </top>
      <bottom style="thin">
        <color rgb="FFBDBDBD"/>
      </bottom>
      <diagonal/>
    </border>
    <border>
      <left style="thin">
        <color rgb="FFBDBDBD"/>
      </left>
      <right style="thin">
        <color rgb="FFBDBDBD"/>
      </right>
      <top style="thin">
        <color rgb="FFBDBDBD"/>
      </top>
      <bottom style="thin">
        <color rgb="FFBDBDBD"/>
      </bottom>
      <diagonal/>
    </border>
    <border>
      <left style="thin">
        <color rgb="FF1F3864"/>
      </left>
      <right style="thin">
        <color rgb="FF1F3864"/>
      </right>
      <top style="medium">
        <color rgb="FF1F3864"/>
      </top>
      <bottom style="medium">
        <color rgb="FF1F3864"/>
      </bottom>
      <diagonal/>
    </border>
    <border>
      <left style="thin">
        <color rgb="FFCCCCCC"/>
      </left>
      <right style="thin">
        <color rgb="FFCCCCCC"/>
      </right>
      <top style="thin">
        <color rgb="FFCCCCCC"/>
      </top>
      <bottom style="thin">
        <color rgb="FFCCCCCC"/>
      </bottom>
      <diagonal/>
    </border>
    <border>
      <left style="medium">
        <color rgb="FF748393"/>
      </left>
      <right/>
      <top style="medium">
        <color rgb="FF748393"/>
      </top>
      <bottom style="medium">
        <color rgb="FF748393"/>
      </bottom>
      <diagonal/>
    </border>
    <border>
      <left style="medium">
        <color rgb="FF748393"/>
      </left>
      <right style="medium">
        <color rgb="FF748393"/>
      </right>
      <top style="medium">
        <color rgb="FF748393"/>
      </top>
      <bottom style="medium">
        <color rgb="FF748393"/>
      </bottom>
      <diagonal/>
    </border>
    <border>
      <left style="medium">
        <color rgb="FF888888"/>
      </left>
      <right style="medium">
        <color rgb="FF888888"/>
      </right>
      <top style="medium">
        <color rgb="FF888888"/>
      </top>
      <bottom style="medium">
        <color rgb="FF888888"/>
      </bottom>
      <diagonal/>
    </border>
    <border>
      <left/>
      <right style="thin">
        <color rgb="FFD0D0D0"/>
      </right>
      <top/>
      <bottom/>
      <diagonal/>
    </border>
    <border>
      <left style="medium">
        <color rgb="FF888888"/>
      </left>
      <right/>
      <top style="medium">
        <color rgb="FF888888"/>
      </top>
      <bottom style="medium">
        <color rgb="FF888888"/>
      </bottom>
      <diagonal/>
    </border>
    <border>
      <left style="thick">
        <color rgb="FF1564BB"/>
      </left>
      <right style="thin">
        <color rgb="FFBDBDBD"/>
      </right>
      <top style="thin">
        <color rgb="FFBDBDBD"/>
      </top>
      <bottom style="thin">
        <color rgb="FFBDBDBD"/>
      </bottom>
      <diagonal/>
    </border>
    <border>
      <left style="thick">
        <color rgb="FF44249E"/>
      </left>
      <right style="thin">
        <color rgb="FFBDBDBD"/>
      </right>
      <top style="thin">
        <color rgb="FFBDBDBD"/>
      </top>
      <bottom style="thin">
        <color rgb="FFBDBDBD"/>
      </bottom>
      <diagonal/>
    </border>
    <border>
      <left style="thick">
        <color rgb="FF2E7D32"/>
      </left>
      <right style="thin">
        <color rgb="FFBDBDBD"/>
      </right>
      <top style="thin">
        <color rgb="FFBDBDBD"/>
      </top>
      <bottom style="thin">
        <color rgb="FFBDBDBD"/>
      </bottom>
      <diagonal/>
    </border>
    <border>
      <left style="thick">
        <color rgb="FF6A1B9A"/>
      </left>
      <right style="thin">
        <color rgb="FFBDBDBD"/>
      </right>
      <top style="thin">
        <color rgb="FFBDBDBD"/>
      </top>
      <bottom style="thin">
        <color rgb="FFBDBDBD"/>
      </bottom>
      <diagonal/>
    </border>
    <border>
      <left style="thick">
        <color rgb="FFF57F17"/>
      </left>
      <right style="thin">
        <color rgb="FFBDBDBD"/>
      </right>
      <top style="thin">
        <color rgb="FFBDBDBD"/>
      </top>
      <bottom style="thin">
        <color rgb="FFBDBDBD"/>
      </bottom>
      <diagonal/>
    </border>
    <border>
      <left style="thick">
        <color rgb="FF01685C"/>
      </left>
      <right style="thin">
        <color rgb="FFBDBDBD"/>
      </right>
      <top style="thin">
        <color rgb="FFBDBDBD"/>
      </top>
      <bottom style="thin">
        <color rgb="FFBDBDBD"/>
      </bottom>
      <diagonal/>
    </border>
  </borders>
  <cellStyleXfs count="1">
    <xf numFmtId="0" fontId="0" fillId="0" borderId="0"/>
  </cellStyleXfs>
  <cellXfs count="254">
    <xf numFmtId="0" fontId="0" fillId="0" borderId="0" xfId="0"/>
    <xf numFmtId="0" fontId="0" fillId="0" borderId="0" xfId="0" applyBorder="1" applyAlignment="1"/>
    <xf numFmtId="0" fontId="2" fillId="27" borderId="0" xfId="0" applyFont="1" applyFill="1" applyBorder="1" applyAlignment="1">
      <alignment horizontal="left" vertical="center" indent="1"/>
    </xf>
    <xf numFmtId="0" fontId="23" fillId="26" borderId="0" xfId="0" applyFont="1" applyFill="1" applyBorder="1" applyAlignment="1">
      <alignment horizontal="left" vertical="center" indent="1"/>
    </xf>
    <xf numFmtId="0" fontId="2" fillId="24" borderId="9" xfId="0" applyFont="1" applyFill="1" applyBorder="1" applyAlignment="1">
      <alignment horizontal="left" vertical="center"/>
    </xf>
    <xf numFmtId="0" fontId="2" fillId="23" borderId="9" xfId="0" applyFont="1" applyFill="1" applyBorder="1" applyAlignment="1">
      <alignment horizontal="left" vertical="center"/>
    </xf>
    <xf numFmtId="0" fontId="2" fillId="22" borderId="9" xfId="0" applyFont="1" applyFill="1" applyBorder="1" applyAlignment="1">
      <alignment horizontal="left" vertical="center"/>
    </xf>
    <xf numFmtId="0" fontId="2" fillId="2" borderId="9" xfId="0" applyFont="1" applyFill="1" applyBorder="1" applyAlignment="1">
      <alignment horizontal="left" vertical="center"/>
    </xf>
    <xf numFmtId="0" fontId="2" fillId="15" borderId="9" xfId="0" applyFont="1" applyFill="1" applyBorder="1" applyAlignment="1">
      <alignment horizontal="left" vertical="center"/>
    </xf>
    <xf numFmtId="0" fontId="24" fillId="14" borderId="0" xfId="0" applyFont="1" applyFill="1" applyBorder="1" applyAlignment="1">
      <alignment horizontal="left" vertical="center" indent="1"/>
    </xf>
    <xf numFmtId="0" fontId="23" fillId="2" borderId="0" xfId="0" applyFont="1" applyFill="1" applyBorder="1" applyAlignment="1">
      <alignment horizontal="left" vertical="center" indent="1"/>
    </xf>
    <xf numFmtId="0" fontId="7" fillId="13" borderId="0" xfId="0" applyFont="1" applyFill="1" applyBorder="1" applyAlignment="1">
      <alignment horizontal="center" vertical="center"/>
    </xf>
    <xf numFmtId="0" fontId="7" fillId="7" borderId="0" xfId="0" applyFont="1" applyFill="1" applyBorder="1" applyAlignment="1">
      <alignment horizontal="left" vertical="center"/>
    </xf>
    <xf numFmtId="0" fontId="6" fillId="6" borderId="0" xfId="0" applyFont="1" applyFill="1" applyBorder="1" applyAlignment="1">
      <alignment horizontal="left" vertical="center"/>
    </xf>
    <xf numFmtId="0" fontId="5" fillId="6" borderId="0" xfId="0" applyFont="1" applyFill="1" applyBorder="1" applyAlignment="1">
      <alignment horizontal="left" vertical="center"/>
    </xf>
    <xf numFmtId="0" fontId="0" fillId="0" borderId="0" xfId="0" applyAlignment="1">
      <alignment horizontal="center"/>
    </xf>
    <xf numFmtId="0" fontId="0" fillId="0" borderId="0" xfId="0" applyAlignment="1">
      <alignment horizontal="left"/>
    </xf>
    <xf numFmtId="0" fontId="0" fillId="0" borderId="0" xfId="0" applyAlignment="1"/>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3" xfId="0" applyFont="1" applyFill="1" applyBorder="1" applyAlignment="1">
      <alignment horizontal="center" vertical="top" wrapText="1"/>
    </xf>
    <xf numFmtId="0" fontId="3" fillId="4" borderId="3" xfId="0" applyFont="1" applyFill="1" applyBorder="1" applyAlignment="1">
      <alignment vertical="top" wrapText="1"/>
    </xf>
    <xf numFmtId="0" fontId="3" fillId="4" borderId="4" xfId="0" applyFont="1" applyFill="1" applyBorder="1" applyAlignment="1">
      <alignment vertical="top" wrapText="1"/>
    </xf>
    <xf numFmtId="0" fontId="3" fillId="4" borderId="4" xfId="0" applyFont="1" applyFill="1" applyBorder="1" applyAlignment="1">
      <alignment horizontal="center" vertical="top" wrapText="1"/>
    </xf>
    <xf numFmtId="0" fontId="4" fillId="5" borderId="2" xfId="0" applyFont="1" applyFill="1" applyBorder="1" applyAlignment="1">
      <alignment horizontal="center" vertical="center"/>
    </xf>
    <xf numFmtId="0" fontId="3" fillId="4" borderId="5" xfId="0" applyFont="1" applyFill="1" applyBorder="1" applyAlignment="1">
      <alignment horizontal="center" vertical="top" wrapText="1"/>
    </xf>
    <xf numFmtId="0" fontId="3" fillId="4" borderId="5" xfId="0" applyFont="1" applyFill="1" applyBorder="1" applyAlignment="1">
      <alignment vertical="top" wrapText="1"/>
    </xf>
    <xf numFmtId="0" fontId="3" fillId="4" borderId="6" xfId="0" applyFont="1" applyFill="1" applyBorder="1" applyAlignment="1">
      <alignment vertical="top" wrapText="1"/>
    </xf>
    <xf numFmtId="0" fontId="3" fillId="4" borderId="6" xfId="0" applyFont="1" applyFill="1" applyBorder="1" applyAlignment="1">
      <alignment horizontal="center" vertical="top" wrapText="1"/>
    </xf>
    <xf numFmtId="0" fontId="2" fillId="6" borderId="7" xfId="0" applyFont="1" applyFill="1" applyBorder="1" applyAlignment="1">
      <alignment horizontal="center" vertical="center"/>
    </xf>
    <xf numFmtId="0" fontId="8" fillId="8" borderId="8" xfId="0" applyFont="1" applyFill="1" applyBorder="1" applyAlignment="1">
      <alignment horizontal="left" vertical="center"/>
    </xf>
    <xf numFmtId="0" fontId="9" fillId="9" borderId="8" xfId="0" applyFont="1" applyFill="1" applyBorder="1" applyAlignment="1">
      <alignment horizontal="center" vertical="center"/>
    </xf>
    <xf numFmtId="0" fontId="10" fillId="8" borderId="8" xfId="0" applyFont="1" applyFill="1" applyBorder="1" applyAlignment="1">
      <alignment horizontal="center" vertical="center"/>
    </xf>
    <xf numFmtId="0" fontId="11" fillId="8" borderId="8" xfId="0" applyFont="1" applyFill="1" applyBorder="1" applyAlignment="1">
      <alignment horizontal="left" vertical="center"/>
    </xf>
    <xf numFmtId="0" fontId="12" fillId="0" borderId="0" xfId="0" applyFont="1" applyAlignment="1"/>
    <xf numFmtId="0" fontId="12" fillId="10" borderId="0" xfId="0" applyFont="1" applyFill="1" applyAlignment="1"/>
    <xf numFmtId="9" fontId="13" fillId="10" borderId="0" xfId="0" applyNumberFormat="1" applyFont="1" applyFill="1" applyAlignment="1"/>
    <xf numFmtId="0" fontId="8" fillId="10" borderId="8" xfId="0" applyFont="1" applyFill="1" applyBorder="1" applyAlignment="1">
      <alignment horizontal="left" vertical="center"/>
    </xf>
    <xf numFmtId="164" fontId="14" fillId="10" borderId="8" xfId="0" applyNumberFormat="1" applyFont="1" applyFill="1" applyBorder="1" applyAlignment="1">
      <alignment horizontal="center" vertical="center"/>
    </xf>
    <xf numFmtId="0" fontId="11" fillId="10" borderId="8" xfId="0" applyFont="1" applyFill="1" applyBorder="1" applyAlignment="1">
      <alignment horizontal="left" vertical="center"/>
    </xf>
    <xf numFmtId="0" fontId="8" fillId="11" borderId="8" xfId="0" applyFont="1" applyFill="1" applyBorder="1" applyAlignment="1">
      <alignment horizontal="left" vertical="center"/>
    </xf>
    <xf numFmtId="164" fontId="14" fillId="11" borderId="8" xfId="0" applyNumberFormat="1" applyFont="1" applyFill="1" applyBorder="1" applyAlignment="1">
      <alignment horizontal="center" vertical="center"/>
    </xf>
    <xf numFmtId="0" fontId="11" fillId="11" borderId="8" xfId="0" applyFont="1" applyFill="1" applyBorder="1" applyAlignment="1">
      <alignment horizontal="left" vertical="center"/>
    </xf>
    <xf numFmtId="0" fontId="15" fillId="9" borderId="8" xfId="0" applyFont="1" applyFill="1" applyBorder="1" applyAlignment="1">
      <alignment horizontal="left" vertical="center"/>
    </xf>
    <xf numFmtId="164" fontId="16" fillId="9" borderId="8" xfId="0" applyNumberFormat="1" applyFont="1" applyFill="1" applyBorder="1" applyAlignment="1">
      <alignment horizontal="center" vertical="center"/>
    </xf>
    <xf numFmtId="164" fontId="17" fillId="9" borderId="8" xfId="0" applyNumberFormat="1" applyFont="1" applyFill="1" applyBorder="1" applyAlignment="1">
      <alignment horizontal="center" vertical="center"/>
    </xf>
    <xf numFmtId="0" fontId="11" fillId="9" borderId="8" xfId="0" applyFont="1" applyFill="1" applyBorder="1" applyAlignment="1">
      <alignment horizontal="left" vertical="center"/>
    </xf>
    <xf numFmtId="0" fontId="2" fillId="6" borderId="7" xfId="0" applyFont="1" applyFill="1" applyBorder="1" applyAlignment="1">
      <alignment horizontal="center" vertical="center" wrapText="1"/>
    </xf>
    <xf numFmtId="0" fontId="8" fillId="12" borderId="8" xfId="0" applyFont="1" applyFill="1" applyBorder="1" applyAlignment="1">
      <alignment horizontal="left" vertical="center" wrapText="1"/>
    </xf>
    <xf numFmtId="165" fontId="18" fillId="12" borderId="8" xfId="0" applyNumberFormat="1" applyFont="1" applyFill="1" applyBorder="1" applyAlignment="1">
      <alignment horizontal="center" vertical="center"/>
    </xf>
    <xf numFmtId="165" fontId="19" fillId="12" borderId="8" xfId="0" applyNumberFormat="1" applyFont="1" applyFill="1" applyBorder="1" applyAlignment="1">
      <alignment horizontal="center" vertical="center"/>
    </xf>
    <xf numFmtId="0" fontId="10" fillId="12" borderId="8" xfId="0" applyFont="1" applyFill="1" applyBorder="1" applyAlignment="1">
      <alignment horizontal="left" vertical="center" wrapText="1"/>
    </xf>
    <xf numFmtId="165" fontId="12" fillId="0" borderId="0" xfId="0" applyNumberFormat="1" applyFont="1" applyAlignment="1"/>
    <xf numFmtId="0" fontId="7" fillId="13" borderId="0" xfId="0" applyFont="1" applyFill="1" applyAlignment="1">
      <alignment horizontal="left" vertical="center"/>
    </xf>
    <xf numFmtId="0" fontId="7" fillId="13" borderId="0" xfId="0" applyFont="1" applyFill="1" applyAlignment="1">
      <alignment horizontal="center" vertical="center"/>
    </xf>
    <xf numFmtId="0" fontId="15" fillId="8" borderId="8" xfId="0" applyFont="1" applyFill="1" applyBorder="1" applyAlignment="1">
      <alignment horizontal="left" vertical="center"/>
    </xf>
    <xf numFmtId="164" fontId="20" fillId="8" borderId="8" xfId="0" applyNumberFormat="1" applyFont="1" applyFill="1" applyBorder="1" applyAlignment="1">
      <alignment horizontal="center" vertical="center"/>
    </xf>
    <xf numFmtId="164" fontId="21" fillId="8" borderId="8" xfId="0" applyNumberFormat="1" applyFont="1" applyFill="1" applyBorder="1" applyAlignment="1">
      <alignment horizontal="center" vertical="center"/>
    </xf>
    <xf numFmtId="166" fontId="20" fillId="8" borderId="8" xfId="0" applyNumberFormat="1" applyFont="1" applyFill="1" applyBorder="1" applyAlignment="1">
      <alignment horizontal="center" vertical="center"/>
    </xf>
    <xf numFmtId="166" fontId="21" fillId="8" borderId="8" xfId="0" applyNumberFormat="1" applyFont="1" applyFill="1" applyBorder="1" applyAlignment="1">
      <alignment horizontal="center" vertical="center"/>
    </xf>
    <xf numFmtId="164" fontId="22" fillId="8" borderId="8" xfId="0" applyNumberFormat="1" applyFont="1" applyFill="1" applyBorder="1" applyAlignment="1">
      <alignment horizontal="center" vertical="center"/>
    </xf>
    <xf numFmtId="9" fontId="22" fillId="8" borderId="8" xfId="0" applyNumberFormat="1" applyFont="1" applyFill="1" applyBorder="1" applyAlignment="1">
      <alignment horizontal="center" vertical="center"/>
    </xf>
    <xf numFmtId="0" fontId="2" fillId="14" borderId="2" xfId="0" applyFont="1" applyFill="1" applyBorder="1" applyAlignment="1">
      <alignment horizontal="center" vertical="center" wrapText="1"/>
    </xf>
    <xf numFmtId="0" fontId="25" fillId="16" borderId="2" xfId="0" applyFont="1" applyFill="1" applyBorder="1" applyAlignment="1">
      <alignment horizontal="center" vertical="center"/>
    </xf>
    <xf numFmtId="0" fontId="4" fillId="17" borderId="2" xfId="0" applyFont="1" applyFill="1" applyBorder="1" applyAlignment="1">
      <alignment horizontal="left" vertical="center" indent="1"/>
    </xf>
    <xf numFmtId="0" fontId="4" fillId="18" borderId="2" xfId="0" applyFont="1" applyFill="1" applyBorder="1" applyAlignment="1">
      <alignment horizontal="center" vertical="center"/>
    </xf>
    <xf numFmtId="0" fontId="4" fillId="19" borderId="2" xfId="0" applyFont="1" applyFill="1" applyBorder="1" applyAlignment="1">
      <alignment horizontal="center" vertical="center"/>
    </xf>
    <xf numFmtId="0" fontId="4" fillId="20" borderId="2" xfId="0" applyFont="1" applyFill="1" applyBorder="1" applyAlignment="1">
      <alignment horizontal="center" vertical="center"/>
    </xf>
    <xf numFmtId="0" fontId="4" fillId="21" borderId="2" xfId="0" applyFont="1" applyFill="1" applyBorder="1" applyAlignment="1">
      <alignment horizontal="center" vertical="center"/>
    </xf>
    <xf numFmtId="0" fontId="25" fillId="5" borderId="2" xfId="0" applyFont="1" applyFill="1" applyBorder="1" applyAlignment="1">
      <alignment horizontal="center" vertical="center"/>
    </xf>
    <xf numFmtId="0" fontId="4" fillId="10" borderId="2" xfId="0" applyFont="1" applyFill="1" applyBorder="1" applyAlignment="1">
      <alignment horizontal="left" vertical="center" indent="1"/>
    </xf>
    <xf numFmtId="0" fontId="25" fillId="16" borderId="10" xfId="0" applyFont="1" applyFill="1" applyBorder="1" applyAlignment="1">
      <alignment horizontal="center" vertical="center"/>
    </xf>
    <xf numFmtId="0" fontId="0" fillId="16" borderId="10" xfId="0" applyFill="1" applyBorder="1" applyAlignment="1"/>
    <xf numFmtId="0" fontId="26" fillId="12" borderId="10" xfId="0" applyFont="1" applyFill="1" applyBorder="1" applyAlignment="1">
      <alignment horizontal="center" vertical="center"/>
    </xf>
    <xf numFmtId="0" fontId="27" fillId="25" borderId="10" xfId="0" applyFont="1" applyFill="1" applyBorder="1" applyAlignment="1">
      <alignment horizontal="center" vertical="center"/>
    </xf>
    <xf numFmtId="0" fontId="4" fillId="28" borderId="2" xfId="0" applyFont="1" applyFill="1" applyBorder="1" applyAlignment="1">
      <alignment horizontal="left" vertical="center" indent="1"/>
    </xf>
    <xf numFmtId="0" fontId="28" fillId="8" borderId="2" xfId="0" applyFont="1" applyFill="1" applyBorder="1" applyAlignment="1">
      <alignment horizontal="center" vertical="center"/>
    </xf>
    <xf numFmtId="0" fontId="29" fillId="28" borderId="2" xfId="0" applyFont="1" applyFill="1" applyBorder="1" applyAlignment="1">
      <alignment horizontal="center" vertical="center"/>
    </xf>
    <xf numFmtId="0" fontId="0" fillId="28" borderId="2" xfId="0" applyFill="1" applyBorder="1" applyAlignment="1"/>
    <xf numFmtId="0" fontId="2" fillId="27" borderId="2" xfId="0" applyFont="1" applyFill="1" applyBorder="1" applyAlignment="1">
      <alignment horizontal="center" vertical="center" wrapText="1"/>
    </xf>
    <xf numFmtId="0" fontId="30" fillId="28" borderId="2" xfId="0" applyFont="1" applyFill="1" applyBorder="1" applyAlignment="1">
      <alignment horizontal="left" vertical="center" wrapText="1" indent="1"/>
    </xf>
    <xf numFmtId="0" fontId="25" fillId="18" borderId="2" xfId="0" applyFont="1" applyFill="1" applyBorder="1" applyAlignment="1">
      <alignment horizontal="center" vertical="center"/>
    </xf>
    <xf numFmtId="0" fontId="25" fillId="19" borderId="2" xfId="0" applyFont="1" applyFill="1" applyBorder="1" applyAlignment="1">
      <alignment horizontal="center" vertical="center"/>
    </xf>
    <xf numFmtId="0" fontId="26" fillId="29" borderId="2" xfId="0" applyFont="1" applyFill="1" applyBorder="1" applyAlignment="1">
      <alignment horizontal="center" vertical="center"/>
    </xf>
    <xf numFmtId="0" fontId="4" fillId="28"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0" fillId="10" borderId="2" xfId="0" applyFont="1" applyFill="1" applyBorder="1" applyAlignment="1">
      <alignment horizontal="left" vertical="center" wrapText="1" indent="1"/>
    </xf>
    <xf numFmtId="0" fontId="4" fillId="10" borderId="2" xfId="0" applyFont="1" applyFill="1" applyBorder="1" applyAlignment="1">
      <alignment horizontal="center" vertical="center"/>
    </xf>
    <xf numFmtId="0" fontId="2" fillId="30" borderId="2" xfId="0" applyFont="1" applyFill="1" applyBorder="1" applyAlignment="1">
      <alignment horizontal="center" vertical="center" wrapText="1"/>
    </xf>
    <xf numFmtId="0" fontId="2" fillId="15" borderId="2" xfId="0" applyFont="1" applyFill="1" applyBorder="1" applyAlignment="1">
      <alignment horizontal="center" vertical="center" wrapText="1"/>
    </xf>
    <xf numFmtId="0" fontId="2" fillId="31" borderId="2" xfId="0" applyFont="1" applyFill="1" applyBorder="1" applyAlignment="1">
      <alignment horizontal="center" vertical="center" wrapText="1"/>
    </xf>
    <xf numFmtId="0" fontId="2" fillId="24" borderId="2" xfId="0" applyFont="1" applyFill="1" applyBorder="1" applyAlignment="1">
      <alignment horizontal="center" vertical="center" wrapText="1"/>
    </xf>
    <xf numFmtId="0" fontId="2" fillId="23" borderId="2" xfId="0" applyFont="1" applyFill="1" applyBorder="1" applyAlignment="1">
      <alignment horizontal="center" vertical="center" wrapText="1"/>
    </xf>
    <xf numFmtId="0" fontId="25" fillId="16" borderId="11" xfId="0" applyFont="1" applyFill="1" applyBorder="1" applyAlignment="1">
      <alignment horizontal="center" vertical="center"/>
    </xf>
    <xf numFmtId="0" fontId="29" fillId="16" borderId="11" xfId="0" applyFont="1" applyFill="1" applyBorder="1" applyAlignment="1">
      <alignment horizontal="left" vertical="center" indent="1"/>
    </xf>
    <xf numFmtId="0" fontId="31" fillId="16" borderId="11" xfId="0" applyFont="1" applyFill="1" applyBorder="1" applyAlignment="1">
      <alignment horizontal="center" vertical="center"/>
    </xf>
    <xf numFmtId="0" fontId="26" fillId="29" borderId="11" xfId="0" applyFont="1" applyFill="1" applyBorder="1" applyAlignment="1">
      <alignment horizontal="center" vertical="center"/>
    </xf>
    <xf numFmtId="0" fontId="0" fillId="16" borderId="11" xfId="0" applyFill="1" applyBorder="1" applyAlignment="1"/>
    <xf numFmtId="0" fontId="32" fillId="0" borderId="0" xfId="0" applyFont="1" applyAlignment="1">
      <alignment horizontal="left" vertical="center" wrapText="1"/>
    </xf>
    <xf numFmtId="167" fontId="28" fillId="33" borderId="2" xfId="0" applyNumberFormat="1" applyFont="1" applyFill="1" applyBorder="1" applyAlignment="1">
      <alignment horizontal="center" vertical="center"/>
    </xf>
    <xf numFmtId="0" fontId="35" fillId="34" borderId="2" xfId="0" applyFont="1" applyFill="1" applyBorder="1" applyAlignment="1">
      <alignment horizontal="center" vertical="center" wrapText="1"/>
    </xf>
    <xf numFmtId="0" fontId="2" fillId="27" borderId="13" xfId="0" applyFont="1" applyFill="1" applyBorder="1" applyAlignment="1">
      <alignment horizontal="left" vertical="center"/>
    </xf>
    <xf numFmtId="0" fontId="0" fillId="27" borderId="2" xfId="0" applyFill="1" applyBorder="1" applyAlignment="1"/>
    <xf numFmtId="0" fontId="36" fillId="18" borderId="2" xfId="0" applyFont="1" applyFill="1" applyBorder="1" applyAlignment="1">
      <alignment horizontal="center" vertical="center"/>
    </xf>
    <xf numFmtId="0" fontId="37" fillId="18" borderId="2" xfId="0" applyFont="1" applyFill="1" applyBorder="1" applyAlignment="1">
      <alignment horizontal="center" vertical="center"/>
    </xf>
    <xf numFmtId="0" fontId="4" fillId="18" borderId="2" xfId="0" applyFont="1" applyFill="1" applyBorder="1" applyAlignment="1">
      <alignment horizontal="left" vertical="center" indent="1"/>
    </xf>
    <xf numFmtId="0" fontId="4" fillId="18" borderId="2" xfId="0" applyFont="1" applyFill="1" applyBorder="1" applyAlignment="1">
      <alignment horizontal="left" vertical="center" wrapText="1" indent="1"/>
    </xf>
    <xf numFmtId="0" fontId="38" fillId="18" borderId="2" xfId="0" applyFont="1" applyFill="1" applyBorder="1" applyAlignment="1">
      <alignment horizontal="center" vertical="center"/>
    </xf>
    <xf numFmtId="168" fontId="36" fillId="18" borderId="2" xfId="0" applyNumberFormat="1" applyFont="1" applyFill="1" applyBorder="1" applyAlignment="1">
      <alignment horizontal="center" vertical="center"/>
    </xf>
    <xf numFmtId="168" fontId="39" fillId="35" borderId="2" xfId="0" applyNumberFormat="1" applyFont="1" applyFill="1" applyBorder="1" applyAlignment="1">
      <alignment horizontal="center" vertical="center"/>
    </xf>
    <xf numFmtId="0" fontId="4" fillId="18" borderId="2" xfId="0" applyFont="1" applyFill="1" applyBorder="1" applyAlignment="1">
      <alignment horizontal="left" vertical="center"/>
    </xf>
    <xf numFmtId="169" fontId="30" fillId="28" borderId="2" xfId="0" applyNumberFormat="1" applyFont="1" applyFill="1" applyBorder="1" applyAlignment="1">
      <alignment horizontal="center" vertical="center"/>
    </xf>
    <xf numFmtId="0" fontId="36" fillId="19" borderId="2" xfId="0" applyFont="1" applyFill="1" applyBorder="1" applyAlignment="1">
      <alignment horizontal="center" vertical="center"/>
    </xf>
    <xf numFmtId="0" fontId="40" fillId="19" borderId="2" xfId="0" applyFont="1" applyFill="1" applyBorder="1" applyAlignment="1">
      <alignment horizontal="center" vertical="center"/>
    </xf>
    <xf numFmtId="0" fontId="4" fillId="19" borderId="2" xfId="0" applyFont="1" applyFill="1" applyBorder="1" applyAlignment="1">
      <alignment horizontal="left" vertical="center" indent="1"/>
    </xf>
    <xf numFmtId="0" fontId="4" fillId="19" borderId="2" xfId="0" applyFont="1" applyFill="1" applyBorder="1" applyAlignment="1">
      <alignment horizontal="left" vertical="center" wrapText="1" indent="1"/>
    </xf>
    <xf numFmtId="0" fontId="38" fillId="19" borderId="2" xfId="0" applyFont="1" applyFill="1" applyBorder="1" applyAlignment="1">
      <alignment horizontal="center" vertical="center"/>
    </xf>
    <xf numFmtId="168" fontId="36" fillId="19" borderId="2" xfId="0" applyNumberFormat="1" applyFont="1" applyFill="1" applyBorder="1" applyAlignment="1">
      <alignment horizontal="center" vertical="center"/>
    </xf>
    <xf numFmtId="0" fontId="4" fillId="19" borderId="2" xfId="0" applyFont="1" applyFill="1" applyBorder="1" applyAlignment="1">
      <alignment horizontal="left" vertical="center"/>
    </xf>
    <xf numFmtId="0" fontId="36" fillId="20" borderId="2" xfId="0" applyFont="1" applyFill="1" applyBorder="1" applyAlignment="1">
      <alignment horizontal="center" vertical="center"/>
    </xf>
    <xf numFmtId="0" fontId="41" fillId="20" borderId="2" xfId="0" applyFont="1" applyFill="1" applyBorder="1" applyAlignment="1">
      <alignment horizontal="center" vertical="center"/>
    </xf>
    <xf numFmtId="0" fontId="4" fillId="20" borderId="2" xfId="0" applyFont="1" applyFill="1" applyBorder="1" applyAlignment="1">
      <alignment horizontal="left" vertical="center" indent="1"/>
    </xf>
    <xf numFmtId="0" fontId="4" fillId="20" borderId="2" xfId="0" applyFont="1" applyFill="1" applyBorder="1" applyAlignment="1">
      <alignment horizontal="left" vertical="center" wrapText="1" indent="1"/>
    </xf>
    <xf numFmtId="0" fontId="38" fillId="20" borderId="2" xfId="0" applyFont="1" applyFill="1" applyBorder="1" applyAlignment="1">
      <alignment horizontal="center" vertical="center"/>
    </xf>
    <xf numFmtId="168" fontId="36" fillId="20" borderId="2" xfId="0" applyNumberFormat="1" applyFont="1" applyFill="1" applyBorder="1" applyAlignment="1">
      <alignment horizontal="center" vertical="center"/>
    </xf>
    <xf numFmtId="0" fontId="4" fillId="20" borderId="2" xfId="0" applyFont="1" applyFill="1" applyBorder="1" applyAlignment="1">
      <alignment horizontal="left" vertical="center"/>
    </xf>
    <xf numFmtId="0" fontId="2" fillId="36" borderId="13" xfId="0" applyFont="1" applyFill="1" applyBorder="1" applyAlignment="1">
      <alignment horizontal="left" vertical="center"/>
    </xf>
    <xf numFmtId="0" fontId="0" fillId="36" borderId="2" xfId="0" applyFill="1" applyBorder="1" applyAlignment="1"/>
    <xf numFmtId="0" fontId="2" fillId="37" borderId="13" xfId="0" applyFont="1" applyFill="1" applyBorder="1" applyAlignment="1">
      <alignment horizontal="left" vertical="center"/>
    </xf>
    <xf numFmtId="0" fontId="0" fillId="37" borderId="2" xfId="0" applyFill="1" applyBorder="1" applyAlignment="1"/>
    <xf numFmtId="0" fontId="2" fillId="38" borderId="13" xfId="0" applyFont="1" applyFill="1" applyBorder="1" applyAlignment="1">
      <alignment horizontal="left" vertical="center"/>
    </xf>
    <xf numFmtId="0" fontId="0" fillId="38" borderId="2" xfId="0" applyFill="1" applyBorder="1" applyAlignment="1"/>
    <xf numFmtId="0" fontId="2" fillId="39" borderId="13" xfId="0" applyFont="1" applyFill="1" applyBorder="1" applyAlignment="1">
      <alignment horizontal="left" vertical="center"/>
    </xf>
    <xf numFmtId="0" fontId="2" fillId="40" borderId="13" xfId="0" applyFont="1" applyFill="1" applyBorder="1" applyAlignment="1">
      <alignment horizontal="left" vertical="center"/>
    </xf>
    <xf numFmtId="0" fontId="0" fillId="40" borderId="2" xfId="0" applyFill="1" applyBorder="1" applyAlignment="1"/>
    <xf numFmtId="0" fontId="2" fillId="23" borderId="13" xfId="0" applyFont="1" applyFill="1" applyBorder="1" applyAlignment="1">
      <alignment horizontal="left" vertical="center"/>
    </xf>
    <xf numFmtId="0" fontId="0" fillId="23" borderId="2" xfId="0" applyFill="1" applyBorder="1" applyAlignment="1"/>
    <xf numFmtId="0" fontId="2" fillId="41" borderId="13" xfId="0" applyFont="1" applyFill="1" applyBorder="1" applyAlignment="1">
      <alignment horizontal="left" vertical="center"/>
    </xf>
    <xf numFmtId="0" fontId="2" fillId="42" borderId="13" xfId="0" applyFont="1" applyFill="1" applyBorder="1" applyAlignment="1">
      <alignment horizontal="left" vertical="center"/>
    </xf>
    <xf numFmtId="0" fontId="42" fillId="33" borderId="2" xfId="0" applyFont="1" applyFill="1" applyBorder="1" applyAlignment="1">
      <alignment horizontal="center" vertical="center"/>
    </xf>
    <xf numFmtId="0" fontId="27" fillId="21" borderId="2" xfId="0" applyFont="1" applyFill="1" applyBorder="1" applyAlignment="1">
      <alignment horizontal="center" vertical="center"/>
    </xf>
    <xf numFmtId="0" fontId="29" fillId="33" borderId="2" xfId="0" applyFont="1" applyFill="1" applyBorder="1" applyAlignment="1">
      <alignment horizontal="center" vertical="center"/>
    </xf>
    <xf numFmtId="0" fontId="29" fillId="21" borderId="2" xfId="0" applyFont="1" applyFill="1" applyBorder="1" applyAlignment="1">
      <alignment horizontal="center" vertical="center"/>
    </xf>
    <xf numFmtId="0" fontId="29" fillId="29" borderId="2" xfId="0" applyFont="1" applyFill="1" applyBorder="1" applyAlignment="1">
      <alignment horizontal="center" vertical="center"/>
    </xf>
    <xf numFmtId="0" fontId="25" fillId="28" borderId="2" xfId="0" applyFont="1" applyFill="1" applyBorder="1" applyAlignment="1">
      <alignment horizontal="left" vertical="center" indent="1"/>
    </xf>
    <xf numFmtId="0" fontId="38" fillId="5" borderId="2" xfId="0" applyFont="1" applyFill="1" applyBorder="1" applyAlignment="1">
      <alignment horizontal="center" vertical="center"/>
    </xf>
    <xf numFmtId="0" fontId="43" fillId="21" borderId="2" xfId="0" applyFont="1" applyFill="1" applyBorder="1" applyAlignment="1">
      <alignment horizontal="center" vertical="center"/>
    </xf>
    <xf numFmtId="0" fontId="38" fillId="29" borderId="2" xfId="0" applyFont="1" applyFill="1" applyBorder="1" applyAlignment="1">
      <alignment horizontal="center" vertical="center"/>
    </xf>
    <xf numFmtId="0" fontId="25" fillId="10" borderId="2" xfId="0" applyFont="1" applyFill="1" applyBorder="1" applyAlignment="1">
      <alignment horizontal="left" vertical="center" indent="1"/>
    </xf>
    <xf numFmtId="0" fontId="25" fillId="16" borderId="11" xfId="0" applyFont="1" applyFill="1" applyBorder="1" applyAlignment="1">
      <alignment horizontal="left" vertical="center" indent="1"/>
    </xf>
    <xf numFmtId="0" fontId="38" fillId="18" borderId="11" xfId="0" applyFont="1" applyFill="1" applyBorder="1" applyAlignment="1">
      <alignment horizontal="center" vertical="center"/>
    </xf>
    <xf numFmtId="0" fontId="38" fillId="19" borderId="11" xfId="0" applyFont="1" applyFill="1" applyBorder="1" applyAlignment="1">
      <alignment horizontal="center" vertical="center"/>
    </xf>
    <xf numFmtId="0" fontId="38" fillId="20" borderId="11" xfId="0" applyFont="1" applyFill="1" applyBorder="1" applyAlignment="1">
      <alignment horizontal="center" vertical="center"/>
    </xf>
    <xf numFmtId="0" fontId="43" fillId="21" borderId="11" xfId="0" applyFont="1" applyFill="1" applyBorder="1" applyAlignment="1">
      <alignment horizontal="center" vertical="center"/>
    </xf>
    <xf numFmtId="0" fontId="38" fillId="29" borderId="11" xfId="0" applyFont="1" applyFill="1" applyBorder="1" applyAlignment="1">
      <alignment horizontal="center" vertical="center"/>
    </xf>
    <xf numFmtId="0" fontId="25" fillId="18" borderId="2" xfId="0" applyFont="1" applyFill="1" applyBorder="1" applyAlignment="1">
      <alignment horizontal="left" vertical="center" indent="1"/>
    </xf>
    <xf numFmtId="0" fontId="4" fillId="29" borderId="2" xfId="0" applyFont="1" applyFill="1" applyBorder="1" applyAlignment="1">
      <alignment horizontal="center" vertical="center"/>
    </xf>
    <xf numFmtId="0" fontId="25" fillId="19" borderId="2" xfId="0" applyFont="1" applyFill="1" applyBorder="1" applyAlignment="1">
      <alignment horizontal="left" vertical="center" indent="1"/>
    </xf>
    <xf numFmtId="0" fontId="25" fillId="20" borderId="2" xfId="0" applyFont="1" applyFill="1" applyBorder="1" applyAlignment="1">
      <alignment horizontal="left" vertical="center" indent="1"/>
    </xf>
    <xf numFmtId="0" fontId="29" fillId="16" borderId="11" xfId="0" applyFont="1" applyFill="1" applyBorder="1" applyAlignment="1">
      <alignment horizontal="left" vertical="center"/>
    </xf>
    <xf numFmtId="0" fontId="26" fillId="18" borderId="11" xfId="0" applyFont="1" applyFill="1" applyBorder="1" applyAlignment="1">
      <alignment horizontal="center" vertical="center"/>
    </xf>
    <xf numFmtId="0" fontId="26" fillId="19" borderId="11" xfId="0" applyFont="1" applyFill="1" applyBorder="1" applyAlignment="1">
      <alignment horizontal="center" vertical="center"/>
    </xf>
    <xf numFmtId="0" fontId="26" fillId="20" borderId="11" xfId="0" applyFont="1" applyFill="1" applyBorder="1" applyAlignment="1">
      <alignment horizontal="center" vertical="center"/>
    </xf>
    <xf numFmtId="0" fontId="44" fillId="29" borderId="11" xfId="0" applyFont="1" applyFill="1" applyBorder="1" applyAlignment="1">
      <alignment horizontal="center" vertical="center"/>
    </xf>
    <xf numFmtId="0" fontId="47" fillId="45" borderId="6" xfId="0" applyFont="1" applyFill="1" applyBorder="1" applyAlignment="1">
      <alignment horizontal="left" vertical="center" wrapText="1"/>
    </xf>
    <xf numFmtId="0" fontId="48" fillId="45" borderId="6" xfId="0" applyFont="1" applyFill="1" applyBorder="1" applyAlignment="1">
      <alignment horizontal="left" vertical="center" wrapText="1"/>
    </xf>
    <xf numFmtId="0" fontId="49" fillId="4" borderId="6" xfId="0" applyFont="1" applyFill="1" applyBorder="1" applyAlignment="1">
      <alignment horizontal="left" vertical="top" wrapText="1" indent="1"/>
    </xf>
    <xf numFmtId="0" fontId="50" fillId="17" borderId="14" xfId="0" applyFont="1" applyFill="1" applyBorder="1" applyAlignment="1">
      <alignment horizontal="left" vertical="top" wrapText="1" indent="1"/>
    </xf>
    <xf numFmtId="0" fontId="47" fillId="22" borderId="6" xfId="0" applyFont="1" applyFill="1" applyBorder="1" applyAlignment="1">
      <alignment horizontal="left" vertical="center" wrapText="1"/>
    </xf>
    <xf numFmtId="0" fontId="48" fillId="22" borderId="6" xfId="0" applyFont="1" applyFill="1" applyBorder="1" applyAlignment="1">
      <alignment horizontal="left" vertical="center" wrapText="1"/>
    </xf>
    <xf numFmtId="0" fontId="51" fillId="46" borderId="6" xfId="0" applyFont="1" applyFill="1" applyBorder="1" applyAlignment="1">
      <alignment horizontal="left" vertical="top" wrapText="1" indent="1"/>
    </xf>
    <xf numFmtId="0" fontId="50" fillId="17" borderId="15" xfId="0" applyFont="1" applyFill="1" applyBorder="1" applyAlignment="1">
      <alignment horizontal="left" vertical="top" wrapText="1" indent="1"/>
    </xf>
    <xf numFmtId="0" fontId="47" fillId="47" borderId="6" xfId="0" applyFont="1" applyFill="1" applyBorder="1" applyAlignment="1">
      <alignment horizontal="left" vertical="center" wrapText="1"/>
    </xf>
    <xf numFmtId="0" fontId="48" fillId="47" borderId="6" xfId="0" applyFont="1" applyFill="1" applyBorder="1" applyAlignment="1">
      <alignment horizontal="left" vertical="center" wrapText="1"/>
    </xf>
    <xf numFmtId="0" fontId="52" fillId="48" borderId="6" xfId="0" applyFont="1" applyFill="1" applyBorder="1" applyAlignment="1">
      <alignment horizontal="left" vertical="top" wrapText="1" indent="1"/>
    </xf>
    <xf numFmtId="0" fontId="50" fillId="17" borderId="16" xfId="0" applyFont="1" applyFill="1" applyBorder="1" applyAlignment="1">
      <alignment horizontal="left" vertical="top" wrapText="1" indent="1"/>
    </xf>
    <xf numFmtId="0" fontId="47" fillId="49" borderId="6" xfId="0" applyFont="1" applyFill="1" applyBorder="1" applyAlignment="1">
      <alignment horizontal="left" vertical="center" wrapText="1"/>
    </xf>
    <xf numFmtId="0" fontId="48" fillId="49" borderId="6" xfId="0" applyFont="1" applyFill="1" applyBorder="1" applyAlignment="1">
      <alignment horizontal="left" vertical="center" wrapText="1"/>
    </xf>
    <xf numFmtId="0" fontId="53" fillId="50" borderId="6" xfId="0" applyFont="1" applyFill="1" applyBorder="1" applyAlignment="1">
      <alignment horizontal="left" vertical="top" wrapText="1" indent="1"/>
    </xf>
    <xf numFmtId="0" fontId="50" fillId="17" borderId="17" xfId="0" applyFont="1" applyFill="1" applyBorder="1" applyAlignment="1">
      <alignment horizontal="left" vertical="top" wrapText="1" indent="1"/>
    </xf>
    <xf numFmtId="0" fontId="54" fillId="43" borderId="6" xfId="0" applyFont="1" applyFill="1" applyBorder="1" applyAlignment="1">
      <alignment horizontal="center" vertical="center" wrapText="1"/>
    </xf>
    <xf numFmtId="0" fontId="55" fillId="4" borderId="6" xfId="0" applyFont="1" applyFill="1" applyBorder="1" applyAlignment="1">
      <alignment horizontal="center" vertical="center" wrapText="1"/>
    </xf>
    <xf numFmtId="0" fontId="56" fillId="4" borderId="6" xfId="0" applyFont="1" applyFill="1" applyBorder="1" applyAlignment="1">
      <alignment horizontal="center" vertical="top" wrapText="1" indent="1"/>
    </xf>
    <xf numFmtId="0" fontId="56" fillId="4" borderId="6" xfId="0" applyFont="1" applyFill="1" applyBorder="1" applyAlignment="1">
      <alignment horizontal="left" vertical="top" wrapText="1" indent="1"/>
    </xf>
    <xf numFmtId="0" fontId="57" fillId="51" borderId="6" xfId="0" applyFont="1" applyFill="1" applyBorder="1" applyAlignment="1">
      <alignment horizontal="left" vertical="top" wrapText="1" indent="1"/>
    </xf>
    <xf numFmtId="0" fontId="56" fillId="4" borderId="6" xfId="0" applyFont="1" applyFill="1" applyBorder="1" applyAlignment="1">
      <alignment horizontal="center" vertical="center" wrapText="1"/>
    </xf>
    <xf numFmtId="0" fontId="58" fillId="46" borderId="6" xfId="0" applyFont="1" applyFill="1" applyBorder="1" applyAlignment="1">
      <alignment horizontal="center" vertical="center" wrapText="1"/>
    </xf>
    <xf numFmtId="0" fontId="56" fillId="46" borderId="6" xfId="0" applyFont="1" applyFill="1" applyBorder="1" applyAlignment="1">
      <alignment horizontal="center" vertical="top" wrapText="1" indent="1"/>
    </xf>
    <xf numFmtId="0" fontId="56" fillId="46" borderId="6" xfId="0" applyFont="1" applyFill="1" applyBorder="1" applyAlignment="1">
      <alignment horizontal="left" vertical="top" wrapText="1" indent="1"/>
    </xf>
    <xf numFmtId="0" fontId="56" fillId="46" borderId="6" xfId="0" applyFont="1" applyFill="1" applyBorder="1" applyAlignment="1">
      <alignment horizontal="center" vertical="center" wrapText="1"/>
    </xf>
    <xf numFmtId="0" fontId="59" fillId="48" borderId="6" xfId="0" applyFont="1" applyFill="1" applyBorder="1" applyAlignment="1">
      <alignment horizontal="center" vertical="center" wrapText="1"/>
    </xf>
    <xf numFmtId="0" fontId="56" fillId="48" borderId="6" xfId="0" applyFont="1" applyFill="1" applyBorder="1" applyAlignment="1">
      <alignment horizontal="center" vertical="top" wrapText="1" indent="1"/>
    </xf>
    <xf numFmtId="0" fontId="56" fillId="48" borderId="6" xfId="0" applyFont="1" applyFill="1" applyBorder="1" applyAlignment="1">
      <alignment horizontal="left" vertical="top" wrapText="1" indent="1"/>
    </xf>
    <xf numFmtId="0" fontId="56" fillId="48" borderId="6" xfId="0" applyFont="1" applyFill="1" applyBorder="1" applyAlignment="1">
      <alignment horizontal="center" vertical="center" wrapText="1"/>
    </xf>
    <xf numFmtId="0" fontId="60" fillId="52" borderId="6" xfId="0" applyFont="1" applyFill="1" applyBorder="1" applyAlignment="1">
      <alignment horizontal="center" vertical="center" wrapText="1"/>
    </xf>
    <xf numFmtId="0" fontId="56" fillId="52" borderId="6" xfId="0" applyFont="1" applyFill="1" applyBorder="1" applyAlignment="1">
      <alignment horizontal="center" vertical="top" wrapText="1" indent="1"/>
    </xf>
    <xf numFmtId="0" fontId="56" fillId="52" borderId="6" xfId="0" applyFont="1" applyFill="1" applyBorder="1" applyAlignment="1">
      <alignment horizontal="left" vertical="top" wrapText="1" indent="1"/>
    </xf>
    <xf numFmtId="0" fontId="56" fillId="52" borderId="6" xfId="0" applyFont="1" applyFill="1" applyBorder="1" applyAlignment="1">
      <alignment horizontal="center" vertical="center" wrapText="1"/>
    </xf>
    <xf numFmtId="0" fontId="61" fillId="50" borderId="6" xfId="0" applyFont="1" applyFill="1" applyBorder="1" applyAlignment="1">
      <alignment horizontal="center" vertical="center" wrapText="1"/>
    </xf>
    <xf numFmtId="0" fontId="56" fillId="50" borderId="6" xfId="0" applyFont="1" applyFill="1" applyBorder="1" applyAlignment="1">
      <alignment horizontal="center" vertical="top" wrapText="1" indent="1"/>
    </xf>
    <xf numFmtId="0" fontId="56" fillId="50" borderId="6" xfId="0" applyFont="1" applyFill="1" applyBorder="1" applyAlignment="1">
      <alignment horizontal="left" vertical="top" wrapText="1" indent="1"/>
    </xf>
    <xf numFmtId="0" fontId="56" fillId="50" borderId="6" xfId="0" applyFont="1" applyFill="1" applyBorder="1" applyAlignment="1">
      <alignment horizontal="center" vertical="center" wrapText="1"/>
    </xf>
    <xf numFmtId="0" fontId="62" fillId="53" borderId="6" xfId="0" applyFont="1" applyFill="1" applyBorder="1" applyAlignment="1">
      <alignment horizontal="center" vertical="center" wrapText="1"/>
    </xf>
    <xf numFmtId="0" fontId="56" fillId="53" borderId="6" xfId="0" applyFont="1" applyFill="1" applyBorder="1" applyAlignment="1">
      <alignment horizontal="center" vertical="top" wrapText="1" indent="1"/>
    </xf>
    <xf numFmtId="0" fontId="56" fillId="53" borderId="6" xfId="0" applyFont="1" applyFill="1" applyBorder="1" applyAlignment="1">
      <alignment horizontal="left" vertical="top" wrapText="1" indent="1"/>
    </xf>
    <xf numFmtId="0" fontId="56" fillId="53" borderId="6" xfId="0" applyFont="1" applyFill="1" applyBorder="1" applyAlignment="1">
      <alignment horizontal="center" vertical="center" wrapText="1"/>
    </xf>
    <xf numFmtId="0" fontId="55" fillId="4" borderId="14" xfId="0" applyFont="1" applyFill="1" applyBorder="1" applyAlignment="1">
      <alignment horizontal="center" vertical="center" wrapText="1"/>
    </xf>
    <xf numFmtId="0" fontId="57" fillId="4" borderId="6" xfId="0" applyFont="1" applyFill="1" applyBorder="1" applyAlignment="1">
      <alignment horizontal="left" vertical="top" wrapText="1" indent="1"/>
    </xf>
    <xf numFmtId="0" fontId="63" fillId="51" borderId="6" xfId="0" applyFont="1" applyFill="1" applyBorder="1" applyAlignment="1">
      <alignment horizontal="left" vertical="top" wrapText="1" indent="1"/>
    </xf>
    <xf numFmtId="0" fontId="64" fillId="17" borderId="6" xfId="0" applyFont="1" applyFill="1" applyBorder="1" applyAlignment="1">
      <alignment horizontal="center" vertical="center" wrapText="1"/>
    </xf>
    <xf numFmtId="0" fontId="0" fillId="10" borderId="0" xfId="0" applyFill="1" applyAlignment="1"/>
    <xf numFmtId="0" fontId="58" fillId="46" borderId="15" xfId="0" applyFont="1" applyFill="1" applyBorder="1" applyAlignment="1">
      <alignment horizontal="center" vertical="center" wrapText="1"/>
    </xf>
    <xf numFmtId="0" fontId="57" fillId="46" borderId="6" xfId="0" applyFont="1" applyFill="1" applyBorder="1" applyAlignment="1">
      <alignment horizontal="left" vertical="top" wrapText="1" indent="1"/>
    </xf>
    <xf numFmtId="0" fontId="59" fillId="48" borderId="16" xfId="0" applyFont="1" applyFill="1" applyBorder="1" applyAlignment="1">
      <alignment horizontal="center" vertical="center" wrapText="1"/>
    </xf>
    <xf numFmtId="0" fontId="57" fillId="48" borderId="6" xfId="0" applyFont="1" applyFill="1" applyBorder="1" applyAlignment="1">
      <alignment horizontal="left" vertical="top" wrapText="1" indent="1"/>
    </xf>
    <xf numFmtId="0" fontId="60" fillId="52" borderId="18" xfId="0" applyFont="1" applyFill="1" applyBorder="1" applyAlignment="1">
      <alignment horizontal="center" vertical="center" wrapText="1"/>
    </xf>
    <xf numFmtId="0" fontId="57" fillId="52" borderId="6" xfId="0" applyFont="1" applyFill="1" applyBorder="1" applyAlignment="1">
      <alignment horizontal="left" vertical="top" wrapText="1" indent="1"/>
    </xf>
    <xf numFmtId="0" fontId="61" fillId="50" borderId="17" xfId="0" applyFont="1" applyFill="1" applyBorder="1" applyAlignment="1">
      <alignment horizontal="center" vertical="center" wrapText="1"/>
    </xf>
    <xf numFmtId="0" fontId="57" fillId="50" borderId="6" xfId="0" applyFont="1" applyFill="1" applyBorder="1" applyAlignment="1">
      <alignment horizontal="left" vertical="top" wrapText="1" indent="1"/>
    </xf>
    <xf numFmtId="0" fontId="62" fillId="53" borderId="19" xfId="0" applyFont="1" applyFill="1" applyBorder="1" applyAlignment="1">
      <alignment horizontal="center" vertical="center" wrapText="1"/>
    </xf>
    <xf numFmtId="0" fontId="57" fillId="53" borderId="6" xfId="0" applyFont="1" applyFill="1" applyBorder="1" applyAlignment="1">
      <alignment horizontal="left" vertical="top" wrapText="1" indent="1"/>
    </xf>
    <xf numFmtId="0" fontId="65" fillId="57" borderId="6" xfId="0" applyFont="1" applyFill="1" applyBorder="1" applyAlignment="1">
      <alignment horizontal="center" vertical="center" wrapText="1"/>
    </xf>
    <xf numFmtId="0" fontId="56" fillId="57" borderId="6" xfId="0" applyFont="1" applyFill="1" applyBorder="1" applyAlignment="1">
      <alignment horizontal="left" vertical="top" wrapText="1" indent="1"/>
    </xf>
    <xf numFmtId="0" fontId="57" fillId="57" borderId="6" xfId="0" applyFont="1" applyFill="1" applyBorder="1" applyAlignment="1">
      <alignment horizontal="left" vertical="top" wrapText="1" indent="1"/>
    </xf>
    <xf numFmtId="0" fontId="0" fillId="17" borderId="6" xfId="0" applyFill="1" applyBorder="1" applyAlignment="1"/>
    <xf numFmtId="0" fontId="56" fillId="16" borderId="6" xfId="0" applyFont="1" applyFill="1" applyBorder="1" applyAlignment="1">
      <alignment horizontal="left" vertical="top" wrapText="1" indent="1"/>
    </xf>
    <xf numFmtId="0" fontId="57" fillId="17" borderId="6" xfId="0" applyFont="1" applyFill="1" applyBorder="1" applyAlignment="1">
      <alignment horizontal="left" vertical="top" wrapText="1" indent="1"/>
    </xf>
    <xf numFmtId="0" fontId="7" fillId="58" borderId="1" xfId="0" applyFont="1" applyFill="1" applyBorder="1" applyAlignment="1">
      <alignment horizontal="center" vertical="center" wrapText="1"/>
    </xf>
    <xf numFmtId="0" fontId="8" fillId="8" borderId="1" xfId="0" applyFont="1" applyFill="1" applyBorder="1" applyAlignment="1">
      <alignment horizontal="left" vertical="center"/>
    </xf>
    <xf numFmtId="0" fontId="0" fillId="0" borderId="1" xfId="0" applyFont="1" applyBorder="1" applyAlignment="1">
      <alignment horizontal="center"/>
    </xf>
    <xf numFmtId="0" fontId="0" fillId="59" borderId="1" xfId="0" applyFill="1" applyBorder="1" applyAlignment="1">
      <alignment horizontal="center"/>
    </xf>
    <xf numFmtId="0" fontId="33" fillId="32" borderId="12" xfId="0" applyFont="1" applyFill="1" applyBorder="1" applyAlignment="1">
      <alignment horizontal="left" vertical="center" indent="1"/>
    </xf>
    <xf numFmtId="0" fontId="34" fillId="16" borderId="2" xfId="0" applyFont="1" applyFill="1" applyBorder="1" applyAlignment="1">
      <alignment horizontal="right" vertical="center"/>
    </xf>
    <xf numFmtId="0" fontId="32" fillId="16" borderId="2" xfId="0" applyFont="1" applyFill="1" applyBorder="1" applyAlignment="1">
      <alignment horizontal="left" vertical="center" indent="1"/>
    </xf>
    <xf numFmtId="0" fontId="23" fillId="43" borderId="0" xfId="0" applyFont="1" applyFill="1" applyBorder="1" applyAlignment="1">
      <alignment horizontal="left" vertical="center" indent="1"/>
    </xf>
    <xf numFmtId="0" fontId="2" fillId="15" borderId="0" xfId="0" applyFont="1" applyFill="1" applyBorder="1" applyAlignment="1">
      <alignment horizontal="left" vertical="center" indent="1"/>
    </xf>
    <xf numFmtId="0" fontId="45" fillId="43" borderId="0" xfId="0" applyFont="1" applyFill="1" applyBorder="1" applyAlignment="1">
      <alignment horizontal="left" vertical="center" wrapText="1"/>
    </xf>
    <xf numFmtId="0" fontId="46" fillId="44" borderId="0" xfId="0" applyFont="1" applyFill="1" applyBorder="1" applyAlignment="1">
      <alignment horizontal="left" vertical="center" wrapText="1" indent="1"/>
    </xf>
    <xf numFmtId="0" fontId="45" fillId="43" borderId="0" xfId="0" applyFont="1" applyFill="1" applyBorder="1" applyAlignment="1">
      <alignment horizontal="center" vertical="center" wrapText="1"/>
    </xf>
    <xf numFmtId="0" fontId="47" fillId="45" borderId="6" xfId="0" applyFont="1" applyFill="1" applyBorder="1" applyAlignment="1">
      <alignment horizontal="left" vertical="center" wrapText="1"/>
    </xf>
    <xf numFmtId="0" fontId="47" fillId="22" borderId="6" xfId="0" applyFont="1" applyFill="1" applyBorder="1" applyAlignment="1">
      <alignment horizontal="left" vertical="center" wrapText="1"/>
    </xf>
    <xf numFmtId="0" fontId="47" fillId="47" borderId="6" xfId="0" applyFont="1" applyFill="1" applyBorder="1" applyAlignment="1">
      <alignment horizontal="left" vertical="center" wrapText="1"/>
    </xf>
    <xf numFmtId="0" fontId="47" fillId="54" borderId="6" xfId="0" applyFont="1" applyFill="1" applyBorder="1" applyAlignment="1">
      <alignment horizontal="left" vertical="center" wrapText="1"/>
    </xf>
    <xf numFmtId="0" fontId="47" fillId="49" borderId="6" xfId="0" applyFont="1" applyFill="1" applyBorder="1" applyAlignment="1">
      <alignment horizontal="left" vertical="center" wrapText="1"/>
    </xf>
    <xf numFmtId="0" fontId="47" fillId="55" borderId="6" xfId="0" applyFont="1" applyFill="1" applyBorder="1" applyAlignment="1">
      <alignment horizontal="left" vertical="center" wrapText="1"/>
    </xf>
    <xf numFmtId="0" fontId="47" fillId="56" borderId="6" xfId="0" applyFont="1" applyFill="1" applyBorder="1" applyAlignment="1">
      <alignment horizontal="left" vertical="center" wrapText="1"/>
    </xf>
    <xf numFmtId="0" fontId="54" fillId="45" borderId="6" xfId="0" applyFont="1" applyFill="1" applyBorder="1" applyAlignment="1">
      <alignment horizontal="left" vertical="center" wrapText="1" indent="1"/>
    </xf>
    <xf numFmtId="0" fontId="54" fillId="47" borderId="6" xfId="0" applyFont="1" applyFill="1" applyBorder="1" applyAlignment="1">
      <alignment horizontal="left" vertical="center" wrapText="1" indent="1"/>
    </xf>
    <xf numFmtId="0" fontId="54" fillId="49" borderId="6" xfId="0" applyFont="1" applyFill="1" applyBorder="1" applyAlignment="1">
      <alignment horizontal="left" vertical="center" wrapText="1" indent="1"/>
    </xf>
    <xf numFmtId="0" fontId="54" fillId="54" borderId="6" xfId="0" applyFont="1" applyFill="1" applyBorder="1" applyAlignment="1">
      <alignment horizontal="left" vertical="center" wrapText="1" indent="1"/>
    </xf>
    <xf numFmtId="0" fontId="54" fillId="56" borderId="6" xfId="0" applyFont="1" applyFill="1" applyBorder="1" applyAlignment="1">
      <alignment horizontal="left" vertical="center" wrapText="1" indent="1"/>
    </xf>
    <xf numFmtId="0" fontId="7" fillId="56" borderId="1" xfId="0" applyFont="1" applyFill="1" applyBorder="1" applyAlignment="1">
      <alignment horizontal="center" vertical="center" wrapText="1"/>
    </xf>
    <xf numFmtId="0" fontId="0" fillId="59"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7FAFC"/>
      <rgbColor rgb="FFF0FFF4"/>
      <rgbColor rgb="FF0000FF"/>
      <rgbColor rgb="FFE1F1DA"/>
      <rgbColor rgb="FFFFF5F5"/>
      <rgbColor rgb="FFEBF8FF"/>
      <rgbColor rgb="FF1D3A4E"/>
      <rgbColor rgb="FF1E6C3A"/>
      <rgbColor rgb="FF232D4D"/>
      <rgbColor rgb="FF276749"/>
      <rgbColor rgb="FF6A1B9A"/>
      <rgbColor rgb="FF01685C"/>
      <rgbColor rgb="FFBDBDBD"/>
      <rgbColor rgb="FF888888"/>
      <rgbColor rgb="FF9CAFD5"/>
      <rgbColor rgb="FFBC570E"/>
      <rgbColor rgb="FFFFF9E4"/>
      <rgbColor rgb="FFE1F5EE"/>
      <rgbColor rgb="FF341C63"/>
      <rgbColor rgb="FFEDF2F7"/>
      <rgbColor rgb="FF0E69BF"/>
      <rgbColor rgb="FFD0D0D0"/>
      <rgbColor rgb="FF1A365D"/>
      <rgbColor rgb="FFFAFAFB"/>
      <rgbColor rgb="FFEBF1DE"/>
      <rgbColor rgb="FFEDF3FA"/>
      <rgbColor rgb="FF1F3864"/>
      <rgbColor rgb="FFFFFFF0"/>
      <rgbColor rgb="FF1C6A3B"/>
      <rgbColor rgb="FF1A395D"/>
      <rgbColor rgb="FFF2F4F7"/>
      <rgbColor rgb="FFE0F2F1"/>
      <rgbColor rgb="FFC6F6D5"/>
      <rgbColor rgb="FFFFF2CC"/>
      <rgbColor rgb="FFCCCCCC"/>
      <rgbColor rgb="FFF3E5F5"/>
      <rgbColor rgb="FFEDE7F6"/>
      <rgbColor rgb="FFFAEEDA"/>
      <rgbColor rgb="FF1564BB"/>
      <rgbColor rgb="FFE3F2FD"/>
      <rgbColor rgb="FFE8F5E9"/>
      <rgbColor rgb="FFFCEEEB"/>
      <rgbColor rgb="FFFFFBE7"/>
      <rgbColor rgb="FFF57F17"/>
      <rgbColor rgb="FF748393"/>
      <rgbColor rgb="FFE6F1FB"/>
      <rgbColor rgb="FF0D2E52"/>
      <rgbColor rgb="FF2E7D32"/>
      <rgbColor rgb="FF111E24"/>
      <rgbColor rgb="FF502422"/>
      <rgbColor rgb="FFC62D20"/>
      <rgbColor rgb="FF4E5865"/>
      <rgbColor rgb="FF44249E"/>
      <rgbColor rgb="FF30384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6"/>
  <sheetViews>
    <sheetView zoomScale="85" zoomScaleNormal="85" workbookViewId="0">
      <selection activeCell="E7" sqref="E7"/>
    </sheetView>
  </sheetViews>
  <sheetFormatPr defaultColWidth="8.7109375" defaultRowHeight="15" x14ac:dyDescent="0.25"/>
  <cols>
    <col min="1" max="1" width="13.5703125" style="15" customWidth="1"/>
    <col min="2" max="2" width="24.140625" style="16" customWidth="1"/>
    <col min="3" max="3" width="13.85546875" style="15" customWidth="1"/>
    <col min="4" max="4" width="20.5703125" style="17" customWidth="1"/>
    <col min="5" max="5" width="22.140625" style="17" customWidth="1"/>
    <col min="6" max="6" width="10" style="17" customWidth="1"/>
    <col min="7" max="7" width="26.140625" style="17" customWidth="1"/>
    <col min="8" max="8" width="48.42578125" style="17" customWidth="1"/>
    <col min="9" max="9" width="52" style="17" customWidth="1"/>
    <col min="10" max="10" width="19.7109375" style="17" customWidth="1"/>
    <col min="11" max="11" width="25.5703125" style="17" customWidth="1"/>
    <col min="12" max="12" width="16.7109375" style="15" customWidth="1"/>
    <col min="13" max="13" width="17.140625" style="15" customWidth="1"/>
    <col min="14" max="15" width="14" style="15" customWidth="1"/>
    <col min="16" max="16" width="19.7109375" style="17" customWidth="1"/>
    <col min="17" max="17" width="13.42578125" style="17" customWidth="1"/>
    <col min="18" max="18" width="27.85546875" style="17" customWidth="1"/>
    <col min="19" max="19" width="32.140625" style="17" customWidth="1"/>
    <col min="20" max="20" width="44.28515625" style="17" customWidth="1"/>
    <col min="21" max="21" width="40" style="17" customWidth="1"/>
    <col min="22" max="22" width="52" style="17" customWidth="1"/>
    <col min="23" max="23" width="25" style="17" customWidth="1"/>
  </cols>
  <sheetData>
    <row r="1" spans="1:22" ht="34.5" customHeight="1" x14ac:dyDescent="0.25">
      <c r="A1" s="18" t="s">
        <v>0</v>
      </c>
      <c r="B1" s="19" t="s">
        <v>1</v>
      </c>
      <c r="C1" s="19" t="s">
        <v>2</v>
      </c>
      <c r="D1" s="19" t="s">
        <v>3</v>
      </c>
      <c r="E1" s="19" t="s">
        <v>4</v>
      </c>
      <c r="F1" s="19" t="s">
        <v>5</v>
      </c>
      <c r="G1" s="19" t="s">
        <v>6</v>
      </c>
      <c r="H1" s="19" t="s">
        <v>7</v>
      </c>
      <c r="I1" s="19" t="s">
        <v>8</v>
      </c>
      <c r="J1" s="19" t="s">
        <v>9</v>
      </c>
      <c r="K1" s="19" t="s">
        <v>10</v>
      </c>
      <c r="L1" s="19" t="s">
        <v>11</v>
      </c>
      <c r="M1" s="19" t="s">
        <v>12</v>
      </c>
      <c r="N1" s="20" t="s">
        <v>13</v>
      </c>
      <c r="O1" s="19" t="s">
        <v>14</v>
      </c>
      <c r="P1" s="19" t="s">
        <v>15</v>
      </c>
      <c r="Q1" s="19" t="s">
        <v>16</v>
      </c>
      <c r="R1" s="19" t="s">
        <v>17</v>
      </c>
      <c r="S1" s="19" t="s">
        <v>18</v>
      </c>
      <c r="T1" s="19" t="s">
        <v>19</v>
      </c>
      <c r="U1" s="19" t="s">
        <v>20</v>
      </c>
      <c r="V1" s="19" t="s">
        <v>21</v>
      </c>
    </row>
    <row r="2" spans="1:22" ht="34.5" customHeight="1" x14ac:dyDescent="0.25">
      <c r="A2" s="21">
        <v>1</v>
      </c>
      <c r="B2" s="22" t="s">
        <v>22</v>
      </c>
      <c r="C2" s="23" t="s">
        <v>23</v>
      </c>
      <c r="D2" s="23" t="s">
        <v>24</v>
      </c>
      <c r="E2" s="23" t="s">
        <v>25</v>
      </c>
      <c r="F2" s="23" t="s">
        <v>26</v>
      </c>
      <c r="G2" s="23" t="s">
        <v>27</v>
      </c>
      <c r="H2" s="23" t="s">
        <v>28</v>
      </c>
      <c r="I2" s="23" t="s">
        <v>29</v>
      </c>
      <c r="J2" s="23" t="s">
        <v>30</v>
      </c>
      <c r="K2" s="23"/>
      <c r="L2" s="24">
        <v>2</v>
      </c>
      <c r="M2" s="24">
        <v>0.5</v>
      </c>
      <c r="N2" s="25">
        <f t="shared" ref="N2:N65" si="0">MAX(ROUND(M2*1.2/0.25,0)*0.25,0.25)</f>
        <v>0.5</v>
      </c>
      <c r="O2" s="23" t="s">
        <v>31</v>
      </c>
      <c r="P2" s="23" t="s">
        <v>32</v>
      </c>
      <c r="Q2" s="23" t="s">
        <v>33</v>
      </c>
      <c r="R2" s="23" t="s">
        <v>34</v>
      </c>
      <c r="S2" s="23" t="s">
        <v>35</v>
      </c>
      <c r="T2" s="23" t="s">
        <v>36</v>
      </c>
      <c r="U2" s="23" t="s">
        <v>37</v>
      </c>
      <c r="V2" s="23"/>
    </row>
    <row r="3" spans="1:22" ht="34.5" customHeight="1" x14ac:dyDescent="0.25">
      <c r="A3" s="26">
        <v>1</v>
      </c>
      <c r="B3" s="27" t="s">
        <v>22</v>
      </c>
      <c r="C3" s="28" t="s">
        <v>23</v>
      </c>
      <c r="D3" s="28" t="s">
        <v>24</v>
      </c>
      <c r="E3" s="28" t="s">
        <v>25</v>
      </c>
      <c r="F3" s="28" t="s">
        <v>38</v>
      </c>
      <c r="G3" s="28" t="s">
        <v>39</v>
      </c>
      <c r="H3" s="28" t="s">
        <v>40</v>
      </c>
      <c r="I3" s="28" t="s">
        <v>41</v>
      </c>
      <c r="J3" s="28" t="s">
        <v>30</v>
      </c>
      <c r="K3" s="28" t="s">
        <v>42</v>
      </c>
      <c r="L3" s="29">
        <v>2</v>
      </c>
      <c r="M3" s="29">
        <v>0.5</v>
      </c>
      <c r="N3" s="25">
        <f t="shared" si="0"/>
        <v>0.5</v>
      </c>
      <c r="O3" s="28" t="s">
        <v>43</v>
      </c>
      <c r="P3" s="28" t="s">
        <v>44</v>
      </c>
      <c r="Q3" s="28" t="s">
        <v>33</v>
      </c>
      <c r="R3" s="28" t="s">
        <v>34</v>
      </c>
      <c r="S3" s="28" t="s">
        <v>35</v>
      </c>
      <c r="T3" s="28" t="s">
        <v>36</v>
      </c>
      <c r="U3" s="28" t="s">
        <v>45</v>
      </c>
      <c r="V3" s="28"/>
    </row>
    <row r="4" spans="1:22" ht="34.5" customHeight="1" x14ac:dyDescent="0.25">
      <c r="A4" s="26">
        <v>1</v>
      </c>
      <c r="B4" s="27" t="s">
        <v>22</v>
      </c>
      <c r="C4" s="28" t="s">
        <v>23</v>
      </c>
      <c r="D4" s="28" t="s">
        <v>24</v>
      </c>
      <c r="E4" s="28" t="s">
        <v>25</v>
      </c>
      <c r="F4" s="28" t="s">
        <v>46</v>
      </c>
      <c r="G4" s="28" t="s">
        <v>47</v>
      </c>
      <c r="H4" s="28" t="s">
        <v>48</v>
      </c>
      <c r="I4" s="28" t="s">
        <v>49</v>
      </c>
      <c r="J4" s="28" t="s">
        <v>30</v>
      </c>
      <c r="K4" s="28"/>
      <c r="L4" s="29">
        <v>1</v>
      </c>
      <c r="M4" s="29">
        <v>0.25</v>
      </c>
      <c r="N4" s="25">
        <f t="shared" si="0"/>
        <v>0.25</v>
      </c>
      <c r="O4" s="28" t="s">
        <v>50</v>
      </c>
      <c r="P4" s="28" t="s">
        <v>51</v>
      </c>
      <c r="Q4" s="28" t="s">
        <v>33</v>
      </c>
      <c r="R4" s="28" t="s">
        <v>34</v>
      </c>
      <c r="S4" s="28" t="s">
        <v>35</v>
      </c>
      <c r="T4" s="28" t="s">
        <v>36</v>
      </c>
      <c r="U4" s="28" t="s">
        <v>52</v>
      </c>
      <c r="V4" s="28"/>
    </row>
    <row r="5" spans="1:22" ht="34.5" customHeight="1" x14ac:dyDescent="0.25">
      <c r="A5" s="26">
        <v>1</v>
      </c>
      <c r="B5" s="27" t="s">
        <v>22</v>
      </c>
      <c r="C5" s="28" t="s">
        <v>23</v>
      </c>
      <c r="D5" s="28" t="s">
        <v>24</v>
      </c>
      <c r="E5" s="28" t="s">
        <v>25</v>
      </c>
      <c r="F5" s="28" t="s">
        <v>53</v>
      </c>
      <c r="G5" s="28" t="s">
        <v>54</v>
      </c>
      <c r="H5" s="28" t="s">
        <v>55</v>
      </c>
      <c r="I5" s="28" t="s">
        <v>56</v>
      </c>
      <c r="J5" s="28" t="s">
        <v>30</v>
      </c>
      <c r="K5" s="28" t="s">
        <v>57</v>
      </c>
      <c r="L5" s="29">
        <v>2</v>
      </c>
      <c r="M5" s="29">
        <v>0.5</v>
      </c>
      <c r="N5" s="25">
        <f t="shared" si="0"/>
        <v>0.5</v>
      </c>
      <c r="O5" s="28" t="s">
        <v>58</v>
      </c>
      <c r="P5" s="28" t="s">
        <v>59</v>
      </c>
      <c r="Q5" s="28" t="s">
        <v>60</v>
      </c>
      <c r="R5" s="28" t="s">
        <v>34</v>
      </c>
      <c r="S5" s="28" t="s">
        <v>61</v>
      </c>
      <c r="T5" s="28" t="s">
        <v>62</v>
      </c>
      <c r="U5" s="28" t="s">
        <v>63</v>
      </c>
      <c r="V5" s="28"/>
    </row>
    <row r="6" spans="1:22" ht="34.5" customHeight="1" x14ac:dyDescent="0.25">
      <c r="A6" s="26">
        <v>1</v>
      </c>
      <c r="B6" s="27" t="s">
        <v>22</v>
      </c>
      <c r="C6" s="28" t="s">
        <v>23</v>
      </c>
      <c r="D6" s="28" t="s">
        <v>24</v>
      </c>
      <c r="E6" s="28" t="s">
        <v>25</v>
      </c>
      <c r="F6" s="28" t="s">
        <v>64</v>
      </c>
      <c r="G6" s="28" t="s">
        <v>65</v>
      </c>
      <c r="H6" s="28" t="s">
        <v>66</v>
      </c>
      <c r="I6" s="28" t="s">
        <v>67</v>
      </c>
      <c r="J6" s="28" t="s">
        <v>30</v>
      </c>
      <c r="K6" s="28" t="s">
        <v>68</v>
      </c>
      <c r="L6" s="29">
        <v>2</v>
      </c>
      <c r="M6" s="29">
        <v>0.5</v>
      </c>
      <c r="N6" s="25">
        <f t="shared" si="0"/>
        <v>0.5</v>
      </c>
      <c r="O6" s="28" t="s">
        <v>69</v>
      </c>
      <c r="P6" s="28" t="s">
        <v>70</v>
      </c>
      <c r="Q6" s="28" t="s">
        <v>60</v>
      </c>
      <c r="R6" s="28" t="s">
        <v>34</v>
      </c>
      <c r="S6" s="28" t="s">
        <v>61</v>
      </c>
      <c r="T6" s="28" t="s">
        <v>62</v>
      </c>
      <c r="U6" s="28" t="s">
        <v>71</v>
      </c>
      <c r="V6" s="28"/>
    </row>
    <row r="7" spans="1:22" ht="34.5" customHeight="1" x14ac:dyDescent="0.25">
      <c r="A7" s="26">
        <v>1</v>
      </c>
      <c r="B7" s="27" t="s">
        <v>22</v>
      </c>
      <c r="C7" s="28" t="s">
        <v>23</v>
      </c>
      <c r="D7" s="28" t="s">
        <v>24</v>
      </c>
      <c r="E7" s="28" t="s">
        <v>25</v>
      </c>
      <c r="F7" s="28" t="s">
        <v>72</v>
      </c>
      <c r="G7" s="28" t="s">
        <v>73</v>
      </c>
      <c r="H7" s="28" t="s">
        <v>74</v>
      </c>
      <c r="I7" s="28" t="s">
        <v>75</v>
      </c>
      <c r="J7" s="28" t="s">
        <v>30</v>
      </c>
      <c r="K7" s="28" t="s">
        <v>76</v>
      </c>
      <c r="L7" s="29">
        <v>1</v>
      </c>
      <c r="M7" s="29">
        <v>0.25</v>
      </c>
      <c r="N7" s="25">
        <f t="shared" si="0"/>
        <v>0.25</v>
      </c>
      <c r="O7" s="28" t="s">
        <v>77</v>
      </c>
      <c r="P7" s="28" t="s">
        <v>78</v>
      </c>
      <c r="Q7" s="28" t="s">
        <v>60</v>
      </c>
      <c r="R7" s="28" t="s">
        <v>34</v>
      </c>
      <c r="S7" s="28" t="s">
        <v>61</v>
      </c>
      <c r="T7" s="28" t="s">
        <v>62</v>
      </c>
      <c r="U7" s="28" t="s">
        <v>79</v>
      </c>
      <c r="V7" s="28"/>
    </row>
    <row r="8" spans="1:22" ht="34.5" customHeight="1" x14ac:dyDescent="0.25">
      <c r="A8" s="26">
        <v>1</v>
      </c>
      <c r="B8" s="27" t="s">
        <v>22</v>
      </c>
      <c r="C8" s="28" t="s">
        <v>23</v>
      </c>
      <c r="D8" s="28" t="s">
        <v>24</v>
      </c>
      <c r="E8" s="28" t="s">
        <v>25</v>
      </c>
      <c r="F8" s="28" t="s">
        <v>80</v>
      </c>
      <c r="G8" s="28" t="s">
        <v>81</v>
      </c>
      <c r="H8" s="28" t="s">
        <v>82</v>
      </c>
      <c r="I8" s="28" t="s">
        <v>83</v>
      </c>
      <c r="J8" s="28" t="s">
        <v>30</v>
      </c>
      <c r="K8" s="28" t="s">
        <v>84</v>
      </c>
      <c r="L8" s="29">
        <v>4</v>
      </c>
      <c r="M8" s="29">
        <v>1</v>
      </c>
      <c r="N8" s="25">
        <f t="shared" si="0"/>
        <v>1.25</v>
      </c>
      <c r="O8" s="28" t="s">
        <v>85</v>
      </c>
      <c r="P8" s="28" t="s">
        <v>86</v>
      </c>
      <c r="Q8" s="28" t="s">
        <v>33</v>
      </c>
      <c r="R8" s="28" t="s">
        <v>34</v>
      </c>
      <c r="S8" s="28" t="s">
        <v>35</v>
      </c>
      <c r="T8" s="28" t="s">
        <v>36</v>
      </c>
      <c r="U8" s="28" t="s">
        <v>87</v>
      </c>
      <c r="V8" s="28"/>
    </row>
    <row r="9" spans="1:22" ht="34.5" customHeight="1" x14ac:dyDescent="0.25">
      <c r="A9" s="26">
        <v>1</v>
      </c>
      <c r="B9" s="27" t="s">
        <v>22</v>
      </c>
      <c r="C9" s="28" t="s">
        <v>23</v>
      </c>
      <c r="D9" s="28" t="s">
        <v>24</v>
      </c>
      <c r="E9" s="28" t="s">
        <v>25</v>
      </c>
      <c r="F9" s="28" t="s">
        <v>88</v>
      </c>
      <c r="G9" s="28" t="s">
        <v>89</v>
      </c>
      <c r="H9" s="28" t="s">
        <v>90</v>
      </c>
      <c r="I9" s="28" t="s">
        <v>91</v>
      </c>
      <c r="J9" s="28" t="s">
        <v>30</v>
      </c>
      <c r="K9" s="28"/>
      <c r="L9" s="29">
        <v>4</v>
      </c>
      <c r="M9" s="29">
        <v>1.5</v>
      </c>
      <c r="N9" s="25">
        <f t="shared" si="0"/>
        <v>1.75</v>
      </c>
      <c r="O9" s="28" t="s">
        <v>92</v>
      </c>
      <c r="P9" s="28" t="s">
        <v>93</v>
      </c>
      <c r="Q9" s="28" t="s">
        <v>33</v>
      </c>
      <c r="R9" s="28" t="s">
        <v>34</v>
      </c>
      <c r="S9" s="28" t="s">
        <v>35</v>
      </c>
      <c r="T9" s="28" t="s">
        <v>36</v>
      </c>
      <c r="U9" s="28" t="s">
        <v>94</v>
      </c>
      <c r="V9" s="28"/>
    </row>
    <row r="10" spans="1:22" ht="34.5" customHeight="1" x14ac:dyDescent="0.25">
      <c r="A10" s="26">
        <v>1</v>
      </c>
      <c r="B10" s="27" t="s">
        <v>22</v>
      </c>
      <c r="C10" s="28" t="s">
        <v>23</v>
      </c>
      <c r="D10" s="28" t="s">
        <v>24</v>
      </c>
      <c r="E10" s="28" t="s">
        <v>25</v>
      </c>
      <c r="F10" s="28" t="s">
        <v>95</v>
      </c>
      <c r="G10" s="28" t="s">
        <v>96</v>
      </c>
      <c r="H10" s="28" t="s">
        <v>97</v>
      </c>
      <c r="I10" s="28" t="s">
        <v>98</v>
      </c>
      <c r="J10" s="28" t="s">
        <v>30</v>
      </c>
      <c r="K10" s="28" t="s">
        <v>99</v>
      </c>
      <c r="L10" s="29">
        <v>2</v>
      </c>
      <c r="M10" s="29">
        <v>0.5</v>
      </c>
      <c r="N10" s="25">
        <f t="shared" si="0"/>
        <v>0.5</v>
      </c>
      <c r="O10" s="28" t="s">
        <v>100</v>
      </c>
      <c r="P10" s="28" t="s">
        <v>101</v>
      </c>
      <c r="Q10" s="28" t="s">
        <v>33</v>
      </c>
      <c r="R10" s="28" t="s">
        <v>34</v>
      </c>
      <c r="S10" s="28" t="s">
        <v>35</v>
      </c>
      <c r="T10" s="28" t="s">
        <v>36</v>
      </c>
      <c r="U10" s="28" t="s">
        <v>102</v>
      </c>
      <c r="V10" s="28"/>
    </row>
    <row r="11" spans="1:22" ht="34.5" customHeight="1" x14ac:dyDescent="0.25">
      <c r="A11" s="26">
        <v>1</v>
      </c>
      <c r="B11" s="27" t="s">
        <v>22</v>
      </c>
      <c r="C11" s="28" t="s">
        <v>23</v>
      </c>
      <c r="D11" s="28" t="s">
        <v>24</v>
      </c>
      <c r="E11" s="28" t="s">
        <v>25</v>
      </c>
      <c r="F11" s="28" t="s">
        <v>103</v>
      </c>
      <c r="G11" s="28" t="s">
        <v>104</v>
      </c>
      <c r="H11" s="28" t="s">
        <v>105</v>
      </c>
      <c r="I11" s="28" t="s">
        <v>106</v>
      </c>
      <c r="J11" s="28" t="s">
        <v>30</v>
      </c>
      <c r="K11" s="28" t="s">
        <v>107</v>
      </c>
      <c r="L11" s="29">
        <v>4</v>
      </c>
      <c r="M11" s="29">
        <v>1.5</v>
      </c>
      <c r="N11" s="25">
        <f t="shared" si="0"/>
        <v>1.75</v>
      </c>
      <c r="O11" s="28" t="s">
        <v>108</v>
      </c>
      <c r="P11" s="28" t="s">
        <v>109</v>
      </c>
      <c r="Q11" s="28" t="s">
        <v>33</v>
      </c>
      <c r="R11" s="28" t="s">
        <v>34</v>
      </c>
      <c r="S11" s="28" t="s">
        <v>35</v>
      </c>
      <c r="T11" s="28" t="s">
        <v>36</v>
      </c>
      <c r="U11" s="28" t="s">
        <v>110</v>
      </c>
      <c r="V11" s="28" t="s">
        <v>111</v>
      </c>
    </row>
    <row r="12" spans="1:22" ht="34.5" customHeight="1" x14ac:dyDescent="0.25">
      <c r="A12" s="26">
        <v>1</v>
      </c>
      <c r="B12" s="27" t="s">
        <v>22</v>
      </c>
      <c r="C12" s="28" t="s">
        <v>23</v>
      </c>
      <c r="D12" s="28" t="s">
        <v>24</v>
      </c>
      <c r="E12" s="28" t="s">
        <v>25</v>
      </c>
      <c r="F12" s="28" t="s">
        <v>112</v>
      </c>
      <c r="G12" s="28" t="s">
        <v>113</v>
      </c>
      <c r="H12" s="28" t="s">
        <v>114</v>
      </c>
      <c r="I12" s="28" t="s">
        <v>115</v>
      </c>
      <c r="J12" s="28" t="s">
        <v>116</v>
      </c>
      <c r="K12" s="28"/>
      <c r="L12" s="29">
        <v>4</v>
      </c>
      <c r="M12" s="29">
        <v>1</v>
      </c>
      <c r="N12" s="25">
        <f t="shared" si="0"/>
        <v>1.25</v>
      </c>
      <c r="O12" s="28" t="s">
        <v>117</v>
      </c>
      <c r="P12" s="28" t="s">
        <v>118</v>
      </c>
      <c r="Q12" s="28" t="s">
        <v>33</v>
      </c>
      <c r="R12" s="28" t="s">
        <v>34</v>
      </c>
      <c r="S12" s="28" t="s">
        <v>35</v>
      </c>
      <c r="T12" s="28" t="s">
        <v>36</v>
      </c>
      <c r="U12" s="28" t="s">
        <v>119</v>
      </c>
      <c r="V12" s="28"/>
    </row>
    <row r="13" spans="1:22" ht="34.5" customHeight="1" x14ac:dyDescent="0.25">
      <c r="A13" s="26">
        <v>1</v>
      </c>
      <c r="B13" s="27" t="s">
        <v>22</v>
      </c>
      <c r="C13" s="28" t="s">
        <v>23</v>
      </c>
      <c r="D13" s="28" t="s">
        <v>24</v>
      </c>
      <c r="E13" s="28" t="s">
        <v>25</v>
      </c>
      <c r="F13" s="28" t="s">
        <v>120</v>
      </c>
      <c r="G13" s="28" t="s">
        <v>121</v>
      </c>
      <c r="H13" s="28" t="s">
        <v>122</v>
      </c>
      <c r="I13" s="28" t="s">
        <v>123</v>
      </c>
      <c r="J13" s="28" t="s">
        <v>116</v>
      </c>
      <c r="K13" s="28"/>
      <c r="L13" s="29">
        <v>2</v>
      </c>
      <c r="M13" s="29">
        <v>0.5</v>
      </c>
      <c r="N13" s="25">
        <f t="shared" si="0"/>
        <v>0.5</v>
      </c>
      <c r="O13" s="28" t="s">
        <v>124</v>
      </c>
      <c r="P13" s="28" t="s">
        <v>125</v>
      </c>
      <c r="Q13" s="28" t="s">
        <v>33</v>
      </c>
      <c r="R13" s="28" t="s">
        <v>34</v>
      </c>
      <c r="S13" s="28" t="s">
        <v>35</v>
      </c>
      <c r="T13" s="28" t="s">
        <v>36</v>
      </c>
      <c r="U13" s="28" t="s">
        <v>126</v>
      </c>
      <c r="V13" s="28"/>
    </row>
    <row r="14" spans="1:22" ht="34.5" customHeight="1" x14ac:dyDescent="0.25">
      <c r="A14" s="26">
        <v>1</v>
      </c>
      <c r="B14" s="27" t="s">
        <v>22</v>
      </c>
      <c r="C14" s="28" t="s">
        <v>23</v>
      </c>
      <c r="D14" s="28" t="s">
        <v>24</v>
      </c>
      <c r="E14" s="28" t="s">
        <v>25</v>
      </c>
      <c r="F14" s="28" t="s">
        <v>127</v>
      </c>
      <c r="G14" s="28" t="s">
        <v>128</v>
      </c>
      <c r="H14" s="28" t="s">
        <v>129</v>
      </c>
      <c r="I14" s="28" t="s">
        <v>130</v>
      </c>
      <c r="J14" s="28" t="s">
        <v>116</v>
      </c>
      <c r="K14" s="28"/>
      <c r="L14" s="29">
        <v>2</v>
      </c>
      <c r="M14" s="29">
        <v>0.5</v>
      </c>
      <c r="N14" s="25">
        <f t="shared" si="0"/>
        <v>0.5</v>
      </c>
      <c r="O14" s="28" t="s">
        <v>131</v>
      </c>
      <c r="P14" s="28" t="s">
        <v>132</v>
      </c>
      <c r="Q14" s="28" t="s">
        <v>33</v>
      </c>
      <c r="R14" s="28" t="s">
        <v>34</v>
      </c>
      <c r="S14" s="28" t="s">
        <v>35</v>
      </c>
      <c r="T14" s="28" t="s">
        <v>36</v>
      </c>
      <c r="U14" s="28" t="s">
        <v>133</v>
      </c>
      <c r="V14" s="28"/>
    </row>
    <row r="15" spans="1:22" ht="34.5" customHeight="1" x14ac:dyDescent="0.25">
      <c r="A15" s="26">
        <v>1</v>
      </c>
      <c r="B15" s="27" t="s">
        <v>22</v>
      </c>
      <c r="C15" s="28" t="s">
        <v>23</v>
      </c>
      <c r="D15" s="28" t="s">
        <v>24</v>
      </c>
      <c r="E15" s="28" t="s">
        <v>25</v>
      </c>
      <c r="F15" s="28" t="s">
        <v>134</v>
      </c>
      <c r="G15" s="28" t="s">
        <v>135</v>
      </c>
      <c r="H15" s="28" t="s">
        <v>136</v>
      </c>
      <c r="I15" s="28" t="s">
        <v>137</v>
      </c>
      <c r="J15" s="28" t="s">
        <v>116</v>
      </c>
      <c r="K15" s="28" t="s">
        <v>138</v>
      </c>
      <c r="L15" s="29">
        <v>3</v>
      </c>
      <c r="M15" s="29">
        <v>1</v>
      </c>
      <c r="N15" s="25">
        <f t="shared" si="0"/>
        <v>1.25</v>
      </c>
      <c r="O15" s="28" t="s">
        <v>139</v>
      </c>
      <c r="P15" s="28" t="s">
        <v>140</v>
      </c>
      <c r="Q15" s="28" t="s">
        <v>33</v>
      </c>
      <c r="R15" s="28" t="s">
        <v>34</v>
      </c>
      <c r="S15" s="28" t="s">
        <v>35</v>
      </c>
      <c r="T15" s="28" t="s">
        <v>36</v>
      </c>
      <c r="U15" s="28" t="s">
        <v>141</v>
      </c>
      <c r="V15" s="28"/>
    </row>
    <row r="16" spans="1:22" ht="34.5" customHeight="1" x14ac:dyDescent="0.25">
      <c r="A16" s="26">
        <v>1</v>
      </c>
      <c r="B16" s="27" t="s">
        <v>22</v>
      </c>
      <c r="C16" s="28" t="s">
        <v>23</v>
      </c>
      <c r="D16" s="28" t="s">
        <v>24</v>
      </c>
      <c r="E16" s="28" t="s">
        <v>25</v>
      </c>
      <c r="F16" s="28" t="s">
        <v>142</v>
      </c>
      <c r="G16" s="28" t="s">
        <v>143</v>
      </c>
      <c r="H16" s="28" t="s">
        <v>144</v>
      </c>
      <c r="I16" s="28" t="s">
        <v>145</v>
      </c>
      <c r="J16" s="28" t="s">
        <v>116</v>
      </c>
      <c r="K16" s="28" t="s">
        <v>146</v>
      </c>
      <c r="L16" s="29">
        <v>2</v>
      </c>
      <c r="M16" s="29">
        <v>0.5</v>
      </c>
      <c r="N16" s="25">
        <f t="shared" si="0"/>
        <v>0.5</v>
      </c>
      <c r="O16" s="28" t="s">
        <v>147</v>
      </c>
      <c r="P16" s="28" t="s">
        <v>148</v>
      </c>
      <c r="Q16" s="28" t="s">
        <v>33</v>
      </c>
      <c r="R16" s="28" t="s">
        <v>34</v>
      </c>
      <c r="S16" s="28" t="s">
        <v>35</v>
      </c>
      <c r="T16" s="28" t="s">
        <v>36</v>
      </c>
      <c r="U16" s="28" t="s">
        <v>149</v>
      </c>
      <c r="V16" s="28"/>
    </row>
    <row r="17" spans="1:22" ht="34.5" customHeight="1" x14ac:dyDescent="0.25">
      <c r="A17" s="26">
        <v>1</v>
      </c>
      <c r="B17" s="27" t="s">
        <v>22</v>
      </c>
      <c r="C17" s="28" t="s">
        <v>23</v>
      </c>
      <c r="D17" s="28" t="s">
        <v>24</v>
      </c>
      <c r="E17" s="28" t="s">
        <v>25</v>
      </c>
      <c r="F17" s="28" t="s">
        <v>150</v>
      </c>
      <c r="G17" s="28" t="s">
        <v>151</v>
      </c>
      <c r="H17" s="28" t="s">
        <v>152</v>
      </c>
      <c r="I17" s="28" t="s">
        <v>153</v>
      </c>
      <c r="J17" s="28" t="s">
        <v>116</v>
      </c>
      <c r="K17" s="28" t="s">
        <v>146</v>
      </c>
      <c r="L17" s="29">
        <v>2</v>
      </c>
      <c r="M17" s="29">
        <v>0.5</v>
      </c>
      <c r="N17" s="25">
        <f t="shared" si="0"/>
        <v>0.5</v>
      </c>
      <c r="O17" s="28" t="s">
        <v>154</v>
      </c>
      <c r="P17" s="28" t="s">
        <v>155</v>
      </c>
      <c r="Q17" s="28" t="s">
        <v>33</v>
      </c>
      <c r="R17" s="28" t="s">
        <v>34</v>
      </c>
      <c r="S17" s="28" t="s">
        <v>35</v>
      </c>
      <c r="T17" s="28" t="s">
        <v>36</v>
      </c>
      <c r="U17" s="28" t="s">
        <v>156</v>
      </c>
      <c r="V17" s="28"/>
    </row>
    <row r="18" spans="1:22" ht="34.5" customHeight="1" x14ac:dyDescent="0.25">
      <c r="A18" s="26">
        <v>1</v>
      </c>
      <c r="B18" s="27" t="s">
        <v>22</v>
      </c>
      <c r="C18" s="28" t="s">
        <v>23</v>
      </c>
      <c r="D18" s="28" t="s">
        <v>24</v>
      </c>
      <c r="E18" s="28" t="s">
        <v>25</v>
      </c>
      <c r="F18" s="28" t="s">
        <v>157</v>
      </c>
      <c r="G18" s="28" t="s">
        <v>158</v>
      </c>
      <c r="H18" s="28" t="s">
        <v>159</v>
      </c>
      <c r="I18" s="28" t="s">
        <v>160</v>
      </c>
      <c r="J18" s="28" t="s">
        <v>161</v>
      </c>
      <c r="K18" s="28" t="s">
        <v>162</v>
      </c>
      <c r="L18" s="29">
        <v>3</v>
      </c>
      <c r="M18" s="29">
        <v>1</v>
      </c>
      <c r="N18" s="25">
        <f t="shared" si="0"/>
        <v>1.25</v>
      </c>
      <c r="O18" s="28" t="s">
        <v>163</v>
      </c>
      <c r="P18" s="28" t="s">
        <v>164</v>
      </c>
      <c r="Q18" s="28" t="s">
        <v>33</v>
      </c>
      <c r="R18" s="28" t="s">
        <v>34</v>
      </c>
      <c r="S18" s="28" t="s">
        <v>35</v>
      </c>
      <c r="T18" s="28" t="s">
        <v>36</v>
      </c>
      <c r="U18" s="28" t="s">
        <v>165</v>
      </c>
      <c r="V18" s="28"/>
    </row>
    <row r="19" spans="1:22" ht="34.5" customHeight="1" x14ac:dyDescent="0.25">
      <c r="A19" s="26">
        <v>1</v>
      </c>
      <c r="B19" s="27" t="s">
        <v>22</v>
      </c>
      <c r="C19" s="28" t="s">
        <v>23</v>
      </c>
      <c r="D19" s="28" t="s">
        <v>24</v>
      </c>
      <c r="E19" s="28" t="s">
        <v>25</v>
      </c>
      <c r="F19" s="28" t="s">
        <v>166</v>
      </c>
      <c r="G19" s="28" t="s">
        <v>167</v>
      </c>
      <c r="H19" s="28" t="s">
        <v>168</v>
      </c>
      <c r="I19" s="28" t="s">
        <v>169</v>
      </c>
      <c r="J19" s="28" t="s">
        <v>161</v>
      </c>
      <c r="K19" s="28" t="s">
        <v>170</v>
      </c>
      <c r="L19" s="29">
        <v>3</v>
      </c>
      <c r="M19" s="29">
        <v>1</v>
      </c>
      <c r="N19" s="25">
        <f t="shared" si="0"/>
        <v>1.25</v>
      </c>
      <c r="O19" s="28" t="s">
        <v>171</v>
      </c>
      <c r="P19" s="28" t="s">
        <v>172</v>
      </c>
      <c r="Q19" s="28" t="s">
        <v>33</v>
      </c>
      <c r="R19" s="28" t="s">
        <v>34</v>
      </c>
      <c r="S19" s="28" t="s">
        <v>35</v>
      </c>
      <c r="T19" s="28" t="s">
        <v>36</v>
      </c>
      <c r="U19" s="28" t="s">
        <v>173</v>
      </c>
      <c r="V19" s="28"/>
    </row>
    <row r="20" spans="1:22" ht="34.5" customHeight="1" x14ac:dyDescent="0.25">
      <c r="A20" s="26">
        <v>2</v>
      </c>
      <c r="B20" s="27" t="s">
        <v>174</v>
      </c>
      <c r="C20" s="28" t="s">
        <v>175</v>
      </c>
      <c r="D20" s="28" t="s">
        <v>24</v>
      </c>
      <c r="E20" s="28" t="s">
        <v>25</v>
      </c>
      <c r="F20" s="28" t="s">
        <v>26</v>
      </c>
      <c r="G20" s="28" t="s">
        <v>176</v>
      </c>
      <c r="H20" s="28" t="s">
        <v>177</v>
      </c>
      <c r="I20" s="28" t="s">
        <v>178</v>
      </c>
      <c r="J20" s="28" t="s">
        <v>30</v>
      </c>
      <c r="K20" s="28"/>
      <c r="L20" s="29">
        <v>3</v>
      </c>
      <c r="M20" s="29">
        <v>0.75</v>
      </c>
      <c r="N20" s="25">
        <f t="shared" si="0"/>
        <v>1</v>
      </c>
      <c r="O20" s="28" t="s">
        <v>179</v>
      </c>
      <c r="P20" s="28" t="s">
        <v>180</v>
      </c>
      <c r="Q20" s="28" t="s">
        <v>60</v>
      </c>
      <c r="R20" s="28" t="s">
        <v>34</v>
      </c>
      <c r="S20" s="28" t="s">
        <v>181</v>
      </c>
      <c r="T20" s="28" t="s">
        <v>182</v>
      </c>
      <c r="U20" s="28" t="s">
        <v>183</v>
      </c>
      <c r="V20" s="28"/>
    </row>
    <row r="21" spans="1:22" ht="34.5" customHeight="1" x14ac:dyDescent="0.25">
      <c r="A21" s="26">
        <v>2</v>
      </c>
      <c r="B21" s="27" t="s">
        <v>174</v>
      </c>
      <c r="C21" s="28" t="s">
        <v>175</v>
      </c>
      <c r="D21" s="28" t="s">
        <v>24</v>
      </c>
      <c r="E21" s="28" t="s">
        <v>25</v>
      </c>
      <c r="F21" s="28" t="s">
        <v>38</v>
      </c>
      <c r="G21" s="28" t="s">
        <v>184</v>
      </c>
      <c r="H21" s="28" t="s">
        <v>185</v>
      </c>
      <c r="I21" s="28" t="s">
        <v>186</v>
      </c>
      <c r="J21" s="28" t="s">
        <v>30</v>
      </c>
      <c r="K21" s="28" t="s">
        <v>187</v>
      </c>
      <c r="L21" s="29">
        <v>2</v>
      </c>
      <c r="M21" s="29">
        <v>0.5</v>
      </c>
      <c r="N21" s="25">
        <f t="shared" si="0"/>
        <v>0.5</v>
      </c>
      <c r="O21" s="28" t="s">
        <v>188</v>
      </c>
      <c r="P21" s="28" t="s">
        <v>189</v>
      </c>
      <c r="Q21" s="28" t="s">
        <v>60</v>
      </c>
      <c r="R21" s="28" t="s">
        <v>34</v>
      </c>
      <c r="S21" s="28" t="s">
        <v>181</v>
      </c>
      <c r="T21" s="28" t="s">
        <v>182</v>
      </c>
      <c r="U21" s="28" t="s">
        <v>190</v>
      </c>
      <c r="V21" s="28"/>
    </row>
    <row r="22" spans="1:22" ht="34.5" customHeight="1" x14ac:dyDescent="0.25">
      <c r="A22" s="26">
        <v>2</v>
      </c>
      <c r="B22" s="27" t="s">
        <v>174</v>
      </c>
      <c r="C22" s="28" t="s">
        <v>175</v>
      </c>
      <c r="D22" s="28" t="s">
        <v>24</v>
      </c>
      <c r="E22" s="28" t="s">
        <v>25</v>
      </c>
      <c r="F22" s="28" t="s">
        <v>46</v>
      </c>
      <c r="G22" s="28" t="s">
        <v>191</v>
      </c>
      <c r="H22" s="28" t="s">
        <v>192</v>
      </c>
      <c r="I22" s="28" t="s">
        <v>193</v>
      </c>
      <c r="J22" s="28" t="s">
        <v>30</v>
      </c>
      <c r="K22" s="28" t="s">
        <v>187</v>
      </c>
      <c r="L22" s="29">
        <v>4</v>
      </c>
      <c r="M22" s="29">
        <v>1</v>
      </c>
      <c r="N22" s="25">
        <f t="shared" si="0"/>
        <v>1.25</v>
      </c>
      <c r="O22" s="28" t="s">
        <v>194</v>
      </c>
      <c r="P22" s="28" t="s">
        <v>195</v>
      </c>
      <c r="Q22" s="28" t="s">
        <v>60</v>
      </c>
      <c r="R22" s="28" t="s">
        <v>34</v>
      </c>
      <c r="S22" s="28" t="s">
        <v>181</v>
      </c>
      <c r="T22" s="28" t="s">
        <v>182</v>
      </c>
      <c r="U22" s="28" t="s">
        <v>196</v>
      </c>
      <c r="V22" s="28"/>
    </row>
    <row r="23" spans="1:22" ht="34.5" customHeight="1" x14ac:dyDescent="0.25">
      <c r="A23" s="26">
        <v>2</v>
      </c>
      <c r="B23" s="27" t="s">
        <v>174</v>
      </c>
      <c r="C23" s="28" t="s">
        <v>175</v>
      </c>
      <c r="D23" s="28" t="s">
        <v>24</v>
      </c>
      <c r="E23" s="28" t="s">
        <v>25</v>
      </c>
      <c r="F23" s="28" t="s">
        <v>53</v>
      </c>
      <c r="G23" s="28" t="s">
        <v>197</v>
      </c>
      <c r="H23" s="28" t="s">
        <v>198</v>
      </c>
      <c r="I23" s="28" t="s">
        <v>199</v>
      </c>
      <c r="J23" s="28" t="s">
        <v>30</v>
      </c>
      <c r="K23" s="28" t="s">
        <v>200</v>
      </c>
      <c r="L23" s="29">
        <v>2</v>
      </c>
      <c r="M23" s="29">
        <v>0.5</v>
      </c>
      <c r="N23" s="25">
        <f t="shared" si="0"/>
        <v>0.5</v>
      </c>
      <c r="O23" s="28" t="s">
        <v>201</v>
      </c>
      <c r="P23" s="28" t="s">
        <v>202</v>
      </c>
      <c r="Q23" s="28" t="s">
        <v>60</v>
      </c>
      <c r="R23" s="28" t="s">
        <v>34</v>
      </c>
      <c r="S23" s="28" t="s">
        <v>181</v>
      </c>
      <c r="T23" s="28" t="s">
        <v>182</v>
      </c>
      <c r="U23" s="28" t="s">
        <v>203</v>
      </c>
      <c r="V23" s="28" t="s">
        <v>204</v>
      </c>
    </row>
    <row r="24" spans="1:22" ht="34.5" customHeight="1" x14ac:dyDescent="0.25">
      <c r="A24" s="26">
        <v>2</v>
      </c>
      <c r="B24" s="27" t="s">
        <v>174</v>
      </c>
      <c r="C24" s="28" t="s">
        <v>175</v>
      </c>
      <c r="D24" s="28" t="s">
        <v>24</v>
      </c>
      <c r="E24" s="28" t="s">
        <v>25</v>
      </c>
      <c r="F24" s="28" t="s">
        <v>157</v>
      </c>
      <c r="G24" s="28" t="s">
        <v>205</v>
      </c>
      <c r="H24" s="28" t="s">
        <v>206</v>
      </c>
      <c r="I24" s="28" t="s">
        <v>207</v>
      </c>
      <c r="J24" s="28" t="s">
        <v>161</v>
      </c>
      <c r="K24" s="28" t="s">
        <v>208</v>
      </c>
      <c r="L24" s="29">
        <v>3</v>
      </c>
      <c r="M24" s="29">
        <v>0.75</v>
      </c>
      <c r="N24" s="25">
        <f t="shared" si="0"/>
        <v>1</v>
      </c>
      <c r="O24" s="28" t="s">
        <v>209</v>
      </c>
      <c r="P24" s="28" t="s">
        <v>210</v>
      </c>
      <c r="Q24" s="28" t="s">
        <v>60</v>
      </c>
      <c r="R24" s="28" t="s">
        <v>34</v>
      </c>
      <c r="S24" s="28" t="s">
        <v>181</v>
      </c>
      <c r="T24" s="28" t="s">
        <v>182</v>
      </c>
      <c r="U24" s="28" t="s">
        <v>211</v>
      </c>
      <c r="V24" s="28"/>
    </row>
    <row r="25" spans="1:22" ht="34.5" customHeight="1" x14ac:dyDescent="0.25">
      <c r="A25" s="26">
        <v>3</v>
      </c>
      <c r="B25" s="27" t="s">
        <v>212</v>
      </c>
      <c r="C25" s="28" t="s">
        <v>213</v>
      </c>
      <c r="D25" s="28" t="s">
        <v>24</v>
      </c>
      <c r="E25" s="28" t="s">
        <v>214</v>
      </c>
      <c r="F25" s="28" t="s">
        <v>26</v>
      </c>
      <c r="G25" s="28" t="s">
        <v>215</v>
      </c>
      <c r="H25" s="28" t="s">
        <v>216</v>
      </c>
      <c r="I25" s="28" t="s">
        <v>217</v>
      </c>
      <c r="J25" s="28" t="s">
        <v>30</v>
      </c>
      <c r="K25" s="28"/>
      <c r="L25" s="29">
        <v>3</v>
      </c>
      <c r="M25" s="29">
        <v>1</v>
      </c>
      <c r="N25" s="25">
        <f t="shared" si="0"/>
        <v>1.25</v>
      </c>
      <c r="O25" s="28" t="s">
        <v>218</v>
      </c>
      <c r="P25" s="28" t="s">
        <v>219</v>
      </c>
      <c r="Q25" s="28" t="s">
        <v>33</v>
      </c>
      <c r="R25" s="28" t="s">
        <v>34</v>
      </c>
      <c r="S25" s="28" t="s">
        <v>35</v>
      </c>
      <c r="T25" s="28" t="s">
        <v>220</v>
      </c>
      <c r="U25" s="28" t="s">
        <v>221</v>
      </c>
      <c r="V25" s="28"/>
    </row>
    <row r="26" spans="1:22" ht="34.5" customHeight="1" x14ac:dyDescent="0.25">
      <c r="A26" s="26">
        <v>3</v>
      </c>
      <c r="B26" s="27" t="s">
        <v>212</v>
      </c>
      <c r="C26" s="28" t="s">
        <v>213</v>
      </c>
      <c r="D26" s="28" t="s">
        <v>24</v>
      </c>
      <c r="E26" s="28" t="s">
        <v>214</v>
      </c>
      <c r="F26" s="28" t="s">
        <v>38</v>
      </c>
      <c r="G26" s="28" t="s">
        <v>222</v>
      </c>
      <c r="H26" s="28" t="s">
        <v>223</v>
      </c>
      <c r="I26" s="28" t="s">
        <v>224</v>
      </c>
      <c r="J26" s="28" t="s">
        <v>30</v>
      </c>
      <c r="K26" s="28"/>
      <c r="L26" s="29">
        <v>4</v>
      </c>
      <c r="M26" s="29">
        <v>1.5</v>
      </c>
      <c r="N26" s="25">
        <f t="shared" si="0"/>
        <v>1.75</v>
      </c>
      <c r="O26" s="28" t="s">
        <v>225</v>
      </c>
      <c r="P26" s="28" t="s">
        <v>226</v>
      </c>
      <c r="Q26" s="28" t="s">
        <v>33</v>
      </c>
      <c r="R26" s="28" t="s">
        <v>34</v>
      </c>
      <c r="S26" s="28" t="s">
        <v>35</v>
      </c>
      <c r="T26" s="28" t="s">
        <v>220</v>
      </c>
      <c r="U26" s="28" t="s">
        <v>227</v>
      </c>
      <c r="V26" s="28"/>
    </row>
    <row r="27" spans="1:22" ht="34.5" customHeight="1" x14ac:dyDescent="0.25">
      <c r="A27" s="26">
        <v>3</v>
      </c>
      <c r="B27" s="27" t="s">
        <v>212</v>
      </c>
      <c r="C27" s="28" t="s">
        <v>213</v>
      </c>
      <c r="D27" s="28" t="s">
        <v>24</v>
      </c>
      <c r="E27" s="28" t="s">
        <v>214</v>
      </c>
      <c r="F27" s="28" t="s">
        <v>46</v>
      </c>
      <c r="G27" s="28" t="s">
        <v>228</v>
      </c>
      <c r="H27" s="28" t="s">
        <v>229</v>
      </c>
      <c r="I27" s="28" t="s">
        <v>230</v>
      </c>
      <c r="J27" s="28" t="s">
        <v>30</v>
      </c>
      <c r="K27" s="28"/>
      <c r="L27" s="29">
        <v>4</v>
      </c>
      <c r="M27" s="29">
        <v>1.5</v>
      </c>
      <c r="N27" s="25">
        <f t="shared" si="0"/>
        <v>1.75</v>
      </c>
      <c r="O27" s="28" t="s">
        <v>231</v>
      </c>
      <c r="P27" s="28" t="s">
        <v>232</v>
      </c>
      <c r="Q27" s="28" t="s">
        <v>33</v>
      </c>
      <c r="R27" s="28" t="s">
        <v>34</v>
      </c>
      <c r="S27" s="28" t="s">
        <v>35</v>
      </c>
      <c r="T27" s="28" t="s">
        <v>220</v>
      </c>
      <c r="U27" s="28" t="s">
        <v>233</v>
      </c>
      <c r="V27" s="28"/>
    </row>
    <row r="28" spans="1:22" ht="34.5" customHeight="1" x14ac:dyDescent="0.25">
      <c r="A28" s="26">
        <v>3</v>
      </c>
      <c r="B28" s="27" t="s">
        <v>212</v>
      </c>
      <c r="C28" s="28" t="s">
        <v>213</v>
      </c>
      <c r="D28" s="28" t="s">
        <v>24</v>
      </c>
      <c r="E28" s="28" t="s">
        <v>214</v>
      </c>
      <c r="F28" s="28" t="s">
        <v>53</v>
      </c>
      <c r="G28" s="28" t="s">
        <v>234</v>
      </c>
      <c r="H28" s="28" t="s">
        <v>235</v>
      </c>
      <c r="I28" s="28" t="s">
        <v>236</v>
      </c>
      <c r="J28" s="28" t="s">
        <v>30</v>
      </c>
      <c r="K28" s="28"/>
      <c r="L28" s="29">
        <v>2</v>
      </c>
      <c r="M28" s="29">
        <v>0.5</v>
      </c>
      <c r="N28" s="25">
        <f t="shared" si="0"/>
        <v>0.5</v>
      </c>
      <c r="O28" s="28" t="s">
        <v>237</v>
      </c>
      <c r="P28" s="28" t="s">
        <v>238</v>
      </c>
      <c r="Q28" s="28" t="s">
        <v>33</v>
      </c>
      <c r="R28" s="28" t="s">
        <v>34</v>
      </c>
      <c r="S28" s="28" t="s">
        <v>35</v>
      </c>
      <c r="T28" s="28" t="s">
        <v>220</v>
      </c>
      <c r="U28" s="28" t="s">
        <v>239</v>
      </c>
      <c r="V28" s="28"/>
    </row>
    <row r="29" spans="1:22" ht="34.5" customHeight="1" x14ac:dyDescent="0.25">
      <c r="A29" s="26">
        <v>3</v>
      </c>
      <c r="B29" s="27" t="s">
        <v>212</v>
      </c>
      <c r="C29" s="28" t="s">
        <v>213</v>
      </c>
      <c r="D29" s="28" t="s">
        <v>24</v>
      </c>
      <c r="E29" s="28" t="s">
        <v>214</v>
      </c>
      <c r="F29" s="28" t="s">
        <v>64</v>
      </c>
      <c r="G29" s="28" t="s">
        <v>240</v>
      </c>
      <c r="H29" s="28" t="s">
        <v>241</v>
      </c>
      <c r="I29" s="28" t="s">
        <v>242</v>
      </c>
      <c r="J29" s="28" t="s">
        <v>30</v>
      </c>
      <c r="K29" s="28" t="s">
        <v>243</v>
      </c>
      <c r="L29" s="29">
        <v>5</v>
      </c>
      <c r="M29" s="29">
        <v>1.5</v>
      </c>
      <c r="N29" s="25">
        <f t="shared" si="0"/>
        <v>1.75</v>
      </c>
      <c r="O29" s="28" t="s">
        <v>244</v>
      </c>
      <c r="P29" s="28" t="s">
        <v>245</v>
      </c>
      <c r="Q29" s="28" t="s">
        <v>33</v>
      </c>
      <c r="R29" s="28" t="s">
        <v>34</v>
      </c>
      <c r="S29" s="28" t="s">
        <v>35</v>
      </c>
      <c r="T29" s="28" t="s">
        <v>220</v>
      </c>
      <c r="U29" s="28" t="s">
        <v>246</v>
      </c>
      <c r="V29" s="28"/>
    </row>
    <row r="30" spans="1:22" ht="34.5" customHeight="1" x14ac:dyDescent="0.25">
      <c r="A30" s="26">
        <v>3</v>
      </c>
      <c r="B30" s="27" t="s">
        <v>212</v>
      </c>
      <c r="C30" s="28" t="s">
        <v>213</v>
      </c>
      <c r="D30" s="28" t="s">
        <v>24</v>
      </c>
      <c r="E30" s="28" t="s">
        <v>214</v>
      </c>
      <c r="F30" s="28" t="s">
        <v>72</v>
      </c>
      <c r="G30" s="28" t="s">
        <v>247</v>
      </c>
      <c r="H30" s="28" t="s">
        <v>248</v>
      </c>
      <c r="I30" s="28" t="s">
        <v>249</v>
      </c>
      <c r="J30" s="28" t="s">
        <v>30</v>
      </c>
      <c r="K30" s="28" t="s">
        <v>250</v>
      </c>
      <c r="L30" s="29">
        <v>3</v>
      </c>
      <c r="M30" s="29">
        <v>1</v>
      </c>
      <c r="N30" s="25">
        <f t="shared" si="0"/>
        <v>1.25</v>
      </c>
      <c r="O30" s="28" t="s">
        <v>251</v>
      </c>
      <c r="P30" s="28" t="s">
        <v>252</v>
      </c>
      <c r="Q30" s="28" t="s">
        <v>33</v>
      </c>
      <c r="R30" s="28" t="s">
        <v>34</v>
      </c>
      <c r="S30" s="28" t="s">
        <v>35</v>
      </c>
      <c r="T30" s="28" t="s">
        <v>220</v>
      </c>
      <c r="U30" s="28" t="s">
        <v>253</v>
      </c>
      <c r="V30" s="28"/>
    </row>
    <row r="31" spans="1:22" ht="34.5" customHeight="1" x14ac:dyDescent="0.25">
      <c r="A31" s="26">
        <v>3</v>
      </c>
      <c r="B31" s="27" t="s">
        <v>212</v>
      </c>
      <c r="C31" s="28" t="s">
        <v>213</v>
      </c>
      <c r="D31" s="28" t="s">
        <v>24</v>
      </c>
      <c r="E31" s="28" t="s">
        <v>214</v>
      </c>
      <c r="F31" s="28" t="s">
        <v>80</v>
      </c>
      <c r="G31" s="28" t="s">
        <v>254</v>
      </c>
      <c r="H31" s="28" t="s">
        <v>255</v>
      </c>
      <c r="I31" s="28" t="s">
        <v>256</v>
      </c>
      <c r="J31" s="28" t="s">
        <v>30</v>
      </c>
      <c r="K31" s="28" t="s">
        <v>257</v>
      </c>
      <c r="L31" s="29">
        <v>4</v>
      </c>
      <c r="M31" s="29">
        <v>1.5</v>
      </c>
      <c r="N31" s="25">
        <f t="shared" si="0"/>
        <v>1.75</v>
      </c>
      <c r="O31" s="28" t="s">
        <v>258</v>
      </c>
      <c r="P31" s="28" t="s">
        <v>259</v>
      </c>
      <c r="Q31" s="28" t="s">
        <v>33</v>
      </c>
      <c r="R31" s="28" t="s">
        <v>34</v>
      </c>
      <c r="S31" s="28" t="s">
        <v>35</v>
      </c>
      <c r="T31" s="28" t="s">
        <v>220</v>
      </c>
      <c r="U31" s="28" t="s">
        <v>260</v>
      </c>
      <c r="V31" s="28"/>
    </row>
    <row r="32" spans="1:22" ht="34.5" customHeight="1" x14ac:dyDescent="0.25">
      <c r="A32" s="26">
        <v>3</v>
      </c>
      <c r="B32" s="27" t="s">
        <v>212</v>
      </c>
      <c r="C32" s="28" t="s">
        <v>213</v>
      </c>
      <c r="D32" s="28" t="s">
        <v>24</v>
      </c>
      <c r="E32" s="28" t="s">
        <v>214</v>
      </c>
      <c r="F32" s="28" t="s">
        <v>88</v>
      </c>
      <c r="G32" s="28" t="s">
        <v>261</v>
      </c>
      <c r="H32" s="28" t="s">
        <v>262</v>
      </c>
      <c r="I32" s="28" t="s">
        <v>263</v>
      </c>
      <c r="J32" s="28" t="s">
        <v>30</v>
      </c>
      <c r="K32" s="28" t="s">
        <v>264</v>
      </c>
      <c r="L32" s="29">
        <v>3</v>
      </c>
      <c r="M32" s="29">
        <v>1</v>
      </c>
      <c r="N32" s="25">
        <f t="shared" si="0"/>
        <v>1.25</v>
      </c>
      <c r="O32" s="28" t="s">
        <v>265</v>
      </c>
      <c r="P32" s="28" t="s">
        <v>266</v>
      </c>
      <c r="Q32" s="28" t="s">
        <v>33</v>
      </c>
      <c r="R32" s="28" t="s">
        <v>34</v>
      </c>
      <c r="S32" s="28" t="s">
        <v>35</v>
      </c>
      <c r="T32" s="28" t="s">
        <v>220</v>
      </c>
      <c r="U32" s="28" t="s">
        <v>267</v>
      </c>
      <c r="V32" s="28" t="s">
        <v>268</v>
      </c>
    </row>
    <row r="33" spans="1:22" ht="34.5" customHeight="1" x14ac:dyDescent="0.25">
      <c r="A33" s="26">
        <v>3</v>
      </c>
      <c r="B33" s="27" t="s">
        <v>212</v>
      </c>
      <c r="C33" s="28" t="s">
        <v>213</v>
      </c>
      <c r="D33" s="28" t="s">
        <v>24</v>
      </c>
      <c r="E33" s="28" t="s">
        <v>214</v>
      </c>
      <c r="F33" s="28" t="s">
        <v>112</v>
      </c>
      <c r="G33" s="28" t="s">
        <v>269</v>
      </c>
      <c r="H33" s="28" t="s">
        <v>270</v>
      </c>
      <c r="I33" s="28" t="s">
        <v>271</v>
      </c>
      <c r="J33" s="28" t="s">
        <v>116</v>
      </c>
      <c r="K33" s="28"/>
      <c r="L33" s="29">
        <v>2</v>
      </c>
      <c r="M33" s="29">
        <v>0.5</v>
      </c>
      <c r="N33" s="25">
        <f t="shared" si="0"/>
        <v>0.5</v>
      </c>
      <c r="O33" s="28" t="s">
        <v>272</v>
      </c>
      <c r="P33" s="28" t="s">
        <v>273</v>
      </c>
      <c r="Q33" s="28" t="s">
        <v>33</v>
      </c>
      <c r="R33" s="28" t="s">
        <v>34</v>
      </c>
      <c r="S33" s="28" t="s">
        <v>35</v>
      </c>
      <c r="T33" s="28" t="s">
        <v>220</v>
      </c>
      <c r="U33" s="28" t="s">
        <v>274</v>
      </c>
      <c r="V33" s="28"/>
    </row>
    <row r="34" spans="1:22" ht="34.5" customHeight="1" x14ac:dyDescent="0.25">
      <c r="A34" s="26">
        <v>3</v>
      </c>
      <c r="B34" s="27" t="s">
        <v>212</v>
      </c>
      <c r="C34" s="28" t="s">
        <v>213</v>
      </c>
      <c r="D34" s="28" t="s">
        <v>24</v>
      </c>
      <c r="E34" s="28" t="s">
        <v>214</v>
      </c>
      <c r="F34" s="28" t="s">
        <v>120</v>
      </c>
      <c r="G34" s="28" t="s">
        <v>275</v>
      </c>
      <c r="H34" s="28" t="s">
        <v>276</v>
      </c>
      <c r="I34" s="28" t="s">
        <v>277</v>
      </c>
      <c r="J34" s="28" t="s">
        <v>116</v>
      </c>
      <c r="K34" s="28" t="s">
        <v>278</v>
      </c>
      <c r="L34" s="29">
        <v>3</v>
      </c>
      <c r="M34" s="29">
        <v>1</v>
      </c>
      <c r="N34" s="25">
        <f t="shared" si="0"/>
        <v>1.25</v>
      </c>
      <c r="O34" s="28" t="s">
        <v>279</v>
      </c>
      <c r="P34" s="28" t="s">
        <v>280</v>
      </c>
      <c r="Q34" s="28" t="s">
        <v>33</v>
      </c>
      <c r="R34" s="28" t="s">
        <v>34</v>
      </c>
      <c r="S34" s="28" t="s">
        <v>35</v>
      </c>
      <c r="T34" s="28" t="s">
        <v>220</v>
      </c>
      <c r="U34" s="28" t="s">
        <v>281</v>
      </c>
      <c r="V34" s="28"/>
    </row>
    <row r="35" spans="1:22" ht="34.5" customHeight="1" x14ac:dyDescent="0.25">
      <c r="A35" s="26">
        <v>3</v>
      </c>
      <c r="B35" s="27" t="s">
        <v>212</v>
      </c>
      <c r="C35" s="28" t="s">
        <v>213</v>
      </c>
      <c r="D35" s="28" t="s">
        <v>24</v>
      </c>
      <c r="E35" s="28" t="s">
        <v>214</v>
      </c>
      <c r="F35" s="28" t="s">
        <v>157</v>
      </c>
      <c r="G35" s="28" t="s">
        <v>282</v>
      </c>
      <c r="H35" s="28" t="s">
        <v>283</v>
      </c>
      <c r="I35" s="28" t="s">
        <v>284</v>
      </c>
      <c r="J35" s="28" t="s">
        <v>161</v>
      </c>
      <c r="K35" s="28" t="s">
        <v>285</v>
      </c>
      <c r="L35" s="29">
        <v>4</v>
      </c>
      <c r="M35" s="29">
        <v>1.5</v>
      </c>
      <c r="N35" s="25">
        <f t="shared" si="0"/>
        <v>1.75</v>
      </c>
      <c r="O35" s="28" t="s">
        <v>286</v>
      </c>
      <c r="P35" s="28" t="s">
        <v>287</v>
      </c>
      <c r="Q35" s="28" t="s">
        <v>33</v>
      </c>
      <c r="R35" s="28" t="s">
        <v>34</v>
      </c>
      <c r="S35" s="28" t="s">
        <v>35</v>
      </c>
      <c r="T35" s="28" t="s">
        <v>220</v>
      </c>
      <c r="U35" s="28" t="s">
        <v>288</v>
      </c>
      <c r="V35" s="28"/>
    </row>
    <row r="36" spans="1:22" ht="34.5" customHeight="1" x14ac:dyDescent="0.25">
      <c r="A36" s="26">
        <v>3</v>
      </c>
      <c r="B36" s="27" t="s">
        <v>212</v>
      </c>
      <c r="C36" s="28" t="s">
        <v>213</v>
      </c>
      <c r="D36" s="28" t="s">
        <v>24</v>
      </c>
      <c r="E36" s="28" t="s">
        <v>214</v>
      </c>
      <c r="F36" s="28" t="s">
        <v>166</v>
      </c>
      <c r="G36" s="28" t="s">
        <v>289</v>
      </c>
      <c r="H36" s="28" t="s">
        <v>290</v>
      </c>
      <c r="I36" s="28" t="s">
        <v>291</v>
      </c>
      <c r="J36" s="28" t="s">
        <v>161</v>
      </c>
      <c r="K36" s="28" t="s">
        <v>292</v>
      </c>
      <c r="L36" s="29">
        <v>3</v>
      </c>
      <c r="M36" s="29">
        <v>1</v>
      </c>
      <c r="N36" s="25">
        <f t="shared" si="0"/>
        <v>1.25</v>
      </c>
      <c r="O36" s="28" t="s">
        <v>293</v>
      </c>
      <c r="P36" s="28" t="s">
        <v>294</v>
      </c>
      <c r="Q36" s="28" t="s">
        <v>33</v>
      </c>
      <c r="R36" s="28" t="s">
        <v>34</v>
      </c>
      <c r="S36" s="28" t="s">
        <v>35</v>
      </c>
      <c r="T36" s="28" t="s">
        <v>220</v>
      </c>
      <c r="U36" s="28" t="s">
        <v>295</v>
      </c>
      <c r="V36" s="28"/>
    </row>
    <row r="37" spans="1:22" ht="34.5" customHeight="1" x14ac:dyDescent="0.25">
      <c r="A37" s="26">
        <v>4</v>
      </c>
      <c r="B37" s="27" t="s">
        <v>296</v>
      </c>
      <c r="C37" s="28" t="s">
        <v>297</v>
      </c>
      <c r="D37" s="28" t="s">
        <v>24</v>
      </c>
      <c r="E37" s="28" t="s">
        <v>214</v>
      </c>
      <c r="F37" s="28" t="s">
        <v>26</v>
      </c>
      <c r="G37" s="28" t="s">
        <v>298</v>
      </c>
      <c r="H37" s="28" t="s">
        <v>299</v>
      </c>
      <c r="I37" s="28" t="s">
        <v>300</v>
      </c>
      <c r="J37" s="28" t="s">
        <v>30</v>
      </c>
      <c r="K37" s="28"/>
      <c r="L37" s="28">
        <v>2</v>
      </c>
      <c r="M37" s="28">
        <v>0.5</v>
      </c>
      <c r="N37" s="25">
        <f t="shared" si="0"/>
        <v>0.5</v>
      </c>
      <c r="O37" s="28" t="s">
        <v>301</v>
      </c>
      <c r="P37" s="28" t="s">
        <v>302</v>
      </c>
      <c r="Q37" s="28" t="s">
        <v>33</v>
      </c>
      <c r="R37" s="28" t="s">
        <v>34</v>
      </c>
      <c r="S37" s="28" t="s">
        <v>35</v>
      </c>
      <c r="T37" s="28" t="s">
        <v>303</v>
      </c>
      <c r="U37" s="28" t="s">
        <v>304</v>
      </c>
      <c r="V37" s="28"/>
    </row>
    <row r="38" spans="1:22" ht="34.5" customHeight="1" x14ac:dyDescent="0.25">
      <c r="A38" s="26">
        <v>4</v>
      </c>
      <c r="B38" s="27" t="s">
        <v>296</v>
      </c>
      <c r="C38" s="28" t="s">
        <v>297</v>
      </c>
      <c r="D38" s="28" t="s">
        <v>24</v>
      </c>
      <c r="E38" s="28" t="s">
        <v>214</v>
      </c>
      <c r="F38" s="28" t="s">
        <v>38</v>
      </c>
      <c r="G38" s="28" t="s">
        <v>305</v>
      </c>
      <c r="H38" s="28" t="s">
        <v>306</v>
      </c>
      <c r="I38" s="28" t="s">
        <v>307</v>
      </c>
      <c r="J38" s="28" t="s">
        <v>30</v>
      </c>
      <c r="K38" s="28" t="s">
        <v>308</v>
      </c>
      <c r="L38" s="28">
        <v>4</v>
      </c>
      <c r="M38" s="28">
        <v>1</v>
      </c>
      <c r="N38" s="25">
        <f t="shared" si="0"/>
        <v>1.25</v>
      </c>
      <c r="O38" s="28" t="s">
        <v>309</v>
      </c>
      <c r="P38" s="28" t="s">
        <v>310</v>
      </c>
      <c r="Q38" s="28" t="s">
        <v>33</v>
      </c>
      <c r="R38" s="28" t="s">
        <v>34</v>
      </c>
      <c r="S38" s="28" t="s">
        <v>35</v>
      </c>
      <c r="T38" s="28" t="s">
        <v>311</v>
      </c>
      <c r="U38" s="28" t="s">
        <v>312</v>
      </c>
      <c r="V38" s="28"/>
    </row>
    <row r="39" spans="1:22" ht="34.5" customHeight="1" x14ac:dyDescent="0.25">
      <c r="A39" s="26">
        <v>4</v>
      </c>
      <c r="B39" s="27" t="s">
        <v>296</v>
      </c>
      <c r="C39" s="28" t="s">
        <v>297</v>
      </c>
      <c r="D39" s="28" t="s">
        <v>24</v>
      </c>
      <c r="E39" s="28" t="s">
        <v>214</v>
      </c>
      <c r="F39" s="28" t="s">
        <v>46</v>
      </c>
      <c r="G39" s="28" t="s">
        <v>313</v>
      </c>
      <c r="H39" s="28" t="s">
        <v>314</v>
      </c>
      <c r="I39" s="28" t="s">
        <v>315</v>
      </c>
      <c r="J39" s="28" t="s">
        <v>30</v>
      </c>
      <c r="K39" s="28" t="s">
        <v>316</v>
      </c>
      <c r="L39" s="28">
        <v>3</v>
      </c>
      <c r="M39" s="28">
        <v>0.75</v>
      </c>
      <c r="N39" s="25">
        <f t="shared" si="0"/>
        <v>1</v>
      </c>
      <c r="O39" s="28" t="s">
        <v>317</v>
      </c>
      <c r="P39" s="28" t="s">
        <v>318</v>
      </c>
      <c r="Q39" s="28" t="s">
        <v>33</v>
      </c>
      <c r="R39" s="28" t="s">
        <v>34</v>
      </c>
      <c r="S39" s="28" t="s">
        <v>35</v>
      </c>
      <c r="T39" s="28" t="s">
        <v>319</v>
      </c>
      <c r="U39" s="28" t="s">
        <v>320</v>
      </c>
      <c r="V39" s="28"/>
    </row>
    <row r="40" spans="1:22" ht="34.5" customHeight="1" x14ac:dyDescent="0.25">
      <c r="A40" s="26">
        <v>4</v>
      </c>
      <c r="B40" s="27" t="s">
        <v>296</v>
      </c>
      <c r="C40" s="28" t="s">
        <v>297</v>
      </c>
      <c r="D40" s="28" t="s">
        <v>24</v>
      </c>
      <c r="E40" s="28" t="s">
        <v>214</v>
      </c>
      <c r="F40" s="28" t="s">
        <v>53</v>
      </c>
      <c r="G40" s="28" t="s">
        <v>321</v>
      </c>
      <c r="H40" s="28" t="s">
        <v>322</v>
      </c>
      <c r="I40" s="28" t="s">
        <v>323</v>
      </c>
      <c r="J40" s="28" t="s">
        <v>30</v>
      </c>
      <c r="K40" s="28" t="s">
        <v>324</v>
      </c>
      <c r="L40" s="28">
        <v>4</v>
      </c>
      <c r="M40" s="28">
        <v>1</v>
      </c>
      <c r="N40" s="25">
        <f t="shared" si="0"/>
        <v>1.25</v>
      </c>
      <c r="O40" s="28" t="s">
        <v>325</v>
      </c>
      <c r="P40" s="28" t="s">
        <v>326</v>
      </c>
      <c r="Q40" s="28" t="s">
        <v>33</v>
      </c>
      <c r="R40" s="28" t="s">
        <v>34</v>
      </c>
      <c r="S40" s="28" t="s">
        <v>35</v>
      </c>
      <c r="T40" s="28" t="s">
        <v>327</v>
      </c>
      <c r="U40" s="28" t="s">
        <v>328</v>
      </c>
      <c r="V40" s="28"/>
    </row>
    <row r="41" spans="1:22" ht="34.5" customHeight="1" x14ac:dyDescent="0.25">
      <c r="A41" s="26">
        <v>4</v>
      </c>
      <c r="B41" s="27" t="s">
        <v>296</v>
      </c>
      <c r="C41" s="28" t="s">
        <v>297</v>
      </c>
      <c r="D41" s="28" t="s">
        <v>24</v>
      </c>
      <c r="E41" s="28" t="s">
        <v>214</v>
      </c>
      <c r="F41" s="28" t="s">
        <v>64</v>
      </c>
      <c r="G41" s="28" t="s">
        <v>329</v>
      </c>
      <c r="H41" s="28" t="s">
        <v>299</v>
      </c>
      <c r="I41" s="28" t="s">
        <v>330</v>
      </c>
      <c r="J41" s="28" t="s">
        <v>30</v>
      </c>
      <c r="K41" s="28" t="s">
        <v>331</v>
      </c>
      <c r="L41" s="28">
        <v>5</v>
      </c>
      <c r="M41" s="28">
        <v>1.5</v>
      </c>
      <c r="N41" s="25">
        <f t="shared" si="0"/>
        <v>1.75</v>
      </c>
      <c r="O41" s="28" t="s">
        <v>332</v>
      </c>
      <c r="P41" s="28" t="s">
        <v>333</v>
      </c>
      <c r="Q41" s="28" t="s">
        <v>33</v>
      </c>
      <c r="R41" s="28" t="s">
        <v>34</v>
      </c>
      <c r="S41" s="28" t="s">
        <v>35</v>
      </c>
      <c r="T41" s="28" t="s">
        <v>334</v>
      </c>
      <c r="U41" s="28" t="s">
        <v>335</v>
      </c>
      <c r="V41" s="28" t="s">
        <v>336</v>
      </c>
    </row>
    <row r="42" spans="1:22" ht="34.5" customHeight="1" x14ac:dyDescent="0.25">
      <c r="A42" s="26">
        <v>4</v>
      </c>
      <c r="B42" s="27" t="s">
        <v>296</v>
      </c>
      <c r="C42" s="28" t="s">
        <v>297</v>
      </c>
      <c r="D42" s="28" t="s">
        <v>24</v>
      </c>
      <c r="E42" s="28" t="s">
        <v>214</v>
      </c>
      <c r="F42" s="28" t="s">
        <v>112</v>
      </c>
      <c r="G42" s="28" t="s">
        <v>337</v>
      </c>
      <c r="H42" s="28" t="s">
        <v>338</v>
      </c>
      <c r="I42" s="28" t="s">
        <v>339</v>
      </c>
      <c r="J42" s="28" t="s">
        <v>116</v>
      </c>
      <c r="K42" s="28"/>
      <c r="L42" s="28">
        <v>3</v>
      </c>
      <c r="M42" s="28">
        <v>0.75</v>
      </c>
      <c r="N42" s="25">
        <f t="shared" si="0"/>
        <v>1</v>
      </c>
      <c r="O42" s="28" t="s">
        <v>340</v>
      </c>
      <c r="P42" s="28" t="s">
        <v>341</v>
      </c>
      <c r="Q42" s="28" t="s">
        <v>33</v>
      </c>
      <c r="R42" s="28" t="s">
        <v>34</v>
      </c>
      <c r="S42" s="28" t="s">
        <v>35</v>
      </c>
      <c r="T42" s="28" t="s">
        <v>311</v>
      </c>
      <c r="U42" s="28" t="s">
        <v>342</v>
      </c>
      <c r="V42" s="28"/>
    </row>
    <row r="43" spans="1:22" ht="34.5" customHeight="1" x14ac:dyDescent="0.25">
      <c r="A43" s="26">
        <v>4</v>
      </c>
      <c r="B43" s="27" t="s">
        <v>296</v>
      </c>
      <c r="C43" s="28" t="s">
        <v>297</v>
      </c>
      <c r="D43" s="28" t="s">
        <v>24</v>
      </c>
      <c r="E43" s="28" t="s">
        <v>214</v>
      </c>
      <c r="F43" s="28" t="s">
        <v>120</v>
      </c>
      <c r="G43" s="28" t="s">
        <v>343</v>
      </c>
      <c r="H43" s="28" t="s">
        <v>344</v>
      </c>
      <c r="I43" s="28" t="s">
        <v>345</v>
      </c>
      <c r="J43" s="28" t="s">
        <v>116</v>
      </c>
      <c r="K43" s="28" t="s">
        <v>346</v>
      </c>
      <c r="L43" s="28">
        <v>4</v>
      </c>
      <c r="M43" s="28">
        <v>1</v>
      </c>
      <c r="N43" s="25">
        <f t="shared" si="0"/>
        <v>1.25</v>
      </c>
      <c r="O43" s="28" t="s">
        <v>347</v>
      </c>
      <c r="P43" s="28" t="s">
        <v>348</v>
      </c>
      <c r="Q43" s="28" t="s">
        <v>33</v>
      </c>
      <c r="R43" s="28" t="s">
        <v>34</v>
      </c>
      <c r="S43" s="28" t="s">
        <v>35</v>
      </c>
      <c r="T43" s="28" t="s">
        <v>349</v>
      </c>
      <c r="U43" s="28" t="s">
        <v>350</v>
      </c>
      <c r="V43" s="28"/>
    </row>
    <row r="44" spans="1:22" ht="34.5" customHeight="1" x14ac:dyDescent="0.25">
      <c r="A44" s="26">
        <v>4</v>
      </c>
      <c r="B44" s="27" t="s">
        <v>296</v>
      </c>
      <c r="C44" s="28" t="s">
        <v>297</v>
      </c>
      <c r="D44" s="28" t="s">
        <v>24</v>
      </c>
      <c r="E44" s="28" t="s">
        <v>214</v>
      </c>
      <c r="F44" s="28" t="s">
        <v>157</v>
      </c>
      <c r="G44" s="28" t="s">
        <v>351</v>
      </c>
      <c r="H44" s="28" t="s">
        <v>352</v>
      </c>
      <c r="I44" s="28" t="s">
        <v>353</v>
      </c>
      <c r="J44" s="28" t="s">
        <v>161</v>
      </c>
      <c r="K44" s="28" t="s">
        <v>354</v>
      </c>
      <c r="L44" s="28">
        <v>4</v>
      </c>
      <c r="M44" s="28">
        <v>1</v>
      </c>
      <c r="N44" s="25">
        <f t="shared" si="0"/>
        <v>1.25</v>
      </c>
      <c r="O44" s="28" t="s">
        <v>355</v>
      </c>
      <c r="P44" s="28" t="s">
        <v>356</v>
      </c>
      <c r="Q44" s="28" t="s">
        <v>33</v>
      </c>
      <c r="R44" s="28" t="s">
        <v>34</v>
      </c>
      <c r="S44" s="28" t="s">
        <v>35</v>
      </c>
      <c r="T44" s="28" t="s">
        <v>311</v>
      </c>
      <c r="U44" s="28" t="s">
        <v>357</v>
      </c>
      <c r="V44" s="28"/>
    </row>
    <row r="45" spans="1:22" ht="34.5" customHeight="1" x14ac:dyDescent="0.25">
      <c r="A45" s="26">
        <v>4</v>
      </c>
      <c r="B45" s="27" t="s">
        <v>296</v>
      </c>
      <c r="C45" s="28" t="s">
        <v>297</v>
      </c>
      <c r="D45" s="28" t="s">
        <v>24</v>
      </c>
      <c r="E45" s="28" t="s">
        <v>214</v>
      </c>
      <c r="F45" s="28" t="s">
        <v>166</v>
      </c>
      <c r="G45" s="28" t="s">
        <v>358</v>
      </c>
      <c r="H45" s="28" t="s">
        <v>359</v>
      </c>
      <c r="I45" s="28" t="s">
        <v>360</v>
      </c>
      <c r="J45" s="28" t="s">
        <v>161</v>
      </c>
      <c r="K45" s="28" t="s">
        <v>361</v>
      </c>
      <c r="L45" s="28">
        <v>4</v>
      </c>
      <c r="M45" s="28">
        <v>1.5</v>
      </c>
      <c r="N45" s="25">
        <f t="shared" si="0"/>
        <v>1.75</v>
      </c>
      <c r="O45" s="28" t="s">
        <v>362</v>
      </c>
      <c r="P45" s="28" t="s">
        <v>363</v>
      </c>
      <c r="Q45" s="28" t="s">
        <v>33</v>
      </c>
      <c r="R45" s="28" t="s">
        <v>34</v>
      </c>
      <c r="S45" s="28" t="s">
        <v>35</v>
      </c>
      <c r="T45" s="28" t="s">
        <v>311</v>
      </c>
      <c r="U45" s="28" t="s">
        <v>364</v>
      </c>
      <c r="V45" s="28"/>
    </row>
    <row r="46" spans="1:22" ht="34.5" customHeight="1" x14ac:dyDescent="0.25">
      <c r="A46" s="26">
        <v>5</v>
      </c>
      <c r="B46" s="27" t="s">
        <v>365</v>
      </c>
      <c r="C46" s="28" t="s">
        <v>366</v>
      </c>
      <c r="D46" s="28" t="s">
        <v>24</v>
      </c>
      <c r="E46" s="28" t="s">
        <v>214</v>
      </c>
      <c r="F46" s="28" t="s">
        <v>26</v>
      </c>
      <c r="G46" s="28" t="s">
        <v>367</v>
      </c>
      <c r="H46" s="28" t="s">
        <v>368</v>
      </c>
      <c r="I46" s="28" t="s">
        <v>369</v>
      </c>
      <c r="J46" s="28" t="s">
        <v>30</v>
      </c>
      <c r="K46" s="28"/>
      <c r="L46" s="28">
        <v>3</v>
      </c>
      <c r="M46" s="28">
        <v>0.75</v>
      </c>
      <c r="N46" s="25">
        <f t="shared" si="0"/>
        <v>1</v>
      </c>
      <c r="O46" s="28" t="s">
        <v>370</v>
      </c>
      <c r="P46" s="28" t="s">
        <v>371</v>
      </c>
      <c r="Q46" s="28" t="s">
        <v>60</v>
      </c>
      <c r="R46" s="28" t="s">
        <v>34</v>
      </c>
      <c r="S46" s="28" t="s">
        <v>372</v>
      </c>
      <c r="T46" s="28" t="s">
        <v>373</v>
      </c>
      <c r="U46" s="28" t="s">
        <v>374</v>
      </c>
      <c r="V46" s="28"/>
    </row>
    <row r="47" spans="1:22" ht="34.5" customHeight="1" x14ac:dyDescent="0.25">
      <c r="A47" s="26">
        <v>5</v>
      </c>
      <c r="B47" s="27" t="s">
        <v>365</v>
      </c>
      <c r="C47" s="28" t="s">
        <v>366</v>
      </c>
      <c r="D47" s="28" t="s">
        <v>24</v>
      </c>
      <c r="E47" s="28" t="s">
        <v>214</v>
      </c>
      <c r="F47" s="28" t="s">
        <v>38</v>
      </c>
      <c r="G47" s="28" t="s">
        <v>375</v>
      </c>
      <c r="H47" s="28" t="s">
        <v>376</v>
      </c>
      <c r="I47" s="28" t="s">
        <v>377</v>
      </c>
      <c r="J47" s="28" t="s">
        <v>30</v>
      </c>
      <c r="K47" s="28" t="s">
        <v>378</v>
      </c>
      <c r="L47" s="28">
        <v>3</v>
      </c>
      <c r="M47" s="28">
        <v>0.75</v>
      </c>
      <c r="N47" s="25">
        <f t="shared" si="0"/>
        <v>1</v>
      </c>
      <c r="O47" s="28" t="s">
        <v>379</v>
      </c>
      <c r="P47" s="28" t="s">
        <v>380</v>
      </c>
      <c r="Q47" s="28" t="s">
        <v>60</v>
      </c>
      <c r="R47" s="28" t="s">
        <v>34</v>
      </c>
      <c r="S47" s="28" t="s">
        <v>372</v>
      </c>
      <c r="T47" s="28" t="s">
        <v>381</v>
      </c>
      <c r="U47" s="28" t="s">
        <v>382</v>
      </c>
      <c r="V47" s="28"/>
    </row>
    <row r="48" spans="1:22" ht="34.5" customHeight="1" x14ac:dyDescent="0.25">
      <c r="A48" s="26">
        <v>5</v>
      </c>
      <c r="B48" s="27" t="s">
        <v>365</v>
      </c>
      <c r="C48" s="28" t="s">
        <v>366</v>
      </c>
      <c r="D48" s="28" t="s">
        <v>24</v>
      </c>
      <c r="E48" s="28" t="s">
        <v>214</v>
      </c>
      <c r="F48" s="28" t="s">
        <v>46</v>
      </c>
      <c r="G48" s="28" t="s">
        <v>383</v>
      </c>
      <c r="H48" s="28" t="s">
        <v>384</v>
      </c>
      <c r="I48" s="28" t="s">
        <v>385</v>
      </c>
      <c r="J48" s="28" t="s">
        <v>30</v>
      </c>
      <c r="K48" s="28" t="s">
        <v>386</v>
      </c>
      <c r="L48" s="28">
        <v>2</v>
      </c>
      <c r="M48" s="28">
        <v>0.5</v>
      </c>
      <c r="N48" s="25">
        <f t="shared" si="0"/>
        <v>0.5</v>
      </c>
      <c r="O48" s="28" t="s">
        <v>387</v>
      </c>
      <c r="P48" s="28" t="s">
        <v>388</v>
      </c>
      <c r="Q48" s="28" t="s">
        <v>60</v>
      </c>
      <c r="R48" s="28" t="s">
        <v>34</v>
      </c>
      <c r="S48" s="28" t="s">
        <v>372</v>
      </c>
      <c r="T48" s="28" t="s">
        <v>389</v>
      </c>
      <c r="U48" s="28" t="s">
        <v>390</v>
      </c>
      <c r="V48" s="28" t="s">
        <v>391</v>
      </c>
    </row>
    <row r="49" spans="1:22" ht="34.5" customHeight="1" x14ac:dyDescent="0.25">
      <c r="A49" s="26">
        <v>5</v>
      </c>
      <c r="B49" s="27" t="s">
        <v>365</v>
      </c>
      <c r="C49" s="28" t="s">
        <v>366</v>
      </c>
      <c r="D49" s="28" t="s">
        <v>24</v>
      </c>
      <c r="E49" s="28" t="s">
        <v>214</v>
      </c>
      <c r="F49" s="28" t="s">
        <v>112</v>
      </c>
      <c r="G49" s="28" t="s">
        <v>392</v>
      </c>
      <c r="H49" s="28" t="s">
        <v>393</v>
      </c>
      <c r="I49" s="28" t="s">
        <v>394</v>
      </c>
      <c r="J49" s="28" t="s">
        <v>116</v>
      </c>
      <c r="K49" s="28"/>
      <c r="L49" s="28">
        <v>3</v>
      </c>
      <c r="M49" s="28">
        <v>0.75</v>
      </c>
      <c r="N49" s="25">
        <f t="shared" si="0"/>
        <v>1</v>
      </c>
      <c r="O49" s="28" t="s">
        <v>395</v>
      </c>
      <c r="P49" s="28" t="s">
        <v>396</v>
      </c>
      <c r="Q49" s="28" t="s">
        <v>60</v>
      </c>
      <c r="R49" s="28" t="s">
        <v>34</v>
      </c>
      <c r="S49" s="28" t="s">
        <v>372</v>
      </c>
      <c r="T49" s="28" t="s">
        <v>397</v>
      </c>
      <c r="U49" s="28" t="s">
        <v>398</v>
      </c>
      <c r="V49" s="28"/>
    </row>
    <row r="50" spans="1:22" ht="34.5" customHeight="1" x14ac:dyDescent="0.25">
      <c r="A50" s="26">
        <v>5</v>
      </c>
      <c r="B50" s="27" t="s">
        <v>365</v>
      </c>
      <c r="C50" s="28" t="s">
        <v>366</v>
      </c>
      <c r="D50" s="28" t="s">
        <v>24</v>
      </c>
      <c r="E50" s="28" t="s">
        <v>214</v>
      </c>
      <c r="F50" s="28" t="s">
        <v>120</v>
      </c>
      <c r="G50" s="28" t="s">
        <v>399</v>
      </c>
      <c r="H50" s="28" t="s">
        <v>400</v>
      </c>
      <c r="I50" s="28" t="s">
        <v>401</v>
      </c>
      <c r="J50" s="28" t="s">
        <v>116</v>
      </c>
      <c r="K50" s="28" t="s">
        <v>402</v>
      </c>
      <c r="L50" s="28">
        <v>2</v>
      </c>
      <c r="M50" s="28">
        <v>0.5</v>
      </c>
      <c r="N50" s="25">
        <f t="shared" si="0"/>
        <v>0.5</v>
      </c>
      <c r="O50" s="28" t="s">
        <v>403</v>
      </c>
      <c r="P50" s="28" t="s">
        <v>280</v>
      </c>
      <c r="Q50" s="28" t="s">
        <v>60</v>
      </c>
      <c r="R50" s="28" t="s">
        <v>34</v>
      </c>
      <c r="S50" s="28" t="s">
        <v>372</v>
      </c>
      <c r="T50" s="28" t="s">
        <v>404</v>
      </c>
      <c r="U50" s="28" t="s">
        <v>405</v>
      </c>
      <c r="V50" s="28"/>
    </row>
    <row r="51" spans="1:22" ht="34.5" customHeight="1" x14ac:dyDescent="0.25">
      <c r="A51" s="26">
        <v>5</v>
      </c>
      <c r="B51" s="27" t="s">
        <v>365</v>
      </c>
      <c r="C51" s="28" t="s">
        <v>366</v>
      </c>
      <c r="D51" s="28" t="s">
        <v>24</v>
      </c>
      <c r="E51" s="28" t="s">
        <v>214</v>
      </c>
      <c r="F51" s="28" t="s">
        <v>157</v>
      </c>
      <c r="G51" s="28" t="s">
        <v>406</v>
      </c>
      <c r="H51" s="28" t="s">
        <v>407</v>
      </c>
      <c r="I51" s="28" t="s">
        <v>408</v>
      </c>
      <c r="J51" s="28" t="s">
        <v>161</v>
      </c>
      <c r="K51" s="28" t="s">
        <v>409</v>
      </c>
      <c r="L51" s="28">
        <v>4</v>
      </c>
      <c r="M51" s="28">
        <v>1</v>
      </c>
      <c r="N51" s="25">
        <f t="shared" si="0"/>
        <v>1.25</v>
      </c>
      <c r="O51" s="28" t="s">
        <v>410</v>
      </c>
      <c r="P51" s="28" t="s">
        <v>356</v>
      </c>
      <c r="Q51" s="28" t="s">
        <v>60</v>
      </c>
      <c r="R51" s="28" t="s">
        <v>34</v>
      </c>
      <c r="S51" s="28" t="s">
        <v>372</v>
      </c>
      <c r="T51" s="28" t="s">
        <v>404</v>
      </c>
      <c r="U51" s="28" t="s">
        <v>411</v>
      </c>
      <c r="V51" s="28"/>
    </row>
    <row r="52" spans="1:22" ht="34.5" customHeight="1" x14ac:dyDescent="0.25">
      <c r="A52" s="26">
        <v>6</v>
      </c>
      <c r="B52" s="27" t="s">
        <v>412</v>
      </c>
      <c r="C52" s="28" t="s">
        <v>413</v>
      </c>
      <c r="D52" s="28" t="s">
        <v>24</v>
      </c>
      <c r="E52" s="28" t="s">
        <v>214</v>
      </c>
      <c r="F52" s="28" t="s">
        <v>26</v>
      </c>
      <c r="G52" s="28" t="s">
        <v>414</v>
      </c>
      <c r="H52" s="28" t="s">
        <v>415</v>
      </c>
      <c r="I52" s="28" t="s">
        <v>416</v>
      </c>
      <c r="J52" s="28" t="s">
        <v>30</v>
      </c>
      <c r="K52" s="28"/>
      <c r="L52" s="28">
        <v>3</v>
      </c>
      <c r="M52" s="28">
        <v>1</v>
      </c>
      <c r="N52" s="25">
        <f t="shared" si="0"/>
        <v>1.25</v>
      </c>
      <c r="O52" s="28" t="s">
        <v>417</v>
      </c>
      <c r="P52" s="28" t="s">
        <v>418</v>
      </c>
      <c r="Q52" s="28" t="s">
        <v>419</v>
      </c>
      <c r="R52" s="28" t="s">
        <v>420</v>
      </c>
      <c r="S52" s="28" t="s">
        <v>421</v>
      </c>
      <c r="T52" s="28" t="s">
        <v>422</v>
      </c>
      <c r="U52" s="28" t="s">
        <v>423</v>
      </c>
      <c r="V52" s="28"/>
    </row>
    <row r="53" spans="1:22" ht="34.5" customHeight="1" x14ac:dyDescent="0.25">
      <c r="A53" s="26">
        <v>6</v>
      </c>
      <c r="B53" s="27" t="s">
        <v>412</v>
      </c>
      <c r="C53" s="28" t="s">
        <v>413</v>
      </c>
      <c r="D53" s="28" t="s">
        <v>24</v>
      </c>
      <c r="E53" s="28" t="s">
        <v>214</v>
      </c>
      <c r="F53" s="28" t="s">
        <v>38</v>
      </c>
      <c r="G53" s="28" t="s">
        <v>424</v>
      </c>
      <c r="H53" s="28" t="s">
        <v>425</v>
      </c>
      <c r="I53" s="28" t="s">
        <v>426</v>
      </c>
      <c r="J53" s="28" t="s">
        <v>30</v>
      </c>
      <c r="K53" s="28"/>
      <c r="L53" s="28">
        <v>3</v>
      </c>
      <c r="M53" s="28">
        <v>1</v>
      </c>
      <c r="N53" s="25">
        <f t="shared" si="0"/>
        <v>1.25</v>
      </c>
      <c r="O53" s="28" t="s">
        <v>427</v>
      </c>
      <c r="P53" s="28" t="s">
        <v>428</v>
      </c>
      <c r="Q53" s="28" t="s">
        <v>429</v>
      </c>
      <c r="R53" s="28" t="s">
        <v>420</v>
      </c>
      <c r="S53" s="28" t="s">
        <v>421</v>
      </c>
      <c r="T53" s="28" t="s">
        <v>430</v>
      </c>
      <c r="U53" s="28" t="s">
        <v>431</v>
      </c>
      <c r="V53" s="28"/>
    </row>
    <row r="54" spans="1:22" ht="34.5" customHeight="1" x14ac:dyDescent="0.25">
      <c r="A54" s="26">
        <v>6</v>
      </c>
      <c r="B54" s="27" t="s">
        <v>412</v>
      </c>
      <c r="C54" s="28" t="s">
        <v>413</v>
      </c>
      <c r="D54" s="28" t="s">
        <v>24</v>
      </c>
      <c r="E54" s="28" t="s">
        <v>214</v>
      </c>
      <c r="F54" s="28" t="s">
        <v>112</v>
      </c>
      <c r="G54" s="28" t="s">
        <v>432</v>
      </c>
      <c r="H54" s="28" t="s">
        <v>433</v>
      </c>
      <c r="I54" s="28" t="s">
        <v>434</v>
      </c>
      <c r="J54" s="28" t="s">
        <v>116</v>
      </c>
      <c r="K54" s="28"/>
      <c r="L54" s="28">
        <v>4</v>
      </c>
      <c r="M54" s="28">
        <v>1.5</v>
      </c>
      <c r="N54" s="25">
        <f t="shared" si="0"/>
        <v>1.75</v>
      </c>
      <c r="O54" s="28" t="s">
        <v>435</v>
      </c>
      <c r="P54" s="28" t="s">
        <v>436</v>
      </c>
      <c r="Q54" s="28" t="s">
        <v>419</v>
      </c>
      <c r="R54" s="28" t="s">
        <v>437</v>
      </c>
      <c r="S54" s="28" t="s">
        <v>421</v>
      </c>
      <c r="T54" s="28" t="s">
        <v>438</v>
      </c>
      <c r="U54" s="28" t="s">
        <v>439</v>
      </c>
      <c r="V54" s="28"/>
    </row>
    <row r="55" spans="1:22" ht="34.5" customHeight="1" x14ac:dyDescent="0.25">
      <c r="A55" s="26">
        <v>6</v>
      </c>
      <c r="B55" s="27" t="s">
        <v>412</v>
      </c>
      <c r="C55" s="28" t="s">
        <v>413</v>
      </c>
      <c r="D55" s="28" t="s">
        <v>24</v>
      </c>
      <c r="E55" s="28" t="s">
        <v>214</v>
      </c>
      <c r="F55" s="28" t="s">
        <v>120</v>
      </c>
      <c r="G55" s="28" t="s">
        <v>440</v>
      </c>
      <c r="H55" s="28" t="s">
        <v>441</v>
      </c>
      <c r="I55" s="28" t="s">
        <v>442</v>
      </c>
      <c r="J55" s="28" t="s">
        <v>116</v>
      </c>
      <c r="K55" s="28" t="s">
        <v>443</v>
      </c>
      <c r="L55" s="28">
        <v>4</v>
      </c>
      <c r="M55" s="28">
        <v>1.5</v>
      </c>
      <c r="N55" s="25">
        <f t="shared" si="0"/>
        <v>1.75</v>
      </c>
      <c r="O55" s="28" t="s">
        <v>444</v>
      </c>
      <c r="P55" s="28" t="s">
        <v>280</v>
      </c>
      <c r="Q55" s="28" t="s">
        <v>419</v>
      </c>
      <c r="R55" s="28" t="s">
        <v>437</v>
      </c>
      <c r="S55" s="28" t="s">
        <v>421</v>
      </c>
      <c r="T55" s="28" t="s">
        <v>445</v>
      </c>
      <c r="U55" s="28" t="s">
        <v>446</v>
      </c>
      <c r="V55" s="28" t="s">
        <v>447</v>
      </c>
    </row>
    <row r="56" spans="1:22" ht="34.5" customHeight="1" x14ac:dyDescent="0.25">
      <c r="A56" s="26">
        <v>6</v>
      </c>
      <c r="B56" s="27" t="s">
        <v>412</v>
      </c>
      <c r="C56" s="28" t="s">
        <v>413</v>
      </c>
      <c r="D56" s="28" t="s">
        <v>24</v>
      </c>
      <c r="E56" s="28" t="s">
        <v>214</v>
      </c>
      <c r="F56" s="28" t="s">
        <v>127</v>
      </c>
      <c r="G56" s="28" t="s">
        <v>448</v>
      </c>
      <c r="H56" s="28" t="s">
        <v>449</v>
      </c>
      <c r="I56" s="28" t="s">
        <v>450</v>
      </c>
      <c r="J56" s="28" t="s">
        <v>116</v>
      </c>
      <c r="K56" s="28"/>
      <c r="L56" s="28">
        <v>2</v>
      </c>
      <c r="M56" s="28">
        <v>0.5</v>
      </c>
      <c r="N56" s="25">
        <f t="shared" si="0"/>
        <v>0.5</v>
      </c>
      <c r="O56" s="28" t="s">
        <v>451</v>
      </c>
      <c r="P56" s="28" t="s">
        <v>280</v>
      </c>
      <c r="Q56" s="28" t="s">
        <v>419</v>
      </c>
      <c r="R56" s="28" t="s">
        <v>437</v>
      </c>
      <c r="S56" s="28" t="s">
        <v>421</v>
      </c>
      <c r="T56" s="28" t="s">
        <v>452</v>
      </c>
      <c r="U56" s="28" t="s">
        <v>453</v>
      </c>
      <c r="V56" s="28"/>
    </row>
    <row r="57" spans="1:22" ht="34.5" customHeight="1" x14ac:dyDescent="0.25">
      <c r="A57" s="26">
        <v>6</v>
      </c>
      <c r="B57" s="27" t="s">
        <v>412</v>
      </c>
      <c r="C57" s="28" t="s">
        <v>413</v>
      </c>
      <c r="D57" s="28" t="s">
        <v>24</v>
      </c>
      <c r="E57" s="28" t="s">
        <v>214</v>
      </c>
      <c r="F57" s="28" t="s">
        <v>134</v>
      </c>
      <c r="G57" s="28" t="s">
        <v>454</v>
      </c>
      <c r="H57" s="28" t="s">
        <v>455</v>
      </c>
      <c r="I57" s="28" t="s">
        <v>456</v>
      </c>
      <c r="J57" s="28" t="s">
        <v>116</v>
      </c>
      <c r="K57" s="28" t="s">
        <v>457</v>
      </c>
      <c r="L57" s="28">
        <v>3</v>
      </c>
      <c r="M57" s="28">
        <v>1</v>
      </c>
      <c r="N57" s="25">
        <f t="shared" si="0"/>
        <v>1.25</v>
      </c>
      <c r="O57" s="28" t="s">
        <v>458</v>
      </c>
      <c r="P57" s="28" t="s">
        <v>280</v>
      </c>
      <c r="Q57" s="28" t="s">
        <v>419</v>
      </c>
      <c r="R57" s="28" t="s">
        <v>437</v>
      </c>
      <c r="S57" s="28" t="s">
        <v>459</v>
      </c>
      <c r="T57" s="28" t="s">
        <v>460</v>
      </c>
      <c r="U57" s="28" t="s">
        <v>461</v>
      </c>
      <c r="V57" s="28"/>
    </row>
    <row r="58" spans="1:22" ht="34.5" customHeight="1" x14ac:dyDescent="0.25">
      <c r="A58" s="26">
        <v>6</v>
      </c>
      <c r="B58" s="27" t="s">
        <v>412</v>
      </c>
      <c r="C58" s="28" t="s">
        <v>413</v>
      </c>
      <c r="D58" s="28" t="s">
        <v>24</v>
      </c>
      <c r="E58" s="28" t="s">
        <v>214</v>
      </c>
      <c r="F58" s="28" t="s">
        <v>142</v>
      </c>
      <c r="G58" s="28" t="s">
        <v>462</v>
      </c>
      <c r="H58" s="28" t="s">
        <v>463</v>
      </c>
      <c r="I58" s="28" t="s">
        <v>464</v>
      </c>
      <c r="J58" s="28" t="s">
        <v>116</v>
      </c>
      <c r="K58" s="28" t="s">
        <v>457</v>
      </c>
      <c r="L58" s="28">
        <v>1</v>
      </c>
      <c r="M58" s="28">
        <v>0.5</v>
      </c>
      <c r="N58" s="25">
        <f t="shared" si="0"/>
        <v>0.5</v>
      </c>
      <c r="O58" s="28" t="s">
        <v>465</v>
      </c>
      <c r="P58" s="28" t="s">
        <v>466</v>
      </c>
      <c r="Q58" s="28" t="s">
        <v>419</v>
      </c>
      <c r="R58" s="28" t="s">
        <v>467</v>
      </c>
      <c r="S58" s="28" t="s">
        <v>468</v>
      </c>
      <c r="T58" s="28" t="s">
        <v>469</v>
      </c>
      <c r="U58" s="28" t="s">
        <v>470</v>
      </c>
      <c r="V58" s="28"/>
    </row>
    <row r="59" spans="1:22" ht="34.5" customHeight="1" x14ac:dyDescent="0.25">
      <c r="A59" s="26">
        <v>6</v>
      </c>
      <c r="B59" s="27" t="s">
        <v>412</v>
      </c>
      <c r="C59" s="28" t="s">
        <v>413</v>
      </c>
      <c r="D59" s="28" t="s">
        <v>24</v>
      </c>
      <c r="E59" s="28" t="s">
        <v>214</v>
      </c>
      <c r="F59" s="28" t="s">
        <v>150</v>
      </c>
      <c r="G59" s="28" t="s">
        <v>471</v>
      </c>
      <c r="H59" s="28" t="s">
        <v>472</v>
      </c>
      <c r="I59" s="28" t="s">
        <v>473</v>
      </c>
      <c r="J59" s="28" t="s">
        <v>116</v>
      </c>
      <c r="K59" s="28" t="s">
        <v>457</v>
      </c>
      <c r="L59" s="28">
        <v>5</v>
      </c>
      <c r="M59" s="28">
        <v>1.5</v>
      </c>
      <c r="N59" s="25">
        <f t="shared" si="0"/>
        <v>1.75</v>
      </c>
      <c r="O59" s="28" t="s">
        <v>474</v>
      </c>
      <c r="P59" s="28" t="s">
        <v>280</v>
      </c>
      <c r="Q59" s="28" t="s">
        <v>429</v>
      </c>
      <c r="R59" s="28" t="s">
        <v>475</v>
      </c>
      <c r="S59" s="28" t="s">
        <v>421</v>
      </c>
      <c r="T59" s="28" t="s">
        <v>476</v>
      </c>
      <c r="U59" s="28" t="s">
        <v>477</v>
      </c>
      <c r="V59" s="28"/>
    </row>
    <row r="60" spans="1:22" ht="34.5" customHeight="1" x14ac:dyDescent="0.25">
      <c r="A60" s="26">
        <v>6</v>
      </c>
      <c r="B60" s="27" t="s">
        <v>412</v>
      </c>
      <c r="C60" s="28" t="s">
        <v>413</v>
      </c>
      <c r="D60" s="28" t="s">
        <v>24</v>
      </c>
      <c r="E60" s="28" t="s">
        <v>214</v>
      </c>
      <c r="F60" s="28" t="s">
        <v>478</v>
      </c>
      <c r="G60" s="28" t="s">
        <v>479</v>
      </c>
      <c r="H60" s="28" t="s">
        <v>480</v>
      </c>
      <c r="I60" s="28" t="s">
        <v>481</v>
      </c>
      <c r="J60" s="28" t="s">
        <v>116</v>
      </c>
      <c r="K60" s="28" t="s">
        <v>482</v>
      </c>
      <c r="L60" s="28">
        <v>3</v>
      </c>
      <c r="M60" s="28">
        <v>1</v>
      </c>
      <c r="N60" s="25">
        <f t="shared" si="0"/>
        <v>1.25</v>
      </c>
      <c r="O60" s="28" t="s">
        <v>483</v>
      </c>
      <c r="P60" s="28" t="s">
        <v>280</v>
      </c>
      <c r="Q60" s="28" t="s">
        <v>484</v>
      </c>
      <c r="R60" s="28" t="s">
        <v>475</v>
      </c>
      <c r="S60" s="28" t="s">
        <v>421</v>
      </c>
      <c r="T60" s="28" t="s">
        <v>485</v>
      </c>
      <c r="U60" s="28" t="s">
        <v>486</v>
      </c>
      <c r="V60" s="28"/>
    </row>
    <row r="61" spans="1:22" ht="34.5" customHeight="1" x14ac:dyDescent="0.25">
      <c r="A61" s="26">
        <v>6</v>
      </c>
      <c r="B61" s="27" t="s">
        <v>412</v>
      </c>
      <c r="C61" s="28" t="s">
        <v>413</v>
      </c>
      <c r="D61" s="28" t="s">
        <v>24</v>
      </c>
      <c r="E61" s="28" t="s">
        <v>214</v>
      </c>
      <c r="F61" s="28" t="s">
        <v>487</v>
      </c>
      <c r="G61" s="28" t="s">
        <v>488</v>
      </c>
      <c r="H61" s="28" t="s">
        <v>489</v>
      </c>
      <c r="I61" s="28" t="s">
        <v>490</v>
      </c>
      <c r="J61" s="28" t="s">
        <v>116</v>
      </c>
      <c r="K61" s="28" t="s">
        <v>491</v>
      </c>
      <c r="L61" s="28">
        <v>3</v>
      </c>
      <c r="M61" s="28">
        <v>1</v>
      </c>
      <c r="N61" s="25">
        <f t="shared" si="0"/>
        <v>1.25</v>
      </c>
      <c r="O61" s="28" t="s">
        <v>492</v>
      </c>
      <c r="P61" s="28" t="s">
        <v>280</v>
      </c>
      <c r="Q61" s="28" t="s">
        <v>419</v>
      </c>
      <c r="R61" s="28" t="s">
        <v>493</v>
      </c>
      <c r="S61" s="28" t="s">
        <v>494</v>
      </c>
      <c r="T61" s="28" t="s">
        <v>495</v>
      </c>
      <c r="U61" s="28" t="s">
        <v>496</v>
      </c>
      <c r="V61" s="28"/>
    </row>
    <row r="62" spans="1:22" ht="34.5" customHeight="1" x14ac:dyDescent="0.25">
      <c r="A62" s="26">
        <v>6</v>
      </c>
      <c r="B62" s="27" t="s">
        <v>412</v>
      </c>
      <c r="C62" s="28" t="s">
        <v>413</v>
      </c>
      <c r="D62" s="28" t="s">
        <v>24</v>
      </c>
      <c r="E62" s="28" t="s">
        <v>214</v>
      </c>
      <c r="F62" s="28" t="s">
        <v>497</v>
      </c>
      <c r="G62" s="28" t="s">
        <v>498</v>
      </c>
      <c r="H62" s="28" t="s">
        <v>499</v>
      </c>
      <c r="I62" s="28" t="s">
        <v>500</v>
      </c>
      <c r="J62" s="28" t="s">
        <v>116</v>
      </c>
      <c r="K62" s="28"/>
      <c r="L62" s="28">
        <v>2</v>
      </c>
      <c r="M62" s="28">
        <v>0.5</v>
      </c>
      <c r="N62" s="25">
        <f t="shared" si="0"/>
        <v>0.5</v>
      </c>
      <c r="O62" s="28" t="s">
        <v>501</v>
      </c>
      <c r="P62" s="28" t="s">
        <v>502</v>
      </c>
      <c r="Q62" s="28" t="s">
        <v>484</v>
      </c>
      <c r="R62" s="28" t="s">
        <v>503</v>
      </c>
      <c r="S62" s="28" t="s">
        <v>504</v>
      </c>
      <c r="T62" s="28" t="s">
        <v>505</v>
      </c>
      <c r="U62" s="28" t="s">
        <v>506</v>
      </c>
      <c r="V62" s="28"/>
    </row>
    <row r="63" spans="1:22" ht="34.5" customHeight="1" x14ac:dyDescent="0.25">
      <c r="A63" s="26">
        <v>6</v>
      </c>
      <c r="B63" s="27" t="s">
        <v>412</v>
      </c>
      <c r="C63" s="28" t="s">
        <v>413</v>
      </c>
      <c r="D63" s="28" t="s">
        <v>24</v>
      </c>
      <c r="E63" s="28" t="s">
        <v>214</v>
      </c>
      <c r="F63" s="28" t="s">
        <v>157</v>
      </c>
      <c r="G63" s="28" t="s">
        <v>507</v>
      </c>
      <c r="H63" s="28" t="s">
        <v>508</v>
      </c>
      <c r="I63" s="28" t="s">
        <v>509</v>
      </c>
      <c r="J63" s="28" t="s">
        <v>161</v>
      </c>
      <c r="K63" s="28"/>
      <c r="L63" s="28">
        <v>5</v>
      </c>
      <c r="M63" s="28">
        <v>1.5</v>
      </c>
      <c r="N63" s="25">
        <f t="shared" si="0"/>
        <v>1.75</v>
      </c>
      <c r="O63" s="28" t="s">
        <v>510</v>
      </c>
      <c r="P63" s="28" t="s">
        <v>511</v>
      </c>
      <c r="Q63" s="28" t="s">
        <v>429</v>
      </c>
      <c r="R63" s="28" t="s">
        <v>420</v>
      </c>
      <c r="S63" s="28" t="s">
        <v>421</v>
      </c>
      <c r="T63" s="28" t="s">
        <v>512</v>
      </c>
      <c r="U63" s="28" t="s">
        <v>513</v>
      </c>
      <c r="V63" s="28"/>
    </row>
    <row r="64" spans="1:22" ht="34.5" customHeight="1" x14ac:dyDescent="0.25">
      <c r="A64" s="26">
        <v>7</v>
      </c>
      <c r="B64" s="27" t="s">
        <v>514</v>
      </c>
      <c r="C64" s="28" t="s">
        <v>515</v>
      </c>
      <c r="D64" s="28" t="s">
        <v>24</v>
      </c>
      <c r="E64" s="28" t="s">
        <v>516</v>
      </c>
      <c r="F64" s="28" t="s">
        <v>26</v>
      </c>
      <c r="G64" s="28" t="s">
        <v>517</v>
      </c>
      <c r="H64" s="28" t="s">
        <v>518</v>
      </c>
      <c r="I64" s="28" t="s">
        <v>519</v>
      </c>
      <c r="J64" s="28" t="s">
        <v>30</v>
      </c>
      <c r="K64" s="28"/>
      <c r="L64" s="28">
        <v>1</v>
      </c>
      <c r="M64" s="28">
        <v>0.5</v>
      </c>
      <c r="N64" s="25">
        <f t="shared" si="0"/>
        <v>0.5</v>
      </c>
      <c r="O64" s="28" t="s">
        <v>520</v>
      </c>
      <c r="P64" s="28" t="s">
        <v>521</v>
      </c>
      <c r="Q64" s="28" t="s">
        <v>429</v>
      </c>
      <c r="R64" s="28" t="s">
        <v>522</v>
      </c>
      <c r="S64" s="28" t="s">
        <v>523</v>
      </c>
      <c r="T64" s="28" t="s">
        <v>524</v>
      </c>
      <c r="U64" s="28" t="s">
        <v>525</v>
      </c>
      <c r="V64" s="28"/>
    </row>
    <row r="65" spans="1:22" ht="34.5" customHeight="1" x14ac:dyDescent="0.25">
      <c r="A65" s="26">
        <v>7</v>
      </c>
      <c r="B65" s="27" t="s">
        <v>514</v>
      </c>
      <c r="C65" s="28" t="s">
        <v>515</v>
      </c>
      <c r="D65" s="28" t="s">
        <v>24</v>
      </c>
      <c r="E65" s="28" t="s">
        <v>526</v>
      </c>
      <c r="F65" s="28" t="s">
        <v>38</v>
      </c>
      <c r="G65" s="28" t="s">
        <v>527</v>
      </c>
      <c r="H65" s="28" t="s">
        <v>528</v>
      </c>
      <c r="I65" s="28" t="s">
        <v>529</v>
      </c>
      <c r="J65" s="28" t="s">
        <v>30</v>
      </c>
      <c r="K65" s="28"/>
      <c r="L65" s="28">
        <v>2</v>
      </c>
      <c r="M65" s="28">
        <v>0.5</v>
      </c>
      <c r="N65" s="25">
        <f t="shared" si="0"/>
        <v>0.5</v>
      </c>
      <c r="O65" s="28" t="s">
        <v>530</v>
      </c>
      <c r="P65" s="28" t="s">
        <v>428</v>
      </c>
      <c r="Q65" s="28" t="s">
        <v>429</v>
      </c>
      <c r="R65" s="28" t="s">
        <v>522</v>
      </c>
      <c r="S65" s="28" t="s">
        <v>531</v>
      </c>
      <c r="T65" s="28" t="s">
        <v>532</v>
      </c>
      <c r="U65" s="28" t="s">
        <v>533</v>
      </c>
      <c r="V65" s="28"/>
    </row>
    <row r="66" spans="1:22" ht="34.5" customHeight="1" x14ac:dyDescent="0.25">
      <c r="A66" s="26">
        <v>7</v>
      </c>
      <c r="B66" s="27" t="s">
        <v>514</v>
      </c>
      <c r="C66" s="28" t="s">
        <v>515</v>
      </c>
      <c r="D66" s="28" t="s">
        <v>24</v>
      </c>
      <c r="E66" s="28" t="s">
        <v>534</v>
      </c>
      <c r="F66" s="28" t="s">
        <v>46</v>
      </c>
      <c r="G66" s="28" t="s">
        <v>535</v>
      </c>
      <c r="H66" s="28" t="s">
        <v>536</v>
      </c>
      <c r="I66" s="28" t="s">
        <v>537</v>
      </c>
      <c r="J66" s="28" t="s">
        <v>30</v>
      </c>
      <c r="K66" s="28"/>
      <c r="L66" s="28">
        <v>2</v>
      </c>
      <c r="M66" s="28">
        <v>0.5</v>
      </c>
      <c r="N66" s="25">
        <f t="shared" ref="N66:N129" si="1">MAX(ROUND(M66*1.2/0.25,0)*0.25,0.25)</f>
        <v>0.5</v>
      </c>
      <c r="O66" s="28" t="s">
        <v>538</v>
      </c>
      <c r="P66" s="28" t="s">
        <v>539</v>
      </c>
      <c r="Q66" s="28" t="s">
        <v>540</v>
      </c>
      <c r="R66" s="28" t="s">
        <v>522</v>
      </c>
      <c r="S66" s="28" t="s">
        <v>541</v>
      </c>
      <c r="T66" s="28" t="s">
        <v>542</v>
      </c>
      <c r="U66" s="28" t="s">
        <v>543</v>
      </c>
      <c r="V66" s="28"/>
    </row>
    <row r="67" spans="1:22" ht="34.5" customHeight="1" x14ac:dyDescent="0.25">
      <c r="A67" s="26">
        <v>7</v>
      </c>
      <c r="B67" s="27" t="s">
        <v>514</v>
      </c>
      <c r="C67" s="28" t="s">
        <v>515</v>
      </c>
      <c r="D67" s="28" t="s">
        <v>24</v>
      </c>
      <c r="E67" s="28" t="s">
        <v>544</v>
      </c>
      <c r="F67" s="28" t="s">
        <v>112</v>
      </c>
      <c r="G67" s="28" t="s">
        <v>545</v>
      </c>
      <c r="H67" s="28" t="s">
        <v>546</v>
      </c>
      <c r="I67" s="28" t="s">
        <v>547</v>
      </c>
      <c r="J67" s="28" t="s">
        <v>116</v>
      </c>
      <c r="K67" s="28"/>
      <c r="L67" s="28">
        <v>3</v>
      </c>
      <c r="M67" s="28">
        <v>1</v>
      </c>
      <c r="N67" s="25">
        <f t="shared" si="1"/>
        <v>1.25</v>
      </c>
      <c r="O67" s="28" t="s">
        <v>548</v>
      </c>
      <c r="P67" s="28" t="s">
        <v>549</v>
      </c>
      <c r="Q67" s="28" t="s">
        <v>419</v>
      </c>
      <c r="R67" s="28" t="s">
        <v>475</v>
      </c>
      <c r="S67" s="28" t="s">
        <v>550</v>
      </c>
      <c r="T67" s="28" t="s">
        <v>551</v>
      </c>
      <c r="U67" s="28" t="s">
        <v>552</v>
      </c>
      <c r="V67" s="28"/>
    </row>
    <row r="68" spans="1:22" ht="34.5" customHeight="1" x14ac:dyDescent="0.25">
      <c r="A68" s="26">
        <v>7</v>
      </c>
      <c r="B68" s="27" t="s">
        <v>514</v>
      </c>
      <c r="C68" s="28" t="s">
        <v>515</v>
      </c>
      <c r="D68" s="28" t="s">
        <v>24</v>
      </c>
      <c r="E68" s="28" t="s">
        <v>553</v>
      </c>
      <c r="F68" s="28" t="s">
        <v>157</v>
      </c>
      <c r="G68" s="28" t="s">
        <v>554</v>
      </c>
      <c r="H68" s="28" t="s">
        <v>555</v>
      </c>
      <c r="I68" s="28" t="s">
        <v>556</v>
      </c>
      <c r="J68" s="28" t="s">
        <v>161</v>
      </c>
      <c r="K68" s="28"/>
      <c r="L68" s="28">
        <v>3</v>
      </c>
      <c r="M68" s="28">
        <v>1</v>
      </c>
      <c r="N68" s="25">
        <f t="shared" si="1"/>
        <v>1.25</v>
      </c>
      <c r="O68" s="28" t="s">
        <v>557</v>
      </c>
      <c r="P68" s="28" t="s">
        <v>558</v>
      </c>
      <c r="Q68" s="28" t="s">
        <v>429</v>
      </c>
      <c r="R68" s="28" t="s">
        <v>522</v>
      </c>
      <c r="S68" s="28" t="s">
        <v>559</v>
      </c>
      <c r="T68" s="28" t="s">
        <v>560</v>
      </c>
      <c r="U68" s="28" t="s">
        <v>561</v>
      </c>
      <c r="V68" s="28"/>
    </row>
    <row r="69" spans="1:22" ht="34.5" customHeight="1" x14ac:dyDescent="0.25">
      <c r="A69" s="26">
        <v>8</v>
      </c>
      <c r="B69" s="27" t="s">
        <v>562</v>
      </c>
      <c r="C69" s="28" t="s">
        <v>563</v>
      </c>
      <c r="D69" s="28" t="s">
        <v>24</v>
      </c>
      <c r="E69" s="28" t="s">
        <v>564</v>
      </c>
      <c r="F69" s="28" t="s">
        <v>38</v>
      </c>
      <c r="G69" s="28" t="s">
        <v>565</v>
      </c>
      <c r="H69" s="28" t="s">
        <v>566</v>
      </c>
      <c r="I69" s="28" t="s">
        <v>567</v>
      </c>
      <c r="J69" s="28" t="s">
        <v>30</v>
      </c>
      <c r="K69" s="28" t="s">
        <v>568</v>
      </c>
      <c r="L69" s="28">
        <v>1</v>
      </c>
      <c r="M69" s="28">
        <v>0.25</v>
      </c>
      <c r="N69" s="25">
        <f t="shared" si="1"/>
        <v>0.25</v>
      </c>
      <c r="O69" s="28" t="s">
        <v>569</v>
      </c>
      <c r="P69" s="28" t="s">
        <v>570</v>
      </c>
      <c r="Q69" s="28" t="s">
        <v>60</v>
      </c>
      <c r="R69" s="28" t="s">
        <v>34</v>
      </c>
      <c r="S69" s="28" t="s">
        <v>372</v>
      </c>
      <c r="T69" s="28" t="s">
        <v>571</v>
      </c>
      <c r="U69" s="28" t="s">
        <v>572</v>
      </c>
      <c r="V69" s="28"/>
    </row>
    <row r="70" spans="1:22" ht="34.5" customHeight="1" x14ac:dyDescent="0.25">
      <c r="A70" s="26">
        <v>8</v>
      </c>
      <c r="B70" s="27" t="s">
        <v>562</v>
      </c>
      <c r="C70" s="28" t="s">
        <v>563</v>
      </c>
      <c r="D70" s="28" t="s">
        <v>24</v>
      </c>
      <c r="E70" s="28" t="s">
        <v>564</v>
      </c>
      <c r="F70" s="28" t="s">
        <v>112</v>
      </c>
      <c r="G70" s="28" t="s">
        <v>573</v>
      </c>
      <c r="H70" s="28" t="s">
        <v>574</v>
      </c>
      <c r="I70" s="28" t="s">
        <v>575</v>
      </c>
      <c r="J70" s="28" t="s">
        <v>116</v>
      </c>
      <c r="K70" s="28"/>
      <c r="L70" s="28">
        <v>2</v>
      </c>
      <c r="M70" s="28">
        <v>0.5</v>
      </c>
      <c r="N70" s="25">
        <f t="shared" si="1"/>
        <v>0.5</v>
      </c>
      <c r="O70" s="28" t="s">
        <v>576</v>
      </c>
      <c r="P70" s="28" t="s">
        <v>577</v>
      </c>
      <c r="Q70" s="28" t="s">
        <v>60</v>
      </c>
      <c r="R70" s="28" t="s">
        <v>34</v>
      </c>
      <c r="S70" s="28" t="s">
        <v>372</v>
      </c>
      <c r="T70" s="28" t="s">
        <v>571</v>
      </c>
      <c r="U70" s="28" t="s">
        <v>578</v>
      </c>
      <c r="V70" s="28"/>
    </row>
    <row r="71" spans="1:22" ht="34.5" customHeight="1" x14ac:dyDescent="0.25">
      <c r="A71" s="26">
        <v>8</v>
      </c>
      <c r="B71" s="27" t="s">
        <v>562</v>
      </c>
      <c r="C71" s="28" t="s">
        <v>563</v>
      </c>
      <c r="D71" s="28" t="s">
        <v>24</v>
      </c>
      <c r="E71" s="28" t="s">
        <v>564</v>
      </c>
      <c r="F71" s="28" t="s">
        <v>157</v>
      </c>
      <c r="G71" s="28" t="s">
        <v>579</v>
      </c>
      <c r="H71" s="28" t="s">
        <v>580</v>
      </c>
      <c r="I71" s="28" t="s">
        <v>581</v>
      </c>
      <c r="J71" s="28" t="s">
        <v>161</v>
      </c>
      <c r="K71" s="28" t="s">
        <v>582</v>
      </c>
      <c r="L71" s="28">
        <v>3</v>
      </c>
      <c r="M71" s="28">
        <v>0.75</v>
      </c>
      <c r="N71" s="25">
        <f t="shared" si="1"/>
        <v>1</v>
      </c>
      <c r="O71" s="28" t="s">
        <v>583</v>
      </c>
      <c r="P71" s="28" t="s">
        <v>584</v>
      </c>
      <c r="Q71" s="28" t="s">
        <v>60</v>
      </c>
      <c r="R71" s="28" t="s">
        <v>34</v>
      </c>
      <c r="S71" s="28" t="s">
        <v>372</v>
      </c>
      <c r="T71" s="28" t="s">
        <v>571</v>
      </c>
      <c r="U71" s="28" t="s">
        <v>585</v>
      </c>
      <c r="V71" s="28"/>
    </row>
    <row r="72" spans="1:22" ht="34.5" customHeight="1" x14ac:dyDescent="0.25">
      <c r="A72" s="26">
        <v>9</v>
      </c>
      <c r="B72" s="27" t="s">
        <v>586</v>
      </c>
      <c r="C72" s="28" t="s">
        <v>587</v>
      </c>
      <c r="D72" s="28" t="s">
        <v>24</v>
      </c>
      <c r="E72" s="28" t="s">
        <v>588</v>
      </c>
      <c r="F72" s="28" t="s">
        <v>26</v>
      </c>
      <c r="G72" s="28" t="s">
        <v>589</v>
      </c>
      <c r="H72" s="28" t="s">
        <v>590</v>
      </c>
      <c r="I72" s="28" t="s">
        <v>591</v>
      </c>
      <c r="J72" s="28" t="s">
        <v>30</v>
      </c>
      <c r="K72" s="28"/>
      <c r="L72" s="28">
        <v>4</v>
      </c>
      <c r="M72" s="28">
        <v>1</v>
      </c>
      <c r="N72" s="25">
        <f t="shared" si="1"/>
        <v>1.25</v>
      </c>
      <c r="O72" s="28" t="s">
        <v>592</v>
      </c>
      <c r="P72" s="28" t="s">
        <v>593</v>
      </c>
      <c r="Q72" s="28" t="s">
        <v>594</v>
      </c>
      <c r="R72" s="28" t="s">
        <v>595</v>
      </c>
      <c r="S72" s="28" t="s">
        <v>596</v>
      </c>
      <c r="T72" s="28" t="s">
        <v>597</v>
      </c>
      <c r="U72" s="28" t="s">
        <v>598</v>
      </c>
      <c r="V72" s="28"/>
    </row>
    <row r="73" spans="1:22" ht="34.5" customHeight="1" x14ac:dyDescent="0.25">
      <c r="A73" s="26">
        <v>9</v>
      </c>
      <c r="B73" s="27" t="s">
        <v>586</v>
      </c>
      <c r="C73" s="28" t="s">
        <v>587</v>
      </c>
      <c r="D73" s="28" t="s">
        <v>24</v>
      </c>
      <c r="E73" s="28" t="s">
        <v>588</v>
      </c>
      <c r="F73" s="28" t="s">
        <v>38</v>
      </c>
      <c r="G73" s="28" t="s">
        <v>599</v>
      </c>
      <c r="H73" s="28" t="s">
        <v>600</v>
      </c>
      <c r="I73" s="28" t="s">
        <v>601</v>
      </c>
      <c r="J73" s="28" t="s">
        <v>30</v>
      </c>
      <c r="K73" s="28" t="s">
        <v>602</v>
      </c>
      <c r="L73" s="28">
        <v>3</v>
      </c>
      <c r="M73" s="28">
        <v>0.75</v>
      </c>
      <c r="N73" s="25">
        <f t="shared" si="1"/>
        <v>1</v>
      </c>
      <c r="O73" s="28" t="s">
        <v>603</v>
      </c>
      <c r="P73" s="28" t="s">
        <v>604</v>
      </c>
      <c r="Q73" s="28" t="s">
        <v>594</v>
      </c>
      <c r="R73" s="28" t="s">
        <v>595</v>
      </c>
      <c r="S73" s="28" t="s">
        <v>596</v>
      </c>
      <c r="T73" s="28" t="s">
        <v>597</v>
      </c>
      <c r="U73" s="28" t="s">
        <v>605</v>
      </c>
      <c r="V73" s="28"/>
    </row>
    <row r="74" spans="1:22" ht="34.5" customHeight="1" x14ac:dyDescent="0.25">
      <c r="A74" s="26">
        <v>9</v>
      </c>
      <c r="B74" s="27" t="s">
        <v>586</v>
      </c>
      <c r="C74" s="28" t="s">
        <v>587</v>
      </c>
      <c r="D74" s="28" t="s">
        <v>24</v>
      </c>
      <c r="E74" s="28" t="s">
        <v>588</v>
      </c>
      <c r="F74" s="28" t="s">
        <v>46</v>
      </c>
      <c r="G74" s="28" t="s">
        <v>606</v>
      </c>
      <c r="H74" s="28" t="s">
        <v>607</v>
      </c>
      <c r="I74" s="28" t="s">
        <v>608</v>
      </c>
      <c r="J74" s="28" t="s">
        <v>30</v>
      </c>
      <c r="K74" s="28" t="s">
        <v>609</v>
      </c>
      <c r="L74" s="28">
        <v>5</v>
      </c>
      <c r="M74" s="28">
        <v>1.25</v>
      </c>
      <c r="N74" s="25">
        <f t="shared" si="1"/>
        <v>1.5</v>
      </c>
      <c r="O74" s="28" t="s">
        <v>610</v>
      </c>
      <c r="P74" s="28" t="s">
        <v>611</v>
      </c>
      <c r="Q74" s="28" t="s">
        <v>594</v>
      </c>
      <c r="R74" s="28" t="s">
        <v>595</v>
      </c>
      <c r="S74" s="28" t="s">
        <v>596</v>
      </c>
      <c r="T74" s="28" t="s">
        <v>597</v>
      </c>
      <c r="U74" s="28" t="s">
        <v>612</v>
      </c>
      <c r="V74" s="28"/>
    </row>
    <row r="75" spans="1:22" ht="34.5" customHeight="1" x14ac:dyDescent="0.25">
      <c r="A75" s="26">
        <v>9</v>
      </c>
      <c r="B75" s="27" t="s">
        <v>586</v>
      </c>
      <c r="C75" s="28" t="s">
        <v>587</v>
      </c>
      <c r="D75" s="28" t="s">
        <v>24</v>
      </c>
      <c r="E75" s="28" t="s">
        <v>588</v>
      </c>
      <c r="F75" s="28" t="s">
        <v>53</v>
      </c>
      <c r="G75" s="28" t="s">
        <v>613</v>
      </c>
      <c r="H75" s="28" t="s">
        <v>614</v>
      </c>
      <c r="I75" s="28" t="s">
        <v>615</v>
      </c>
      <c r="J75" s="28" t="s">
        <v>30</v>
      </c>
      <c r="K75" s="28" t="s">
        <v>616</v>
      </c>
      <c r="L75" s="28">
        <v>5</v>
      </c>
      <c r="M75" s="28">
        <v>1.25</v>
      </c>
      <c r="N75" s="25">
        <f t="shared" si="1"/>
        <v>1.5</v>
      </c>
      <c r="O75" s="28" t="s">
        <v>617</v>
      </c>
      <c r="P75" s="28" t="s">
        <v>618</v>
      </c>
      <c r="Q75" s="28" t="s">
        <v>594</v>
      </c>
      <c r="R75" s="28" t="s">
        <v>595</v>
      </c>
      <c r="S75" s="28" t="s">
        <v>596</v>
      </c>
      <c r="T75" s="28" t="s">
        <v>597</v>
      </c>
      <c r="U75" s="28" t="s">
        <v>619</v>
      </c>
      <c r="V75" s="28" t="s">
        <v>620</v>
      </c>
    </row>
    <row r="76" spans="1:22" ht="34.5" customHeight="1" x14ac:dyDescent="0.25">
      <c r="A76" s="26">
        <v>9</v>
      </c>
      <c r="B76" s="27" t="s">
        <v>586</v>
      </c>
      <c r="C76" s="28" t="s">
        <v>587</v>
      </c>
      <c r="D76" s="28" t="s">
        <v>24</v>
      </c>
      <c r="E76" s="28" t="s">
        <v>588</v>
      </c>
      <c r="F76" s="28" t="s">
        <v>112</v>
      </c>
      <c r="G76" s="28" t="s">
        <v>621</v>
      </c>
      <c r="H76" s="28" t="s">
        <v>622</v>
      </c>
      <c r="I76" s="28" t="s">
        <v>623</v>
      </c>
      <c r="J76" s="28" t="s">
        <v>116</v>
      </c>
      <c r="K76" s="28"/>
      <c r="L76" s="28">
        <v>3</v>
      </c>
      <c r="M76" s="28">
        <v>0.75</v>
      </c>
      <c r="N76" s="25">
        <f t="shared" si="1"/>
        <v>1</v>
      </c>
      <c r="O76" s="28" t="s">
        <v>624</v>
      </c>
      <c r="P76" s="28" t="s">
        <v>273</v>
      </c>
      <c r="Q76" s="28" t="s">
        <v>594</v>
      </c>
      <c r="R76" s="28" t="s">
        <v>595</v>
      </c>
      <c r="S76" s="28" t="s">
        <v>596</v>
      </c>
      <c r="T76" s="28" t="s">
        <v>597</v>
      </c>
      <c r="U76" s="28" t="s">
        <v>625</v>
      </c>
      <c r="V76" s="28"/>
    </row>
    <row r="77" spans="1:22" ht="34.5" customHeight="1" x14ac:dyDescent="0.25">
      <c r="A77" s="26">
        <v>9</v>
      </c>
      <c r="B77" s="27" t="s">
        <v>586</v>
      </c>
      <c r="C77" s="28" t="s">
        <v>587</v>
      </c>
      <c r="D77" s="28" t="s">
        <v>24</v>
      </c>
      <c r="E77" s="28" t="s">
        <v>588</v>
      </c>
      <c r="F77" s="28" t="s">
        <v>157</v>
      </c>
      <c r="G77" s="28" t="s">
        <v>626</v>
      </c>
      <c r="H77" s="28" t="s">
        <v>627</v>
      </c>
      <c r="I77" s="28" t="s">
        <v>628</v>
      </c>
      <c r="J77" s="28" t="s">
        <v>161</v>
      </c>
      <c r="K77" s="28" t="s">
        <v>629</v>
      </c>
      <c r="L77" s="28">
        <v>5</v>
      </c>
      <c r="M77" s="28">
        <v>1.25</v>
      </c>
      <c r="N77" s="25">
        <f t="shared" si="1"/>
        <v>1.5</v>
      </c>
      <c r="O77" s="28" t="s">
        <v>630</v>
      </c>
      <c r="P77" s="28" t="s">
        <v>631</v>
      </c>
      <c r="Q77" s="28" t="s">
        <v>594</v>
      </c>
      <c r="R77" s="28" t="s">
        <v>595</v>
      </c>
      <c r="S77" s="28" t="s">
        <v>596</v>
      </c>
      <c r="T77" s="28" t="s">
        <v>597</v>
      </c>
      <c r="U77" s="28" t="s">
        <v>632</v>
      </c>
      <c r="V77" s="28"/>
    </row>
    <row r="78" spans="1:22" ht="34.5" customHeight="1" x14ac:dyDescent="0.25">
      <c r="A78" s="26">
        <v>10</v>
      </c>
      <c r="B78" s="27" t="s">
        <v>633</v>
      </c>
      <c r="C78" s="28" t="s">
        <v>634</v>
      </c>
      <c r="D78" s="28" t="s">
        <v>24</v>
      </c>
      <c r="E78" s="28" t="s">
        <v>635</v>
      </c>
      <c r="F78" s="28" t="s">
        <v>26</v>
      </c>
      <c r="G78" s="28" t="s">
        <v>636</v>
      </c>
      <c r="H78" s="28" t="s">
        <v>637</v>
      </c>
      <c r="I78" s="28" t="s">
        <v>638</v>
      </c>
      <c r="J78" s="28" t="s">
        <v>30</v>
      </c>
      <c r="K78" s="28"/>
      <c r="L78" s="28">
        <v>4</v>
      </c>
      <c r="M78" s="28">
        <v>1</v>
      </c>
      <c r="N78" s="25">
        <f t="shared" si="1"/>
        <v>1.25</v>
      </c>
      <c r="O78" s="28" t="s">
        <v>639</v>
      </c>
      <c r="P78" s="28" t="s">
        <v>640</v>
      </c>
      <c r="Q78" s="28" t="s">
        <v>33</v>
      </c>
      <c r="R78" s="28" t="s">
        <v>34</v>
      </c>
      <c r="S78" s="28" t="s">
        <v>372</v>
      </c>
      <c r="T78" s="28" t="s">
        <v>641</v>
      </c>
      <c r="U78" s="28" t="s">
        <v>642</v>
      </c>
      <c r="V78" s="28"/>
    </row>
    <row r="79" spans="1:22" ht="34.5" customHeight="1" x14ac:dyDescent="0.25">
      <c r="A79" s="26">
        <v>10</v>
      </c>
      <c r="B79" s="27" t="s">
        <v>643</v>
      </c>
      <c r="C79" s="28" t="s">
        <v>634</v>
      </c>
      <c r="D79" s="28" t="s">
        <v>24</v>
      </c>
      <c r="E79" s="28" t="s">
        <v>635</v>
      </c>
      <c r="F79" s="28" t="s">
        <v>38</v>
      </c>
      <c r="G79" s="28" t="s">
        <v>644</v>
      </c>
      <c r="H79" s="28" t="s">
        <v>645</v>
      </c>
      <c r="I79" s="28" t="s">
        <v>646</v>
      </c>
      <c r="J79" s="28" t="s">
        <v>30</v>
      </c>
      <c r="K79" s="28" t="s">
        <v>647</v>
      </c>
      <c r="L79" s="28">
        <v>3</v>
      </c>
      <c r="M79" s="28">
        <v>0.75</v>
      </c>
      <c r="N79" s="25">
        <f t="shared" si="1"/>
        <v>1</v>
      </c>
      <c r="O79" s="28" t="s">
        <v>648</v>
      </c>
      <c r="P79" s="28" t="s">
        <v>649</v>
      </c>
      <c r="Q79" s="28" t="s">
        <v>33</v>
      </c>
      <c r="R79" s="28" t="s">
        <v>34</v>
      </c>
      <c r="S79" s="28" t="s">
        <v>372</v>
      </c>
      <c r="T79" s="28" t="s">
        <v>641</v>
      </c>
      <c r="U79" s="28" t="s">
        <v>650</v>
      </c>
      <c r="V79" s="28"/>
    </row>
    <row r="80" spans="1:22" ht="34.5" customHeight="1" x14ac:dyDescent="0.25">
      <c r="A80" s="26">
        <v>10</v>
      </c>
      <c r="B80" s="27" t="s">
        <v>643</v>
      </c>
      <c r="C80" s="28" t="s">
        <v>634</v>
      </c>
      <c r="D80" s="28" t="s">
        <v>24</v>
      </c>
      <c r="E80" s="28" t="s">
        <v>635</v>
      </c>
      <c r="F80" s="28" t="s">
        <v>46</v>
      </c>
      <c r="G80" s="28" t="s">
        <v>651</v>
      </c>
      <c r="H80" s="28" t="s">
        <v>652</v>
      </c>
      <c r="I80" s="28" t="s">
        <v>653</v>
      </c>
      <c r="J80" s="28" t="s">
        <v>30</v>
      </c>
      <c r="K80" s="28" t="s">
        <v>654</v>
      </c>
      <c r="L80" s="28">
        <v>4</v>
      </c>
      <c r="M80" s="28">
        <v>1</v>
      </c>
      <c r="N80" s="25">
        <f t="shared" si="1"/>
        <v>1.25</v>
      </c>
      <c r="O80" s="28" t="s">
        <v>655</v>
      </c>
      <c r="P80" s="28" t="s">
        <v>656</v>
      </c>
      <c r="Q80" s="28" t="s">
        <v>33</v>
      </c>
      <c r="R80" s="28" t="s">
        <v>34</v>
      </c>
      <c r="S80" s="28" t="s">
        <v>372</v>
      </c>
      <c r="T80" s="28" t="s">
        <v>641</v>
      </c>
      <c r="U80" s="28" t="s">
        <v>657</v>
      </c>
      <c r="V80" s="28" t="s">
        <v>658</v>
      </c>
    </row>
    <row r="81" spans="1:22" ht="34.5" customHeight="1" x14ac:dyDescent="0.25">
      <c r="A81" s="26">
        <v>10</v>
      </c>
      <c r="B81" s="27" t="s">
        <v>643</v>
      </c>
      <c r="C81" s="28" t="s">
        <v>634</v>
      </c>
      <c r="D81" s="28" t="s">
        <v>24</v>
      </c>
      <c r="E81" s="28" t="s">
        <v>635</v>
      </c>
      <c r="F81" s="28" t="s">
        <v>112</v>
      </c>
      <c r="G81" s="28" t="s">
        <v>659</v>
      </c>
      <c r="H81" s="28" t="s">
        <v>660</v>
      </c>
      <c r="I81" s="28" t="s">
        <v>661</v>
      </c>
      <c r="J81" s="28" t="s">
        <v>116</v>
      </c>
      <c r="K81" s="28"/>
      <c r="L81" s="28">
        <v>3</v>
      </c>
      <c r="M81" s="28">
        <v>0.75</v>
      </c>
      <c r="N81" s="25">
        <f t="shared" si="1"/>
        <v>1</v>
      </c>
      <c r="O81" s="28" t="s">
        <v>662</v>
      </c>
      <c r="P81" s="28" t="s">
        <v>663</v>
      </c>
      <c r="Q81" s="28" t="s">
        <v>33</v>
      </c>
      <c r="R81" s="28" t="s">
        <v>34</v>
      </c>
      <c r="S81" s="28" t="s">
        <v>372</v>
      </c>
      <c r="T81" s="28" t="s">
        <v>641</v>
      </c>
      <c r="U81" s="28" t="s">
        <v>664</v>
      </c>
      <c r="V81" s="28"/>
    </row>
    <row r="82" spans="1:22" ht="34.5" customHeight="1" x14ac:dyDescent="0.25">
      <c r="A82" s="26">
        <v>10</v>
      </c>
      <c r="B82" s="27" t="s">
        <v>643</v>
      </c>
      <c r="C82" s="28" t="s">
        <v>634</v>
      </c>
      <c r="D82" s="28" t="s">
        <v>24</v>
      </c>
      <c r="E82" s="28" t="s">
        <v>635</v>
      </c>
      <c r="F82" s="28" t="s">
        <v>157</v>
      </c>
      <c r="G82" s="28" t="s">
        <v>665</v>
      </c>
      <c r="H82" s="28" t="s">
        <v>666</v>
      </c>
      <c r="I82" s="28" t="s">
        <v>667</v>
      </c>
      <c r="J82" s="28" t="s">
        <v>161</v>
      </c>
      <c r="K82" s="28" t="s">
        <v>668</v>
      </c>
      <c r="L82" s="28">
        <v>4</v>
      </c>
      <c r="M82" s="28">
        <v>1</v>
      </c>
      <c r="N82" s="25">
        <f t="shared" si="1"/>
        <v>1.25</v>
      </c>
      <c r="O82" s="28" t="s">
        <v>669</v>
      </c>
      <c r="P82" s="28" t="s">
        <v>670</v>
      </c>
      <c r="Q82" s="28" t="s">
        <v>33</v>
      </c>
      <c r="R82" s="28" t="s">
        <v>34</v>
      </c>
      <c r="S82" s="28" t="s">
        <v>372</v>
      </c>
      <c r="T82" s="28" t="s">
        <v>641</v>
      </c>
      <c r="U82" s="28" t="s">
        <v>671</v>
      </c>
      <c r="V82" s="28"/>
    </row>
    <row r="83" spans="1:22" ht="34.5" customHeight="1" x14ac:dyDescent="0.25">
      <c r="A83" s="26">
        <v>10</v>
      </c>
      <c r="B83" s="27" t="s">
        <v>643</v>
      </c>
      <c r="C83" s="28" t="s">
        <v>634</v>
      </c>
      <c r="D83" s="28" t="s">
        <v>24</v>
      </c>
      <c r="E83" s="28" t="s">
        <v>635</v>
      </c>
      <c r="F83" s="28" t="s">
        <v>166</v>
      </c>
      <c r="G83" s="28" t="s">
        <v>672</v>
      </c>
      <c r="H83" s="28" t="s">
        <v>673</v>
      </c>
      <c r="I83" s="28" t="s">
        <v>674</v>
      </c>
      <c r="J83" s="28" t="s">
        <v>161</v>
      </c>
      <c r="K83" s="28" t="s">
        <v>675</v>
      </c>
      <c r="L83" s="28">
        <v>3</v>
      </c>
      <c r="M83" s="28">
        <v>0.75</v>
      </c>
      <c r="N83" s="25">
        <f t="shared" si="1"/>
        <v>1</v>
      </c>
      <c r="O83" s="28" t="s">
        <v>676</v>
      </c>
      <c r="P83" s="28" t="s">
        <v>677</v>
      </c>
      <c r="Q83" s="28" t="s">
        <v>33</v>
      </c>
      <c r="R83" s="28" t="s">
        <v>34</v>
      </c>
      <c r="S83" s="28" t="s">
        <v>372</v>
      </c>
      <c r="T83" s="28" t="s">
        <v>641</v>
      </c>
      <c r="U83" s="28" t="s">
        <v>678</v>
      </c>
      <c r="V83" s="28"/>
    </row>
    <row r="84" spans="1:22" ht="34.5" customHeight="1" x14ac:dyDescent="0.25">
      <c r="A84" s="26">
        <v>11</v>
      </c>
      <c r="B84" s="27" t="s">
        <v>679</v>
      </c>
      <c r="C84" s="28" t="s">
        <v>680</v>
      </c>
      <c r="D84" s="28" t="s">
        <v>24</v>
      </c>
      <c r="E84" s="28" t="s">
        <v>681</v>
      </c>
      <c r="F84" s="28" t="s">
        <v>26</v>
      </c>
      <c r="G84" s="28" t="s">
        <v>682</v>
      </c>
      <c r="H84" s="28" t="s">
        <v>683</v>
      </c>
      <c r="I84" s="28" t="s">
        <v>684</v>
      </c>
      <c r="J84" s="28" t="s">
        <v>30</v>
      </c>
      <c r="K84" s="28"/>
      <c r="L84" s="28">
        <v>4</v>
      </c>
      <c r="M84" s="28">
        <v>1</v>
      </c>
      <c r="N84" s="25">
        <f t="shared" si="1"/>
        <v>1.25</v>
      </c>
      <c r="O84" s="28" t="s">
        <v>685</v>
      </c>
      <c r="P84" s="28" t="s">
        <v>686</v>
      </c>
      <c r="Q84" s="28" t="s">
        <v>687</v>
      </c>
      <c r="R84" s="28" t="s">
        <v>595</v>
      </c>
      <c r="S84" s="28" t="s">
        <v>596</v>
      </c>
      <c r="T84" s="28" t="s">
        <v>688</v>
      </c>
      <c r="U84" s="28" t="s">
        <v>689</v>
      </c>
      <c r="V84" s="28"/>
    </row>
    <row r="85" spans="1:22" ht="34.5" customHeight="1" x14ac:dyDescent="0.25">
      <c r="A85" s="26">
        <v>11</v>
      </c>
      <c r="B85" s="27" t="s">
        <v>690</v>
      </c>
      <c r="C85" s="28" t="s">
        <v>680</v>
      </c>
      <c r="D85" s="28" t="s">
        <v>24</v>
      </c>
      <c r="E85" s="28" t="s">
        <v>681</v>
      </c>
      <c r="F85" s="28" t="s">
        <v>38</v>
      </c>
      <c r="G85" s="28" t="s">
        <v>691</v>
      </c>
      <c r="H85" s="28" t="s">
        <v>692</v>
      </c>
      <c r="I85" s="28" t="s">
        <v>693</v>
      </c>
      <c r="J85" s="28" t="s">
        <v>30</v>
      </c>
      <c r="K85" s="28" t="s">
        <v>694</v>
      </c>
      <c r="L85" s="28">
        <v>4</v>
      </c>
      <c r="M85" s="28">
        <v>1</v>
      </c>
      <c r="N85" s="25">
        <f t="shared" si="1"/>
        <v>1.25</v>
      </c>
      <c r="O85" s="28" t="s">
        <v>695</v>
      </c>
      <c r="P85" s="28" t="s">
        <v>686</v>
      </c>
      <c r="Q85" s="28" t="s">
        <v>687</v>
      </c>
      <c r="R85" s="28" t="s">
        <v>595</v>
      </c>
      <c r="S85" s="28" t="s">
        <v>596</v>
      </c>
      <c r="T85" s="28" t="s">
        <v>688</v>
      </c>
      <c r="U85" s="28" t="s">
        <v>696</v>
      </c>
      <c r="V85" s="28"/>
    </row>
    <row r="86" spans="1:22" ht="34.5" customHeight="1" x14ac:dyDescent="0.25">
      <c r="A86" s="26">
        <v>11</v>
      </c>
      <c r="B86" s="27" t="s">
        <v>690</v>
      </c>
      <c r="C86" s="28" t="s">
        <v>680</v>
      </c>
      <c r="D86" s="28" t="s">
        <v>24</v>
      </c>
      <c r="E86" s="28" t="s">
        <v>681</v>
      </c>
      <c r="F86" s="28" t="s">
        <v>46</v>
      </c>
      <c r="G86" s="28" t="s">
        <v>697</v>
      </c>
      <c r="H86" s="28" t="s">
        <v>698</v>
      </c>
      <c r="I86" s="28" t="s">
        <v>699</v>
      </c>
      <c r="J86" s="28" t="s">
        <v>30</v>
      </c>
      <c r="K86" s="28" t="s">
        <v>700</v>
      </c>
      <c r="L86" s="28">
        <v>3</v>
      </c>
      <c r="M86" s="28">
        <v>0.75</v>
      </c>
      <c r="N86" s="25">
        <f t="shared" si="1"/>
        <v>1</v>
      </c>
      <c r="O86" s="28" t="s">
        <v>701</v>
      </c>
      <c r="P86" s="28" t="s">
        <v>702</v>
      </c>
      <c r="Q86" s="28" t="s">
        <v>687</v>
      </c>
      <c r="R86" s="28" t="s">
        <v>595</v>
      </c>
      <c r="S86" s="28" t="s">
        <v>596</v>
      </c>
      <c r="T86" s="28" t="s">
        <v>688</v>
      </c>
      <c r="U86" s="28" t="s">
        <v>703</v>
      </c>
      <c r="V86" s="28" t="s">
        <v>704</v>
      </c>
    </row>
    <row r="87" spans="1:22" ht="34.5" customHeight="1" x14ac:dyDescent="0.25">
      <c r="A87" s="26">
        <v>11</v>
      </c>
      <c r="B87" s="27" t="s">
        <v>690</v>
      </c>
      <c r="C87" s="28" t="s">
        <v>680</v>
      </c>
      <c r="D87" s="28" t="s">
        <v>24</v>
      </c>
      <c r="E87" s="28" t="s">
        <v>681</v>
      </c>
      <c r="F87" s="28" t="s">
        <v>112</v>
      </c>
      <c r="G87" s="28" t="s">
        <v>705</v>
      </c>
      <c r="H87" s="28" t="s">
        <v>706</v>
      </c>
      <c r="I87" s="28" t="s">
        <v>707</v>
      </c>
      <c r="J87" s="28" t="s">
        <v>116</v>
      </c>
      <c r="K87" s="28"/>
      <c r="L87" s="28">
        <v>4</v>
      </c>
      <c r="M87" s="28">
        <v>1</v>
      </c>
      <c r="N87" s="25">
        <f t="shared" si="1"/>
        <v>1.25</v>
      </c>
      <c r="O87" s="28" t="s">
        <v>708</v>
      </c>
      <c r="P87" s="28" t="s">
        <v>273</v>
      </c>
      <c r="Q87" s="28" t="s">
        <v>687</v>
      </c>
      <c r="R87" s="28" t="s">
        <v>595</v>
      </c>
      <c r="S87" s="28" t="s">
        <v>596</v>
      </c>
      <c r="T87" s="28" t="s">
        <v>688</v>
      </c>
      <c r="U87" s="28" t="s">
        <v>709</v>
      </c>
      <c r="V87" s="28"/>
    </row>
    <row r="88" spans="1:22" ht="34.5" customHeight="1" x14ac:dyDescent="0.25">
      <c r="A88" s="26">
        <v>11</v>
      </c>
      <c r="B88" s="27" t="s">
        <v>690</v>
      </c>
      <c r="C88" s="28" t="s">
        <v>680</v>
      </c>
      <c r="D88" s="28" t="s">
        <v>24</v>
      </c>
      <c r="E88" s="28" t="s">
        <v>681</v>
      </c>
      <c r="F88" s="28" t="s">
        <v>120</v>
      </c>
      <c r="G88" s="28" t="s">
        <v>710</v>
      </c>
      <c r="H88" s="28" t="s">
        <v>711</v>
      </c>
      <c r="I88" s="28" t="s">
        <v>712</v>
      </c>
      <c r="J88" s="28" t="s">
        <v>116</v>
      </c>
      <c r="K88" s="28" t="s">
        <v>713</v>
      </c>
      <c r="L88" s="28">
        <v>3</v>
      </c>
      <c r="M88" s="28">
        <v>0.75</v>
      </c>
      <c r="N88" s="25">
        <f t="shared" si="1"/>
        <v>1</v>
      </c>
      <c r="O88" s="28" t="s">
        <v>714</v>
      </c>
      <c r="P88" s="28" t="s">
        <v>280</v>
      </c>
      <c r="Q88" s="28" t="s">
        <v>687</v>
      </c>
      <c r="R88" s="28" t="s">
        <v>595</v>
      </c>
      <c r="S88" s="28" t="s">
        <v>596</v>
      </c>
      <c r="T88" s="28" t="s">
        <v>688</v>
      </c>
      <c r="U88" s="28" t="s">
        <v>715</v>
      </c>
      <c r="V88" s="28"/>
    </row>
    <row r="89" spans="1:22" ht="34.5" customHeight="1" x14ac:dyDescent="0.25">
      <c r="A89" s="26">
        <v>11</v>
      </c>
      <c r="B89" s="27" t="s">
        <v>690</v>
      </c>
      <c r="C89" s="28" t="s">
        <v>680</v>
      </c>
      <c r="D89" s="28" t="s">
        <v>24</v>
      </c>
      <c r="E89" s="28" t="s">
        <v>681</v>
      </c>
      <c r="F89" s="28" t="s">
        <v>157</v>
      </c>
      <c r="G89" s="28" t="s">
        <v>716</v>
      </c>
      <c r="H89" s="28" t="s">
        <v>717</v>
      </c>
      <c r="I89" s="28" t="s">
        <v>718</v>
      </c>
      <c r="J89" s="28" t="s">
        <v>161</v>
      </c>
      <c r="K89" s="28" t="s">
        <v>719</v>
      </c>
      <c r="L89" s="28">
        <v>5</v>
      </c>
      <c r="M89" s="28">
        <v>1.25</v>
      </c>
      <c r="N89" s="25">
        <f t="shared" si="1"/>
        <v>1.5</v>
      </c>
      <c r="O89" s="28" t="s">
        <v>720</v>
      </c>
      <c r="P89" s="28" t="s">
        <v>631</v>
      </c>
      <c r="Q89" s="28" t="s">
        <v>687</v>
      </c>
      <c r="R89" s="28" t="s">
        <v>595</v>
      </c>
      <c r="S89" s="28" t="s">
        <v>596</v>
      </c>
      <c r="T89" s="28" t="s">
        <v>688</v>
      </c>
      <c r="U89" s="28" t="s">
        <v>721</v>
      </c>
      <c r="V89" s="28"/>
    </row>
    <row r="90" spans="1:22" ht="34.5" customHeight="1" x14ac:dyDescent="0.25">
      <c r="A90" s="26">
        <v>12</v>
      </c>
      <c r="B90" s="27" t="s">
        <v>722</v>
      </c>
      <c r="C90" s="28" t="s">
        <v>723</v>
      </c>
      <c r="D90" s="28" t="s">
        <v>24</v>
      </c>
      <c r="E90" s="28" t="s">
        <v>724</v>
      </c>
      <c r="F90" s="28" t="s">
        <v>26</v>
      </c>
      <c r="G90" s="28" t="s">
        <v>725</v>
      </c>
      <c r="H90" s="28" t="s">
        <v>726</v>
      </c>
      <c r="I90" s="28" t="s">
        <v>727</v>
      </c>
      <c r="J90" s="28" t="s">
        <v>30</v>
      </c>
      <c r="K90" s="28"/>
      <c r="L90" s="28">
        <v>3</v>
      </c>
      <c r="M90" s="28">
        <v>0.75</v>
      </c>
      <c r="N90" s="25">
        <f t="shared" si="1"/>
        <v>1</v>
      </c>
      <c r="O90" s="28" t="s">
        <v>728</v>
      </c>
      <c r="P90" s="28" t="s">
        <v>318</v>
      </c>
      <c r="Q90" s="28" t="s">
        <v>60</v>
      </c>
      <c r="R90" s="28" t="s">
        <v>34</v>
      </c>
      <c r="S90" s="28" t="s">
        <v>372</v>
      </c>
      <c r="T90" s="28" t="s">
        <v>729</v>
      </c>
      <c r="U90" s="28" t="s">
        <v>730</v>
      </c>
      <c r="V90" s="28"/>
    </row>
    <row r="91" spans="1:22" ht="34.5" customHeight="1" x14ac:dyDescent="0.25">
      <c r="A91" s="26">
        <v>12</v>
      </c>
      <c r="B91" s="27" t="s">
        <v>731</v>
      </c>
      <c r="C91" s="28" t="s">
        <v>723</v>
      </c>
      <c r="D91" s="28" t="s">
        <v>24</v>
      </c>
      <c r="E91" s="28" t="s">
        <v>724</v>
      </c>
      <c r="F91" s="28" t="s">
        <v>38</v>
      </c>
      <c r="G91" s="28" t="s">
        <v>732</v>
      </c>
      <c r="H91" s="28" t="s">
        <v>733</v>
      </c>
      <c r="I91" s="28" t="s">
        <v>734</v>
      </c>
      <c r="J91" s="28" t="s">
        <v>30</v>
      </c>
      <c r="K91" s="28" t="s">
        <v>735</v>
      </c>
      <c r="L91" s="28">
        <v>3</v>
      </c>
      <c r="M91" s="28">
        <v>0.75</v>
      </c>
      <c r="N91" s="25">
        <f t="shared" si="1"/>
        <v>1</v>
      </c>
      <c r="O91" s="28" t="s">
        <v>736</v>
      </c>
      <c r="P91" s="28" t="s">
        <v>737</v>
      </c>
      <c r="Q91" s="28" t="s">
        <v>60</v>
      </c>
      <c r="R91" s="28" t="s">
        <v>34</v>
      </c>
      <c r="S91" s="28" t="s">
        <v>372</v>
      </c>
      <c r="T91" s="28" t="s">
        <v>729</v>
      </c>
      <c r="U91" s="28" t="s">
        <v>738</v>
      </c>
      <c r="V91" s="28" t="s">
        <v>739</v>
      </c>
    </row>
    <row r="92" spans="1:22" ht="34.5" customHeight="1" x14ac:dyDescent="0.25">
      <c r="A92" s="26">
        <v>12</v>
      </c>
      <c r="B92" s="27" t="s">
        <v>731</v>
      </c>
      <c r="C92" s="28" t="s">
        <v>723</v>
      </c>
      <c r="D92" s="28" t="s">
        <v>24</v>
      </c>
      <c r="E92" s="28" t="s">
        <v>724</v>
      </c>
      <c r="F92" s="28" t="s">
        <v>157</v>
      </c>
      <c r="G92" s="28" t="s">
        <v>740</v>
      </c>
      <c r="H92" s="28" t="s">
        <v>741</v>
      </c>
      <c r="I92" s="28" t="s">
        <v>742</v>
      </c>
      <c r="J92" s="28" t="s">
        <v>161</v>
      </c>
      <c r="K92" s="28" t="s">
        <v>743</v>
      </c>
      <c r="L92" s="28">
        <v>3</v>
      </c>
      <c r="M92" s="28">
        <v>0.75</v>
      </c>
      <c r="N92" s="25">
        <f t="shared" si="1"/>
        <v>1</v>
      </c>
      <c r="O92" s="28" t="s">
        <v>744</v>
      </c>
      <c r="P92" s="28" t="s">
        <v>745</v>
      </c>
      <c r="Q92" s="28" t="s">
        <v>60</v>
      </c>
      <c r="R92" s="28" t="s">
        <v>34</v>
      </c>
      <c r="S92" s="28" t="s">
        <v>372</v>
      </c>
      <c r="T92" s="28" t="s">
        <v>729</v>
      </c>
      <c r="U92" s="28" t="s">
        <v>746</v>
      </c>
      <c r="V92" s="28"/>
    </row>
    <row r="93" spans="1:22" ht="34.5" customHeight="1" x14ac:dyDescent="0.25">
      <c r="A93" s="26">
        <v>13</v>
      </c>
      <c r="B93" s="27" t="s">
        <v>747</v>
      </c>
      <c r="C93" s="28" t="s">
        <v>748</v>
      </c>
      <c r="D93" s="28" t="s">
        <v>749</v>
      </c>
      <c r="E93" s="28" t="s">
        <v>750</v>
      </c>
      <c r="F93" s="28" t="s">
        <v>26</v>
      </c>
      <c r="G93" s="28" t="s">
        <v>751</v>
      </c>
      <c r="H93" s="28" t="s">
        <v>752</v>
      </c>
      <c r="I93" s="28" t="s">
        <v>753</v>
      </c>
      <c r="J93" s="28" t="s">
        <v>30</v>
      </c>
      <c r="K93" s="28" t="s">
        <v>213</v>
      </c>
      <c r="L93" s="28">
        <v>4</v>
      </c>
      <c r="M93" s="28">
        <v>1.5</v>
      </c>
      <c r="N93" s="25">
        <f t="shared" si="1"/>
        <v>1.75</v>
      </c>
      <c r="O93" s="28" t="s">
        <v>754</v>
      </c>
      <c r="P93" s="28" t="s">
        <v>755</v>
      </c>
      <c r="Q93" s="28" t="s">
        <v>33</v>
      </c>
      <c r="R93" s="28" t="s">
        <v>756</v>
      </c>
      <c r="S93" s="28" t="s">
        <v>757</v>
      </c>
      <c r="T93" s="28" t="s">
        <v>758</v>
      </c>
      <c r="U93" s="28" t="s">
        <v>759</v>
      </c>
      <c r="V93" s="28"/>
    </row>
    <row r="94" spans="1:22" ht="34.5" customHeight="1" x14ac:dyDescent="0.25">
      <c r="A94" s="26">
        <v>13</v>
      </c>
      <c r="B94" s="27" t="s">
        <v>747</v>
      </c>
      <c r="C94" s="28" t="s">
        <v>748</v>
      </c>
      <c r="D94" s="28" t="s">
        <v>760</v>
      </c>
      <c r="E94" s="28" t="s">
        <v>761</v>
      </c>
      <c r="F94" s="28" t="s">
        <v>38</v>
      </c>
      <c r="G94" s="28" t="s">
        <v>762</v>
      </c>
      <c r="H94" s="28" t="s">
        <v>763</v>
      </c>
      <c r="I94" s="28" t="s">
        <v>764</v>
      </c>
      <c r="J94" s="28" t="s">
        <v>30</v>
      </c>
      <c r="K94" s="28" t="s">
        <v>765</v>
      </c>
      <c r="L94" s="28">
        <v>1</v>
      </c>
      <c r="M94" s="28">
        <v>0.5</v>
      </c>
      <c r="N94" s="25">
        <f t="shared" si="1"/>
        <v>0.5</v>
      </c>
      <c r="O94" s="28" t="s">
        <v>766</v>
      </c>
      <c r="P94" s="28" t="s">
        <v>767</v>
      </c>
      <c r="Q94" s="28" t="s">
        <v>33</v>
      </c>
      <c r="R94" s="28" t="s">
        <v>756</v>
      </c>
      <c r="S94" s="28" t="s">
        <v>757</v>
      </c>
      <c r="T94" s="28" t="s">
        <v>768</v>
      </c>
      <c r="U94" s="28" t="s">
        <v>769</v>
      </c>
      <c r="V94" s="28"/>
    </row>
    <row r="95" spans="1:22" ht="34.5" customHeight="1" x14ac:dyDescent="0.25">
      <c r="A95" s="26">
        <v>13</v>
      </c>
      <c r="B95" s="27" t="s">
        <v>747</v>
      </c>
      <c r="C95" s="28" t="s">
        <v>748</v>
      </c>
      <c r="D95" s="28" t="s">
        <v>760</v>
      </c>
      <c r="E95" s="28" t="s">
        <v>770</v>
      </c>
      <c r="F95" s="28" t="s">
        <v>112</v>
      </c>
      <c r="G95" s="28" t="s">
        <v>771</v>
      </c>
      <c r="H95" s="28" t="s">
        <v>772</v>
      </c>
      <c r="I95" s="28" t="s">
        <v>773</v>
      </c>
      <c r="J95" s="28" t="s">
        <v>116</v>
      </c>
      <c r="K95" s="28" t="s">
        <v>26</v>
      </c>
      <c r="L95" s="28">
        <v>4</v>
      </c>
      <c r="M95" s="28">
        <v>1.5</v>
      </c>
      <c r="N95" s="25">
        <f t="shared" si="1"/>
        <v>1.75</v>
      </c>
      <c r="O95" s="28" t="s">
        <v>774</v>
      </c>
      <c r="P95" s="28" t="s">
        <v>775</v>
      </c>
      <c r="Q95" s="28" t="s">
        <v>33</v>
      </c>
      <c r="R95" s="28" t="s">
        <v>756</v>
      </c>
      <c r="S95" s="28" t="s">
        <v>757</v>
      </c>
      <c r="T95" s="28" t="s">
        <v>776</v>
      </c>
      <c r="U95" s="28" t="s">
        <v>777</v>
      </c>
      <c r="V95" s="28"/>
    </row>
    <row r="96" spans="1:22" ht="34.5" customHeight="1" x14ac:dyDescent="0.25">
      <c r="A96" s="26">
        <v>13</v>
      </c>
      <c r="B96" s="27" t="s">
        <v>747</v>
      </c>
      <c r="C96" s="28" t="s">
        <v>748</v>
      </c>
      <c r="D96" s="28" t="s">
        <v>760</v>
      </c>
      <c r="E96" s="28" t="s">
        <v>778</v>
      </c>
      <c r="F96" s="28" t="s">
        <v>120</v>
      </c>
      <c r="G96" s="28" t="s">
        <v>779</v>
      </c>
      <c r="H96" s="28" t="s">
        <v>780</v>
      </c>
      <c r="I96" s="28" t="s">
        <v>781</v>
      </c>
      <c r="J96" s="28" t="s">
        <v>116</v>
      </c>
      <c r="K96" s="28" t="s">
        <v>782</v>
      </c>
      <c r="L96" s="28">
        <v>1</v>
      </c>
      <c r="M96" s="28">
        <v>0.5</v>
      </c>
      <c r="N96" s="25">
        <f t="shared" si="1"/>
        <v>0.5</v>
      </c>
      <c r="O96" s="28" t="s">
        <v>783</v>
      </c>
      <c r="P96" s="28" t="s">
        <v>280</v>
      </c>
      <c r="Q96" s="28" t="s">
        <v>33</v>
      </c>
      <c r="R96" s="28" t="s">
        <v>756</v>
      </c>
      <c r="S96" s="28" t="s">
        <v>757</v>
      </c>
      <c r="T96" s="28" t="s">
        <v>784</v>
      </c>
      <c r="U96" s="28" t="s">
        <v>785</v>
      </c>
      <c r="V96" s="28"/>
    </row>
    <row r="97" spans="1:22" ht="34.5" customHeight="1" x14ac:dyDescent="0.25">
      <c r="A97" s="26">
        <v>13</v>
      </c>
      <c r="B97" s="27" t="s">
        <v>747</v>
      </c>
      <c r="C97" s="28" t="s">
        <v>748</v>
      </c>
      <c r="D97" s="28" t="s">
        <v>760</v>
      </c>
      <c r="E97" s="28" t="s">
        <v>786</v>
      </c>
      <c r="F97" s="28" t="s">
        <v>127</v>
      </c>
      <c r="G97" s="28" t="s">
        <v>787</v>
      </c>
      <c r="H97" s="28" t="s">
        <v>788</v>
      </c>
      <c r="I97" s="28" t="s">
        <v>789</v>
      </c>
      <c r="J97" s="28" t="s">
        <v>116</v>
      </c>
      <c r="K97" s="28" t="s">
        <v>782</v>
      </c>
      <c r="L97" s="28">
        <v>1</v>
      </c>
      <c r="M97" s="28">
        <v>0.5</v>
      </c>
      <c r="N97" s="25">
        <f t="shared" si="1"/>
        <v>0.5</v>
      </c>
      <c r="O97" s="28" t="s">
        <v>783</v>
      </c>
      <c r="P97" s="28" t="s">
        <v>280</v>
      </c>
      <c r="Q97" s="28" t="s">
        <v>33</v>
      </c>
      <c r="R97" s="28" t="s">
        <v>756</v>
      </c>
      <c r="S97" s="28" t="s">
        <v>757</v>
      </c>
      <c r="T97" s="28" t="s">
        <v>790</v>
      </c>
      <c r="U97" s="28" t="s">
        <v>791</v>
      </c>
      <c r="V97" s="28"/>
    </row>
    <row r="98" spans="1:22" ht="34.5" customHeight="1" x14ac:dyDescent="0.25">
      <c r="A98" s="26">
        <v>13</v>
      </c>
      <c r="B98" s="27" t="s">
        <v>747</v>
      </c>
      <c r="C98" s="28" t="s">
        <v>748</v>
      </c>
      <c r="D98" s="28" t="s">
        <v>760</v>
      </c>
      <c r="E98" s="28" t="s">
        <v>770</v>
      </c>
      <c r="F98" s="28" t="s">
        <v>134</v>
      </c>
      <c r="G98" s="28" t="s">
        <v>792</v>
      </c>
      <c r="H98" s="28" t="s">
        <v>793</v>
      </c>
      <c r="I98" s="28" t="s">
        <v>794</v>
      </c>
      <c r="J98" s="28" t="s">
        <v>116</v>
      </c>
      <c r="K98" s="28" t="s">
        <v>782</v>
      </c>
      <c r="L98" s="28">
        <v>1</v>
      </c>
      <c r="M98" s="28">
        <v>0.5</v>
      </c>
      <c r="N98" s="25">
        <f t="shared" si="1"/>
        <v>0.5</v>
      </c>
      <c r="O98" s="28" t="s">
        <v>783</v>
      </c>
      <c r="P98" s="28" t="s">
        <v>280</v>
      </c>
      <c r="Q98" s="28" t="s">
        <v>33</v>
      </c>
      <c r="R98" s="28" t="s">
        <v>756</v>
      </c>
      <c r="S98" s="28" t="s">
        <v>757</v>
      </c>
      <c r="T98" s="28" t="s">
        <v>795</v>
      </c>
      <c r="U98" s="28" t="s">
        <v>796</v>
      </c>
      <c r="V98" s="28"/>
    </row>
    <row r="99" spans="1:22" ht="34.5" customHeight="1" x14ac:dyDescent="0.25">
      <c r="A99" s="26">
        <v>13</v>
      </c>
      <c r="B99" s="27" t="s">
        <v>747</v>
      </c>
      <c r="C99" s="28" t="s">
        <v>748</v>
      </c>
      <c r="D99" s="28" t="s">
        <v>760</v>
      </c>
      <c r="E99" s="28" t="s">
        <v>797</v>
      </c>
      <c r="F99" s="28" t="s">
        <v>142</v>
      </c>
      <c r="G99" s="28" t="s">
        <v>798</v>
      </c>
      <c r="H99" s="28" t="s">
        <v>799</v>
      </c>
      <c r="I99" s="28" t="s">
        <v>800</v>
      </c>
      <c r="J99" s="28" t="s">
        <v>116</v>
      </c>
      <c r="K99" s="28" t="s">
        <v>801</v>
      </c>
      <c r="L99" s="28">
        <v>0.5</v>
      </c>
      <c r="M99" s="28">
        <v>0.25</v>
      </c>
      <c r="N99" s="25">
        <f t="shared" si="1"/>
        <v>0.25</v>
      </c>
      <c r="O99" s="28" t="s">
        <v>783</v>
      </c>
      <c r="P99" s="28" t="s">
        <v>280</v>
      </c>
      <c r="Q99" s="28" t="s">
        <v>33</v>
      </c>
      <c r="R99" s="28" t="s">
        <v>756</v>
      </c>
      <c r="S99" s="28" t="s">
        <v>757</v>
      </c>
      <c r="T99" s="28" t="s">
        <v>802</v>
      </c>
      <c r="U99" s="28" t="s">
        <v>803</v>
      </c>
      <c r="V99" s="28"/>
    </row>
    <row r="100" spans="1:22" ht="34.5" customHeight="1" x14ac:dyDescent="0.25">
      <c r="A100" s="26">
        <v>14</v>
      </c>
      <c r="B100" s="27" t="s">
        <v>804</v>
      </c>
      <c r="C100" s="28" t="s">
        <v>805</v>
      </c>
      <c r="D100" s="28" t="s">
        <v>806</v>
      </c>
      <c r="E100" s="28" t="s">
        <v>807</v>
      </c>
      <c r="F100" s="28" t="s">
        <v>26</v>
      </c>
      <c r="G100" s="28" t="s">
        <v>808</v>
      </c>
      <c r="H100" s="28" t="s">
        <v>809</v>
      </c>
      <c r="I100" s="28" t="s">
        <v>810</v>
      </c>
      <c r="J100" s="28" t="s">
        <v>30</v>
      </c>
      <c r="K100" s="28" t="s">
        <v>26</v>
      </c>
      <c r="L100" s="28">
        <v>5</v>
      </c>
      <c r="M100" s="28">
        <v>2</v>
      </c>
      <c r="N100" s="25">
        <f t="shared" si="1"/>
        <v>2.5</v>
      </c>
      <c r="O100" s="28" t="s">
        <v>811</v>
      </c>
      <c r="P100" s="28" t="s">
        <v>812</v>
      </c>
      <c r="Q100" s="28" t="s">
        <v>33</v>
      </c>
      <c r="R100" s="28" t="s">
        <v>756</v>
      </c>
      <c r="S100" s="28" t="s">
        <v>757</v>
      </c>
      <c r="T100" s="28" t="s">
        <v>813</v>
      </c>
      <c r="U100" s="28" t="s">
        <v>814</v>
      </c>
      <c r="V100" s="28"/>
    </row>
    <row r="101" spans="1:22" ht="34.5" customHeight="1" x14ac:dyDescent="0.25">
      <c r="A101" s="26">
        <v>14</v>
      </c>
      <c r="B101" s="27" t="s">
        <v>804</v>
      </c>
      <c r="C101" s="28" t="s">
        <v>805</v>
      </c>
      <c r="D101" s="28" t="s">
        <v>806</v>
      </c>
      <c r="E101" s="28" t="s">
        <v>815</v>
      </c>
      <c r="F101" s="28" t="s">
        <v>38</v>
      </c>
      <c r="G101" s="28" t="s">
        <v>816</v>
      </c>
      <c r="H101" s="28" t="s">
        <v>817</v>
      </c>
      <c r="I101" s="28" t="s">
        <v>818</v>
      </c>
      <c r="J101" s="28" t="s">
        <v>30</v>
      </c>
      <c r="K101" s="28" t="s">
        <v>38</v>
      </c>
      <c r="L101" s="28">
        <v>4</v>
      </c>
      <c r="M101" s="28">
        <v>1</v>
      </c>
      <c r="N101" s="25">
        <f t="shared" si="1"/>
        <v>1.25</v>
      </c>
      <c r="O101" s="28" t="s">
        <v>819</v>
      </c>
      <c r="P101" s="28" t="s">
        <v>820</v>
      </c>
      <c r="Q101" s="28" t="s">
        <v>33</v>
      </c>
      <c r="R101" s="28" t="s">
        <v>756</v>
      </c>
      <c r="S101" s="28" t="s">
        <v>757</v>
      </c>
      <c r="T101" s="28" t="s">
        <v>821</v>
      </c>
      <c r="U101" s="28" t="s">
        <v>822</v>
      </c>
      <c r="V101" s="28"/>
    </row>
    <row r="102" spans="1:22" ht="34.5" customHeight="1" x14ac:dyDescent="0.25">
      <c r="A102" s="26">
        <v>14</v>
      </c>
      <c r="B102" s="27" t="s">
        <v>804</v>
      </c>
      <c r="C102" s="28" t="s">
        <v>805</v>
      </c>
      <c r="D102" s="28" t="s">
        <v>806</v>
      </c>
      <c r="E102" s="28" t="s">
        <v>823</v>
      </c>
      <c r="F102" s="28" t="s">
        <v>46</v>
      </c>
      <c r="G102" s="28" t="s">
        <v>824</v>
      </c>
      <c r="H102" s="28" t="s">
        <v>825</v>
      </c>
      <c r="I102" s="28" t="s">
        <v>826</v>
      </c>
      <c r="J102" s="28" t="s">
        <v>30</v>
      </c>
      <c r="K102" s="28"/>
      <c r="L102" s="28">
        <v>2</v>
      </c>
      <c r="M102" s="28">
        <v>0.75</v>
      </c>
      <c r="N102" s="25">
        <f t="shared" si="1"/>
        <v>1</v>
      </c>
      <c r="O102" s="28" t="s">
        <v>827</v>
      </c>
      <c r="P102" s="28" t="s">
        <v>767</v>
      </c>
      <c r="Q102" s="28" t="s">
        <v>33</v>
      </c>
      <c r="R102" s="28" t="s">
        <v>756</v>
      </c>
      <c r="S102" s="28" t="s">
        <v>757</v>
      </c>
      <c r="T102" s="28" t="s">
        <v>828</v>
      </c>
      <c r="U102" s="28" t="s">
        <v>829</v>
      </c>
      <c r="V102" s="28"/>
    </row>
    <row r="103" spans="1:22" ht="34.5" customHeight="1" x14ac:dyDescent="0.25">
      <c r="A103" s="26">
        <v>14</v>
      </c>
      <c r="B103" s="27" t="s">
        <v>804</v>
      </c>
      <c r="C103" s="28" t="s">
        <v>805</v>
      </c>
      <c r="D103" s="28" t="s">
        <v>806</v>
      </c>
      <c r="E103" s="28" t="s">
        <v>830</v>
      </c>
      <c r="F103" s="28" t="s">
        <v>53</v>
      </c>
      <c r="G103" s="28" t="s">
        <v>831</v>
      </c>
      <c r="H103" s="28" t="s">
        <v>832</v>
      </c>
      <c r="I103" s="28" t="s">
        <v>833</v>
      </c>
      <c r="J103" s="28" t="s">
        <v>30</v>
      </c>
      <c r="K103" s="28"/>
      <c r="L103" s="28">
        <v>1</v>
      </c>
      <c r="M103" s="28">
        <v>0.5</v>
      </c>
      <c r="N103" s="25">
        <f t="shared" si="1"/>
        <v>0.5</v>
      </c>
      <c r="O103" s="28" t="s">
        <v>834</v>
      </c>
      <c r="P103" s="28" t="s">
        <v>767</v>
      </c>
      <c r="Q103" s="28" t="s">
        <v>33</v>
      </c>
      <c r="R103" s="28" t="s">
        <v>756</v>
      </c>
      <c r="S103" s="28" t="s">
        <v>757</v>
      </c>
      <c r="T103" s="28" t="s">
        <v>835</v>
      </c>
      <c r="U103" s="28" t="s">
        <v>836</v>
      </c>
      <c r="V103" s="28"/>
    </row>
    <row r="104" spans="1:22" ht="34.5" customHeight="1" x14ac:dyDescent="0.25">
      <c r="A104" s="26">
        <v>14</v>
      </c>
      <c r="B104" s="27" t="s">
        <v>804</v>
      </c>
      <c r="C104" s="28" t="s">
        <v>805</v>
      </c>
      <c r="D104" s="28" t="s">
        <v>806</v>
      </c>
      <c r="E104" s="28" t="s">
        <v>837</v>
      </c>
      <c r="F104" s="28" t="s">
        <v>64</v>
      </c>
      <c r="G104" s="28" t="s">
        <v>838</v>
      </c>
      <c r="H104" s="28" t="s">
        <v>839</v>
      </c>
      <c r="I104" s="28" t="s">
        <v>840</v>
      </c>
      <c r="J104" s="28" t="s">
        <v>30</v>
      </c>
      <c r="K104" s="28"/>
      <c r="L104" s="28">
        <v>2</v>
      </c>
      <c r="M104" s="28">
        <v>0.75</v>
      </c>
      <c r="N104" s="25">
        <f t="shared" si="1"/>
        <v>1</v>
      </c>
      <c r="O104" s="28" t="s">
        <v>841</v>
      </c>
      <c r="P104" s="28" t="s">
        <v>767</v>
      </c>
      <c r="Q104" s="28" t="s">
        <v>33</v>
      </c>
      <c r="R104" s="28" t="s">
        <v>756</v>
      </c>
      <c r="S104" s="28" t="s">
        <v>757</v>
      </c>
      <c r="T104" s="28" t="s">
        <v>842</v>
      </c>
      <c r="U104" s="28" t="s">
        <v>843</v>
      </c>
      <c r="V104" s="28"/>
    </row>
    <row r="105" spans="1:22" ht="34.5" customHeight="1" x14ac:dyDescent="0.25">
      <c r="A105" s="26">
        <v>14</v>
      </c>
      <c r="B105" s="27" t="s">
        <v>804</v>
      </c>
      <c r="C105" s="28" t="s">
        <v>805</v>
      </c>
      <c r="D105" s="28" t="s">
        <v>806</v>
      </c>
      <c r="E105" s="28" t="s">
        <v>844</v>
      </c>
      <c r="F105" s="28" t="s">
        <v>72</v>
      </c>
      <c r="G105" s="28" t="s">
        <v>845</v>
      </c>
      <c r="H105" s="28" t="s">
        <v>846</v>
      </c>
      <c r="I105" s="28" t="s">
        <v>847</v>
      </c>
      <c r="J105" s="28" t="s">
        <v>30</v>
      </c>
      <c r="K105" s="28"/>
      <c r="L105" s="28">
        <v>1</v>
      </c>
      <c r="M105" s="28">
        <v>0.5</v>
      </c>
      <c r="N105" s="25">
        <f t="shared" si="1"/>
        <v>0.5</v>
      </c>
      <c r="O105" s="28" t="s">
        <v>848</v>
      </c>
      <c r="P105" s="28" t="s">
        <v>767</v>
      </c>
      <c r="Q105" s="28" t="s">
        <v>33</v>
      </c>
      <c r="R105" s="28" t="s">
        <v>756</v>
      </c>
      <c r="S105" s="28" t="s">
        <v>757</v>
      </c>
      <c r="T105" s="28" t="s">
        <v>849</v>
      </c>
      <c r="U105" s="28" t="s">
        <v>850</v>
      </c>
      <c r="V105" s="28"/>
    </row>
    <row r="106" spans="1:22" ht="34.5" customHeight="1" x14ac:dyDescent="0.25">
      <c r="A106" s="26">
        <v>14</v>
      </c>
      <c r="B106" s="27" t="s">
        <v>804</v>
      </c>
      <c r="C106" s="28" t="s">
        <v>805</v>
      </c>
      <c r="D106" s="28" t="s">
        <v>806</v>
      </c>
      <c r="E106" s="28" t="s">
        <v>851</v>
      </c>
      <c r="F106" s="28" t="s">
        <v>112</v>
      </c>
      <c r="G106" s="28" t="s">
        <v>852</v>
      </c>
      <c r="H106" s="28" t="s">
        <v>853</v>
      </c>
      <c r="I106" s="28" t="s">
        <v>854</v>
      </c>
      <c r="J106" s="28" t="s">
        <v>116</v>
      </c>
      <c r="K106" s="28" t="s">
        <v>46</v>
      </c>
      <c r="L106" s="28">
        <v>4</v>
      </c>
      <c r="M106" s="28">
        <v>1.5</v>
      </c>
      <c r="N106" s="25">
        <f t="shared" si="1"/>
        <v>1.75</v>
      </c>
      <c r="O106" s="28" t="s">
        <v>774</v>
      </c>
      <c r="P106" s="28" t="s">
        <v>775</v>
      </c>
      <c r="Q106" s="28" t="s">
        <v>33</v>
      </c>
      <c r="R106" s="28" t="s">
        <v>756</v>
      </c>
      <c r="S106" s="28" t="s">
        <v>757</v>
      </c>
      <c r="T106" s="28" t="s">
        <v>855</v>
      </c>
      <c r="U106" s="28" t="s">
        <v>856</v>
      </c>
      <c r="V106" s="28"/>
    </row>
    <row r="107" spans="1:22" ht="34.5" customHeight="1" x14ac:dyDescent="0.25">
      <c r="A107" s="26">
        <v>14</v>
      </c>
      <c r="B107" s="27" t="s">
        <v>804</v>
      </c>
      <c r="C107" s="28" t="s">
        <v>805</v>
      </c>
      <c r="D107" s="28" t="s">
        <v>806</v>
      </c>
      <c r="E107" s="28" t="s">
        <v>823</v>
      </c>
      <c r="F107" s="28" t="s">
        <v>120</v>
      </c>
      <c r="G107" s="28" t="s">
        <v>857</v>
      </c>
      <c r="H107" s="28" t="s">
        <v>858</v>
      </c>
      <c r="I107" s="28" t="s">
        <v>859</v>
      </c>
      <c r="J107" s="28" t="s">
        <v>116</v>
      </c>
      <c r="K107" s="28" t="s">
        <v>860</v>
      </c>
      <c r="L107" s="28">
        <v>2</v>
      </c>
      <c r="M107" s="28">
        <v>0.75</v>
      </c>
      <c r="N107" s="25">
        <f t="shared" si="1"/>
        <v>1</v>
      </c>
      <c r="O107" s="28" t="s">
        <v>783</v>
      </c>
      <c r="P107" s="28" t="s">
        <v>280</v>
      </c>
      <c r="Q107" s="28" t="s">
        <v>33</v>
      </c>
      <c r="R107" s="28" t="s">
        <v>756</v>
      </c>
      <c r="S107" s="28" t="s">
        <v>757</v>
      </c>
      <c r="T107" s="28" t="s">
        <v>861</v>
      </c>
      <c r="U107" s="28" t="s">
        <v>862</v>
      </c>
      <c r="V107" s="28"/>
    </row>
    <row r="108" spans="1:22" ht="34.5" customHeight="1" x14ac:dyDescent="0.25">
      <c r="A108" s="26">
        <v>14</v>
      </c>
      <c r="B108" s="27" t="s">
        <v>804</v>
      </c>
      <c r="C108" s="28" t="s">
        <v>805</v>
      </c>
      <c r="D108" s="28" t="s">
        <v>806</v>
      </c>
      <c r="E108" s="28" t="s">
        <v>830</v>
      </c>
      <c r="F108" s="28" t="s">
        <v>127</v>
      </c>
      <c r="G108" s="28" t="s">
        <v>863</v>
      </c>
      <c r="H108" s="28" t="s">
        <v>864</v>
      </c>
      <c r="I108" s="28" t="s">
        <v>865</v>
      </c>
      <c r="J108" s="28" t="s">
        <v>116</v>
      </c>
      <c r="K108" s="28" t="s">
        <v>866</v>
      </c>
      <c r="L108" s="28">
        <v>1</v>
      </c>
      <c r="M108" s="28">
        <v>0.5</v>
      </c>
      <c r="N108" s="25">
        <f t="shared" si="1"/>
        <v>0.5</v>
      </c>
      <c r="O108" s="28" t="s">
        <v>783</v>
      </c>
      <c r="P108" s="28" t="s">
        <v>280</v>
      </c>
      <c r="Q108" s="28" t="s">
        <v>33</v>
      </c>
      <c r="R108" s="28" t="s">
        <v>756</v>
      </c>
      <c r="S108" s="28" t="s">
        <v>757</v>
      </c>
      <c r="T108" s="28" t="s">
        <v>867</v>
      </c>
      <c r="U108" s="28" t="s">
        <v>868</v>
      </c>
      <c r="V108" s="28"/>
    </row>
    <row r="109" spans="1:22" ht="34.5" customHeight="1" x14ac:dyDescent="0.25">
      <c r="A109" s="26">
        <v>14</v>
      </c>
      <c r="B109" s="27" t="s">
        <v>804</v>
      </c>
      <c r="C109" s="28" t="s">
        <v>805</v>
      </c>
      <c r="D109" s="28" t="s">
        <v>806</v>
      </c>
      <c r="E109" s="28" t="s">
        <v>869</v>
      </c>
      <c r="F109" s="28" t="s">
        <v>134</v>
      </c>
      <c r="G109" s="28" t="s">
        <v>870</v>
      </c>
      <c r="H109" s="28" t="s">
        <v>871</v>
      </c>
      <c r="I109" s="28" t="s">
        <v>872</v>
      </c>
      <c r="J109" s="28" t="s">
        <v>116</v>
      </c>
      <c r="K109" s="28" t="s">
        <v>873</v>
      </c>
      <c r="L109" s="28">
        <v>1</v>
      </c>
      <c r="M109" s="28">
        <v>0.5</v>
      </c>
      <c r="N109" s="25">
        <f t="shared" si="1"/>
        <v>0.5</v>
      </c>
      <c r="O109" s="28" t="s">
        <v>783</v>
      </c>
      <c r="P109" s="28" t="s">
        <v>280</v>
      </c>
      <c r="Q109" s="28" t="s">
        <v>33</v>
      </c>
      <c r="R109" s="28" t="s">
        <v>756</v>
      </c>
      <c r="S109" s="28" t="s">
        <v>757</v>
      </c>
      <c r="T109" s="28" t="s">
        <v>874</v>
      </c>
      <c r="U109" s="28" t="s">
        <v>875</v>
      </c>
      <c r="V109" s="28"/>
    </row>
    <row r="110" spans="1:22" ht="34.5" customHeight="1" x14ac:dyDescent="0.25">
      <c r="A110" s="26">
        <v>14</v>
      </c>
      <c r="B110" s="27" t="s">
        <v>804</v>
      </c>
      <c r="C110" s="28" t="s">
        <v>805</v>
      </c>
      <c r="D110" s="28" t="s">
        <v>806</v>
      </c>
      <c r="E110" s="28" t="s">
        <v>844</v>
      </c>
      <c r="F110" s="28" t="s">
        <v>142</v>
      </c>
      <c r="G110" s="28" t="s">
        <v>876</v>
      </c>
      <c r="H110" s="28" t="s">
        <v>877</v>
      </c>
      <c r="I110" s="28" t="s">
        <v>878</v>
      </c>
      <c r="J110" s="28" t="s">
        <v>116</v>
      </c>
      <c r="K110" s="28" t="s">
        <v>879</v>
      </c>
      <c r="L110" s="28">
        <v>1</v>
      </c>
      <c r="M110" s="28">
        <v>0.5</v>
      </c>
      <c r="N110" s="25">
        <f t="shared" si="1"/>
        <v>0.5</v>
      </c>
      <c r="O110" s="28" t="s">
        <v>783</v>
      </c>
      <c r="P110" s="28" t="s">
        <v>280</v>
      </c>
      <c r="Q110" s="28" t="s">
        <v>33</v>
      </c>
      <c r="R110" s="28" t="s">
        <v>756</v>
      </c>
      <c r="S110" s="28" t="s">
        <v>757</v>
      </c>
      <c r="T110" s="28" t="s">
        <v>880</v>
      </c>
      <c r="U110" s="28" t="s">
        <v>881</v>
      </c>
      <c r="V110" s="28"/>
    </row>
    <row r="111" spans="1:22" ht="34.5" customHeight="1" x14ac:dyDescent="0.25">
      <c r="A111" s="26">
        <v>14</v>
      </c>
      <c r="B111" s="27" t="s">
        <v>804</v>
      </c>
      <c r="C111" s="28" t="s">
        <v>805</v>
      </c>
      <c r="D111" s="28" t="s">
        <v>806</v>
      </c>
      <c r="E111" s="28" t="s">
        <v>882</v>
      </c>
      <c r="F111" s="28" t="s">
        <v>150</v>
      </c>
      <c r="G111" s="28" t="s">
        <v>883</v>
      </c>
      <c r="H111" s="28" t="s">
        <v>884</v>
      </c>
      <c r="I111" s="28" t="s">
        <v>885</v>
      </c>
      <c r="J111" s="28" t="s">
        <v>116</v>
      </c>
      <c r="K111" s="28" t="s">
        <v>886</v>
      </c>
      <c r="L111" s="28">
        <v>0.5</v>
      </c>
      <c r="M111" s="28">
        <v>0.25</v>
      </c>
      <c r="N111" s="25">
        <f t="shared" si="1"/>
        <v>0.25</v>
      </c>
      <c r="O111" s="28" t="s">
        <v>783</v>
      </c>
      <c r="P111" s="28" t="s">
        <v>280</v>
      </c>
      <c r="Q111" s="28" t="s">
        <v>33</v>
      </c>
      <c r="R111" s="28" t="s">
        <v>756</v>
      </c>
      <c r="S111" s="28" t="s">
        <v>757</v>
      </c>
      <c r="T111" s="28" t="s">
        <v>887</v>
      </c>
      <c r="U111" s="28" t="s">
        <v>888</v>
      </c>
      <c r="V111" s="28"/>
    </row>
    <row r="112" spans="1:22" ht="34.5" customHeight="1" x14ac:dyDescent="0.25">
      <c r="A112" s="26">
        <v>15</v>
      </c>
      <c r="B112" s="27" t="s">
        <v>889</v>
      </c>
      <c r="C112" s="28" t="s">
        <v>890</v>
      </c>
      <c r="D112" s="28" t="s">
        <v>891</v>
      </c>
      <c r="E112" s="28" t="s">
        <v>892</v>
      </c>
      <c r="F112" s="28" t="s">
        <v>26</v>
      </c>
      <c r="G112" s="28" t="s">
        <v>893</v>
      </c>
      <c r="H112" s="28" t="s">
        <v>894</v>
      </c>
      <c r="I112" s="28" t="s">
        <v>895</v>
      </c>
      <c r="J112" s="28" t="s">
        <v>30</v>
      </c>
      <c r="K112" s="28" t="s">
        <v>38</v>
      </c>
      <c r="L112" s="28">
        <v>5</v>
      </c>
      <c r="M112" s="28">
        <v>2</v>
      </c>
      <c r="N112" s="25">
        <f t="shared" si="1"/>
        <v>2.5</v>
      </c>
      <c r="O112" s="28" t="s">
        <v>896</v>
      </c>
      <c r="P112" s="28" t="s">
        <v>897</v>
      </c>
      <c r="Q112" s="28" t="s">
        <v>33</v>
      </c>
      <c r="R112" s="28" t="s">
        <v>756</v>
      </c>
      <c r="S112" s="28" t="s">
        <v>757</v>
      </c>
      <c r="T112" s="28" t="s">
        <v>898</v>
      </c>
      <c r="U112" s="28" t="s">
        <v>899</v>
      </c>
      <c r="V112" s="28"/>
    </row>
    <row r="113" spans="1:22" ht="34.5" customHeight="1" x14ac:dyDescent="0.25">
      <c r="A113" s="26">
        <v>15</v>
      </c>
      <c r="B113" s="27" t="s">
        <v>889</v>
      </c>
      <c r="C113" s="28" t="s">
        <v>890</v>
      </c>
      <c r="D113" s="28" t="s">
        <v>891</v>
      </c>
      <c r="E113" s="28" t="s">
        <v>900</v>
      </c>
      <c r="F113" s="28" t="s">
        <v>38</v>
      </c>
      <c r="G113" s="28" t="s">
        <v>901</v>
      </c>
      <c r="H113" s="28" t="s">
        <v>902</v>
      </c>
      <c r="I113" s="28" t="s">
        <v>903</v>
      </c>
      <c r="J113" s="28" t="s">
        <v>30</v>
      </c>
      <c r="K113" s="28"/>
      <c r="L113" s="28">
        <v>2</v>
      </c>
      <c r="M113" s="28">
        <v>0.75</v>
      </c>
      <c r="N113" s="25">
        <f t="shared" si="1"/>
        <v>1</v>
      </c>
      <c r="O113" s="28" t="s">
        <v>904</v>
      </c>
      <c r="P113" s="28" t="s">
        <v>767</v>
      </c>
      <c r="Q113" s="28" t="s">
        <v>33</v>
      </c>
      <c r="R113" s="28" t="s">
        <v>756</v>
      </c>
      <c r="S113" s="28" t="s">
        <v>757</v>
      </c>
      <c r="T113" s="28" t="s">
        <v>905</v>
      </c>
      <c r="U113" s="28" t="s">
        <v>906</v>
      </c>
      <c r="V113" s="28"/>
    </row>
    <row r="114" spans="1:22" ht="34.5" customHeight="1" x14ac:dyDescent="0.25">
      <c r="A114" s="26">
        <v>15</v>
      </c>
      <c r="B114" s="27" t="s">
        <v>889</v>
      </c>
      <c r="C114" s="28" t="s">
        <v>890</v>
      </c>
      <c r="D114" s="28" t="s">
        <v>891</v>
      </c>
      <c r="E114" s="28" t="s">
        <v>907</v>
      </c>
      <c r="F114" s="28" t="s">
        <v>46</v>
      </c>
      <c r="G114" s="28" t="s">
        <v>908</v>
      </c>
      <c r="H114" s="28" t="s">
        <v>909</v>
      </c>
      <c r="I114" s="28" t="s">
        <v>910</v>
      </c>
      <c r="J114" s="28" t="s">
        <v>30</v>
      </c>
      <c r="K114" s="28"/>
      <c r="L114" s="28">
        <v>1</v>
      </c>
      <c r="M114" s="28">
        <v>0.5</v>
      </c>
      <c r="N114" s="25">
        <f t="shared" si="1"/>
        <v>0.5</v>
      </c>
      <c r="O114" s="28" t="s">
        <v>911</v>
      </c>
      <c r="P114" s="28" t="s">
        <v>767</v>
      </c>
      <c r="Q114" s="28" t="s">
        <v>33</v>
      </c>
      <c r="R114" s="28" t="s">
        <v>756</v>
      </c>
      <c r="S114" s="28" t="s">
        <v>757</v>
      </c>
      <c r="T114" s="28" t="s">
        <v>912</v>
      </c>
      <c r="U114" s="28" t="s">
        <v>913</v>
      </c>
      <c r="V114" s="28"/>
    </row>
    <row r="115" spans="1:22" ht="34.5" customHeight="1" x14ac:dyDescent="0.25">
      <c r="A115" s="26">
        <v>15</v>
      </c>
      <c r="B115" s="27" t="s">
        <v>889</v>
      </c>
      <c r="C115" s="28" t="s">
        <v>890</v>
      </c>
      <c r="D115" s="28" t="s">
        <v>891</v>
      </c>
      <c r="E115" s="28" t="s">
        <v>914</v>
      </c>
      <c r="F115" s="28" t="s">
        <v>112</v>
      </c>
      <c r="G115" s="28" t="s">
        <v>915</v>
      </c>
      <c r="H115" s="28" t="s">
        <v>916</v>
      </c>
      <c r="I115" s="28" t="s">
        <v>917</v>
      </c>
      <c r="J115" s="28" t="s">
        <v>116</v>
      </c>
      <c r="K115" s="28" t="s">
        <v>918</v>
      </c>
      <c r="L115" s="28">
        <v>3</v>
      </c>
      <c r="M115" s="28">
        <v>1</v>
      </c>
      <c r="N115" s="25">
        <f t="shared" si="1"/>
        <v>1.25</v>
      </c>
      <c r="O115" s="28" t="s">
        <v>919</v>
      </c>
      <c r="P115" s="28" t="s">
        <v>920</v>
      </c>
      <c r="Q115" s="28" t="s">
        <v>33</v>
      </c>
      <c r="R115" s="28" t="s">
        <v>921</v>
      </c>
      <c r="S115" s="28" t="s">
        <v>757</v>
      </c>
      <c r="T115" s="28" t="s">
        <v>922</v>
      </c>
      <c r="U115" s="28" t="s">
        <v>923</v>
      </c>
      <c r="V115" s="28"/>
    </row>
    <row r="116" spans="1:22" ht="34.5" customHeight="1" x14ac:dyDescent="0.25">
      <c r="A116" s="26">
        <v>15</v>
      </c>
      <c r="B116" s="27" t="s">
        <v>889</v>
      </c>
      <c r="C116" s="28" t="s">
        <v>890</v>
      </c>
      <c r="D116" s="28" t="s">
        <v>891</v>
      </c>
      <c r="E116" s="28" t="s">
        <v>924</v>
      </c>
      <c r="F116" s="28" t="s">
        <v>120</v>
      </c>
      <c r="G116" s="28" t="s">
        <v>925</v>
      </c>
      <c r="H116" s="28" t="s">
        <v>926</v>
      </c>
      <c r="I116" s="28" t="s">
        <v>927</v>
      </c>
      <c r="J116" s="28" t="s">
        <v>116</v>
      </c>
      <c r="K116" s="28" t="s">
        <v>928</v>
      </c>
      <c r="L116" s="28">
        <v>1</v>
      </c>
      <c r="M116" s="28">
        <v>0.5</v>
      </c>
      <c r="N116" s="25">
        <f t="shared" si="1"/>
        <v>0.5</v>
      </c>
      <c r="O116" s="28" t="s">
        <v>783</v>
      </c>
      <c r="P116" s="28" t="s">
        <v>280</v>
      </c>
      <c r="Q116" s="28" t="s">
        <v>33</v>
      </c>
      <c r="R116" s="28" t="s">
        <v>756</v>
      </c>
      <c r="S116" s="28" t="s">
        <v>757</v>
      </c>
      <c r="T116" s="28" t="s">
        <v>929</v>
      </c>
      <c r="U116" s="28" t="s">
        <v>930</v>
      </c>
      <c r="V116" s="28"/>
    </row>
    <row r="117" spans="1:22" ht="34.5" customHeight="1" x14ac:dyDescent="0.25">
      <c r="A117" s="26">
        <v>15</v>
      </c>
      <c r="B117" s="27" t="s">
        <v>889</v>
      </c>
      <c r="C117" s="28" t="s">
        <v>890</v>
      </c>
      <c r="D117" s="28" t="s">
        <v>891</v>
      </c>
      <c r="E117" s="28" t="s">
        <v>931</v>
      </c>
      <c r="F117" s="28" t="s">
        <v>127</v>
      </c>
      <c r="G117" s="28" t="s">
        <v>932</v>
      </c>
      <c r="H117" s="28" t="s">
        <v>933</v>
      </c>
      <c r="I117" s="28" t="s">
        <v>934</v>
      </c>
      <c r="J117" s="28" t="s">
        <v>116</v>
      </c>
      <c r="K117" s="28" t="s">
        <v>928</v>
      </c>
      <c r="L117" s="28">
        <v>1</v>
      </c>
      <c r="M117" s="28">
        <v>0.5</v>
      </c>
      <c r="N117" s="25">
        <f t="shared" si="1"/>
        <v>0.5</v>
      </c>
      <c r="O117" s="28" t="s">
        <v>783</v>
      </c>
      <c r="P117" s="28" t="s">
        <v>280</v>
      </c>
      <c r="Q117" s="28" t="s">
        <v>33</v>
      </c>
      <c r="R117" s="28" t="s">
        <v>756</v>
      </c>
      <c r="S117" s="28" t="s">
        <v>757</v>
      </c>
      <c r="T117" s="28" t="s">
        <v>935</v>
      </c>
      <c r="U117" s="28" t="s">
        <v>936</v>
      </c>
      <c r="V117" s="28"/>
    </row>
    <row r="118" spans="1:22" ht="34.5" customHeight="1" x14ac:dyDescent="0.25">
      <c r="A118" s="26">
        <v>15</v>
      </c>
      <c r="B118" s="27" t="s">
        <v>889</v>
      </c>
      <c r="C118" s="28" t="s">
        <v>890</v>
      </c>
      <c r="D118" s="28" t="s">
        <v>891</v>
      </c>
      <c r="E118" s="28" t="s">
        <v>907</v>
      </c>
      <c r="F118" s="28" t="s">
        <v>134</v>
      </c>
      <c r="G118" s="28" t="s">
        <v>937</v>
      </c>
      <c r="H118" s="28" t="s">
        <v>938</v>
      </c>
      <c r="I118" s="28" t="s">
        <v>939</v>
      </c>
      <c r="J118" s="28" t="s">
        <v>116</v>
      </c>
      <c r="K118" s="28" t="s">
        <v>940</v>
      </c>
      <c r="L118" s="28">
        <v>1</v>
      </c>
      <c r="M118" s="28">
        <v>0.5</v>
      </c>
      <c r="N118" s="25">
        <f t="shared" si="1"/>
        <v>0.5</v>
      </c>
      <c r="O118" s="28" t="s">
        <v>783</v>
      </c>
      <c r="P118" s="28" t="s">
        <v>280</v>
      </c>
      <c r="Q118" s="28" t="s">
        <v>33</v>
      </c>
      <c r="R118" s="28" t="s">
        <v>756</v>
      </c>
      <c r="S118" s="28" t="s">
        <v>757</v>
      </c>
      <c r="T118" s="28" t="s">
        <v>941</v>
      </c>
      <c r="U118" s="28" t="s">
        <v>942</v>
      </c>
      <c r="V118" s="28"/>
    </row>
    <row r="119" spans="1:22" ht="34.5" customHeight="1" x14ac:dyDescent="0.25">
      <c r="A119" s="26">
        <v>15</v>
      </c>
      <c r="B119" s="27" t="s">
        <v>889</v>
      </c>
      <c r="C119" s="28" t="s">
        <v>890</v>
      </c>
      <c r="D119" s="28" t="s">
        <v>891</v>
      </c>
      <c r="E119" s="28" t="s">
        <v>943</v>
      </c>
      <c r="F119" s="28" t="s">
        <v>142</v>
      </c>
      <c r="G119" s="28" t="s">
        <v>944</v>
      </c>
      <c r="H119" s="28" t="s">
        <v>945</v>
      </c>
      <c r="I119" s="28" t="s">
        <v>946</v>
      </c>
      <c r="J119" s="28" t="s">
        <v>116</v>
      </c>
      <c r="K119" s="28" t="s">
        <v>947</v>
      </c>
      <c r="L119" s="28">
        <v>0.5</v>
      </c>
      <c r="M119" s="28">
        <v>0.25</v>
      </c>
      <c r="N119" s="25">
        <f t="shared" si="1"/>
        <v>0.25</v>
      </c>
      <c r="O119" s="28" t="s">
        <v>783</v>
      </c>
      <c r="P119" s="28" t="s">
        <v>280</v>
      </c>
      <c r="Q119" s="28" t="s">
        <v>33</v>
      </c>
      <c r="R119" s="28" t="s">
        <v>756</v>
      </c>
      <c r="S119" s="28" t="s">
        <v>757</v>
      </c>
      <c r="T119" s="28" t="s">
        <v>948</v>
      </c>
      <c r="U119" s="28" t="s">
        <v>949</v>
      </c>
      <c r="V119" s="28"/>
    </row>
    <row r="120" spans="1:22" ht="34.5" customHeight="1" x14ac:dyDescent="0.25">
      <c r="A120" s="26">
        <v>16</v>
      </c>
      <c r="B120" s="27" t="s">
        <v>950</v>
      </c>
      <c r="C120" s="28" t="s">
        <v>951</v>
      </c>
      <c r="D120" s="28" t="s">
        <v>952</v>
      </c>
      <c r="E120" s="28" t="s">
        <v>953</v>
      </c>
      <c r="F120" s="28" t="s">
        <v>26</v>
      </c>
      <c r="G120" s="28" t="s">
        <v>954</v>
      </c>
      <c r="H120" s="28" t="s">
        <v>955</v>
      </c>
      <c r="I120" s="28" t="s">
        <v>956</v>
      </c>
      <c r="J120" s="28" t="s">
        <v>30</v>
      </c>
      <c r="K120" s="28" t="s">
        <v>957</v>
      </c>
      <c r="L120" s="28">
        <v>5</v>
      </c>
      <c r="M120" s="28">
        <v>2</v>
      </c>
      <c r="N120" s="25">
        <f t="shared" si="1"/>
        <v>2.5</v>
      </c>
      <c r="O120" s="28" t="s">
        <v>958</v>
      </c>
      <c r="P120" s="28" t="s">
        <v>959</v>
      </c>
      <c r="Q120" s="28" t="s">
        <v>33</v>
      </c>
      <c r="R120" s="28" t="s">
        <v>756</v>
      </c>
      <c r="S120" s="28" t="s">
        <v>757</v>
      </c>
      <c r="T120" s="28" t="s">
        <v>960</v>
      </c>
      <c r="U120" s="28" t="s">
        <v>961</v>
      </c>
      <c r="V120" s="28"/>
    </row>
    <row r="121" spans="1:22" ht="34.5" customHeight="1" x14ac:dyDescent="0.25">
      <c r="A121" s="26">
        <v>16</v>
      </c>
      <c r="B121" s="27" t="s">
        <v>950</v>
      </c>
      <c r="C121" s="28" t="s">
        <v>951</v>
      </c>
      <c r="D121" s="28" t="s">
        <v>952</v>
      </c>
      <c r="E121" s="28" t="s">
        <v>953</v>
      </c>
      <c r="F121" s="28" t="s">
        <v>38</v>
      </c>
      <c r="G121" s="28" t="s">
        <v>962</v>
      </c>
      <c r="H121" s="28" t="s">
        <v>963</v>
      </c>
      <c r="I121" s="28" t="s">
        <v>964</v>
      </c>
      <c r="J121" s="28" t="s">
        <v>30</v>
      </c>
      <c r="K121" s="28" t="s">
        <v>965</v>
      </c>
      <c r="L121" s="28">
        <v>1</v>
      </c>
      <c r="M121" s="28">
        <v>0.5</v>
      </c>
      <c r="N121" s="25">
        <f t="shared" si="1"/>
        <v>0.5</v>
      </c>
      <c r="O121" s="28" t="s">
        <v>966</v>
      </c>
      <c r="P121" s="28" t="s">
        <v>767</v>
      </c>
      <c r="Q121" s="28" t="s">
        <v>33</v>
      </c>
      <c r="R121" s="28" t="s">
        <v>756</v>
      </c>
      <c r="S121" s="28" t="s">
        <v>757</v>
      </c>
      <c r="T121" s="28" t="s">
        <v>967</v>
      </c>
      <c r="U121" s="28" t="s">
        <v>968</v>
      </c>
      <c r="V121" s="28"/>
    </row>
    <row r="122" spans="1:22" ht="34.5" customHeight="1" x14ac:dyDescent="0.25">
      <c r="A122" s="26">
        <v>16</v>
      </c>
      <c r="B122" s="27" t="s">
        <v>950</v>
      </c>
      <c r="C122" s="28" t="s">
        <v>951</v>
      </c>
      <c r="D122" s="28" t="s">
        <v>952</v>
      </c>
      <c r="E122" s="28" t="s">
        <v>969</v>
      </c>
      <c r="F122" s="28" t="s">
        <v>46</v>
      </c>
      <c r="G122" s="28" t="s">
        <v>970</v>
      </c>
      <c r="H122" s="28" t="s">
        <v>971</v>
      </c>
      <c r="I122" s="28" t="s">
        <v>972</v>
      </c>
      <c r="J122" s="28" t="s">
        <v>30</v>
      </c>
      <c r="K122" s="28" t="s">
        <v>973</v>
      </c>
      <c r="L122" s="28">
        <v>2</v>
      </c>
      <c r="M122" s="28">
        <v>0.5</v>
      </c>
      <c r="N122" s="25">
        <f t="shared" si="1"/>
        <v>0.5</v>
      </c>
      <c r="O122" s="28" t="s">
        <v>974</v>
      </c>
      <c r="P122" s="28" t="s">
        <v>975</v>
      </c>
      <c r="Q122" s="28" t="s">
        <v>60</v>
      </c>
      <c r="R122" s="28" t="s">
        <v>921</v>
      </c>
      <c r="S122" s="28" t="s">
        <v>757</v>
      </c>
      <c r="T122" s="28" t="s">
        <v>976</v>
      </c>
      <c r="U122" s="28" t="s">
        <v>977</v>
      </c>
      <c r="V122" s="28"/>
    </row>
    <row r="123" spans="1:22" ht="34.5" customHeight="1" x14ac:dyDescent="0.25">
      <c r="A123" s="26">
        <v>16</v>
      </c>
      <c r="B123" s="27" t="s">
        <v>950</v>
      </c>
      <c r="C123" s="28" t="s">
        <v>951</v>
      </c>
      <c r="D123" s="28" t="s">
        <v>952</v>
      </c>
      <c r="E123" s="28" t="s">
        <v>978</v>
      </c>
      <c r="F123" s="28" t="s">
        <v>112</v>
      </c>
      <c r="G123" s="28" t="s">
        <v>979</v>
      </c>
      <c r="H123" s="28" t="s">
        <v>980</v>
      </c>
      <c r="I123" s="28" t="s">
        <v>981</v>
      </c>
      <c r="J123" s="28" t="s">
        <v>116</v>
      </c>
      <c r="K123" s="28" t="s">
        <v>72</v>
      </c>
      <c r="L123" s="28">
        <v>5</v>
      </c>
      <c r="M123" s="28">
        <v>2</v>
      </c>
      <c r="N123" s="25">
        <f t="shared" si="1"/>
        <v>2.5</v>
      </c>
      <c r="O123" s="28" t="s">
        <v>774</v>
      </c>
      <c r="P123" s="28" t="s">
        <v>982</v>
      </c>
      <c r="Q123" s="28" t="s">
        <v>33</v>
      </c>
      <c r="R123" s="28" t="s">
        <v>756</v>
      </c>
      <c r="S123" s="28" t="s">
        <v>757</v>
      </c>
      <c r="T123" s="28" t="s">
        <v>983</v>
      </c>
      <c r="U123" s="28" t="s">
        <v>984</v>
      </c>
      <c r="V123" s="28"/>
    </row>
    <row r="124" spans="1:22" ht="34.5" customHeight="1" x14ac:dyDescent="0.25">
      <c r="A124" s="26">
        <v>16</v>
      </c>
      <c r="B124" s="27" t="s">
        <v>950</v>
      </c>
      <c r="C124" s="28" t="s">
        <v>951</v>
      </c>
      <c r="D124" s="28" t="s">
        <v>952</v>
      </c>
      <c r="E124" s="28" t="s">
        <v>985</v>
      </c>
      <c r="F124" s="28" t="s">
        <v>120</v>
      </c>
      <c r="G124" s="28" t="s">
        <v>986</v>
      </c>
      <c r="H124" s="28" t="s">
        <v>987</v>
      </c>
      <c r="I124" s="28" t="s">
        <v>988</v>
      </c>
      <c r="J124" s="28" t="s">
        <v>116</v>
      </c>
      <c r="K124" s="28" t="s">
        <v>965</v>
      </c>
      <c r="L124" s="28">
        <v>2</v>
      </c>
      <c r="M124" s="28">
        <v>0.75</v>
      </c>
      <c r="N124" s="25">
        <f t="shared" si="1"/>
        <v>1</v>
      </c>
      <c r="O124" s="28" t="s">
        <v>774</v>
      </c>
      <c r="P124" s="28" t="s">
        <v>280</v>
      </c>
      <c r="Q124" s="28" t="s">
        <v>33</v>
      </c>
      <c r="R124" s="28" t="s">
        <v>756</v>
      </c>
      <c r="S124" s="28" t="s">
        <v>757</v>
      </c>
      <c r="T124" s="28" t="s">
        <v>989</v>
      </c>
      <c r="U124" s="28" t="s">
        <v>990</v>
      </c>
      <c r="V124" s="28"/>
    </row>
    <row r="125" spans="1:22" ht="34.5" customHeight="1" x14ac:dyDescent="0.25">
      <c r="A125" s="26">
        <v>16</v>
      </c>
      <c r="B125" s="27" t="s">
        <v>950</v>
      </c>
      <c r="C125" s="28" t="s">
        <v>951</v>
      </c>
      <c r="D125" s="28" t="s">
        <v>952</v>
      </c>
      <c r="E125" s="28" t="s">
        <v>991</v>
      </c>
      <c r="F125" s="28" t="s">
        <v>127</v>
      </c>
      <c r="G125" s="28" t="s">
        <v>992</v>
      </c>
      <c r="H125" s="28" t="s">
        <v>993</v>
      </c>
      <c r="I125" s="28" t="s">
        <v>994</v>
      </c>
      <c r="J125" s="28" t="s">
        <v>116</v>
      </c>
      <c r="K125" s="28" t="s">
        <v>965</v>
      </c>
      <c r="L125" s="28">
        <v>2</v>
      </c>
      <c r="M125" s="28">
        <v>1</v>
      </c>
      <c r="N125" s="25">
        <f t="shared" si="1"/>
        <v>1.25</v>
      </c>
      <c r="O125" s="28" t="s">
        <v>774</v>
      </c>
      <c r="P125" s="28" t="s">
        <v>280</v>
      </c>
      <c r="Q125" s="28" t="s">
        <v>33</v>
      </c>
      <c r="R125" s="28" t="s">
        <v>756</v>
      </c>
      <c r="S125" s="28" t="s">
        <v>757</v>
      </c>
      <c r="T125" s="28" t="s">
        <v>995</v>
      </c>
      <c r="U125" s="28" t="s">
        <v>996</v>
      </c>
      <c r="V125" s="28"/>
    </row>
    <row r="126" spans="1:22" ht="34.5" customHeight="1" x14ac:dyDescent="0.25">
      <c r="A126" s="26">
        <v>16</v>
      </c>
      <c r="B126" s="27" t="s">
        <v>950</v>
      </c>
      <c r="C126" s="28" t="s">
        <v>951</v>
      </c>
      <c r="D126" s="28" t="s">
        <v>952</v>
      </c>
      <c r="E126" s="28" t="s">
        <v>997</v>
      </c>
      <c r="F126" s="28" t="s">
        <v>134</v>
      </c>
      <c r="G126" s="28" t="s">
        <v>998</v>
      </c>
      <c r="H126" s="28" t="s">
        <v>999</v>
      </c>
      <c r="I126" s="28" t="s">
        <v>1000</v>
      </c>
      <c r="J126" s="28" t="s">
        <v>116</v>
      </c>
      <c r="K126" s="28" t="s">
        <v>965</v>
      </c>
      <c r="L126" s="28">
        <v>2</v>
      </c>
      <c r="M126" s="28">
        <v>1</v>
      </c>
      <c r="N126" s="25">
        <f t="shared" si="1"/>
        <v>1.25</v>
      </c>
      <c r="O126" s="28" t="s">
        <v>783</v>
      </c>
      <c r="P126" s="28" t="s">
        <v>280</v>
      </c>
      <c r="Q126" s="28" t="s">
        <v>33</v>
      </c>
      <c r="R126" s="28" t="s">
        <v>756</v>
      </c>
      <c r="S126" s="28" t="s">
        <v>757</v>
      </c>
      <c r="T126" s="28" t="s">
        <v>1001</v>
      </c>
      <c r="U126" s="28" t="s">
        <v>1002</v>
      </c>
      <c r="V126" s="28"/>
    </row>
    <row r="127" spans="1:22" ht="34.5" customHeight="1" x14ac:dyDescent="0.25">
      <c r="A127" s="26">
        <v>16</v>
      </c>
      <c r="B127" s="27" t="s">
        <v>950</v>
      </c>
      <c r="C127" s="28" t="s">
        <v>951</v>
      </c>
      <c r="D127" s="28" t="s">
        <v>952</v>
      </c>
      <c r="E127" s="28" t="s">
        <v>1003</v>
      </c>
      <c r="F127" s="28" t="s">
        <v>142</v>
      </c>
      <c r="G127" s="28" t="s">
        <v>1004</v>
      </c>
      <c r="H127" s="28" t="s">
        <v>1005</v>
      </c>
      <c r="I127" s="28" t="s">
        <v>1006</v>
      </c>
      <c r="J127" s="28" t="s">
        <v>116</v>
      </c>
      <c r="K127" s="28" t="s">
        <v>1007</v>
      </c>
      <c r="L127" s="28">
        <v>0.5</v>
      </c>
      <c r="M127" s="28">
        <v>0.25</v>
      </c>
      <c r="N127" s="25">
        <f t="shared" si="1"/>
        <v>0.25</v>
      </c>
      <c r="O127" s="28" t="s">
        <v>783</v>
      </c>
      <c r="P127" s="28" t="s">
        <v>280</v>
      </c>
      <c r="Q127" s="28" t="s">
        <v>33</v>
      </c>
      <c r="R127" s="28" t="s">
        <v>756</v>
      </c>
      <c r="S127" s="28" t="s">
        <v>757</v>
      </c>
      <c r="T127" s="28" t="s">
        <v>1008</v>
      </c>
      <c r="U127" s="28" t="s">
        <v>1009</v>
      </c>
      <c r="V127" s="28"/>
    </row>
    <row r="128" spans="1:22" ht="34.5" customHeight="1" x14ac:dyDescent="0.25">
      <c r="A128" s="26">
        <v>16</v>
      </c>
      <c r="B128" s="27" t="s">
        <v>950</v>
      </c>
      <c r="C128" s="28" t="s">
        <v>951</v>
      </c>
      <c r="D128" s="28" t="s">
        <v>952</v>
      </c>
      <c r="E128" s="28" t="s">
        <v>1010</v>
      </c>
      <c r="F128" s="28" t="s">
        <v>150</v>
      </c>
      <c r="G128" s="28" t="s">
        <v>1011</v>
      </c>
      <c r="H128" s="28" t="s">
        <v>1012</v>
      </c>
      <c r="I128" s="28" t="s">
        <v>1013</v>
      </c>
      <c r="J128" s="28" t="s">
        <v>116</v>
      </c>
      <c r="K128" s="28" t="s">
        <v>26</v>
      </c>
      <c r="L128" s="28">
        <v>2</v>
      </c>
      <c r="M128" s="28">
        <v>0.5</v>
      </c>
      <c r="N128" s="25">
        <f t="shared" si="1"/>
        <v>0.5</v>
      </c>
      <c r="O128" s="28" t="s">
        <v>1014</v>
      </c>
      <c r="P128" s="28" t="s">
        <v>280</v>
      </c>
      <c r="Q128" s="28" t="s">
        <v>60</v>
      </c>
      <c r="R128" s="28" t="s">
        <v>34</v>
      </c>
      <c r="S128" s="28" t="s">
        <v>757</v>
      </c>
      <c r="T128" s="28" t="s">
        <v>1015</v>
      </c>
      <c r="U128" s="28" t="s">
        <v>1016</v>
      </c>
      <c r="V128" s="28"/>
    </row>
    <row r="129" spans="1:22" ht="34.5" customHeight="1" x14ac:dyDescent="0.25">
      <c r="A129" s="26">
        <v>17</v>
      </c>
      <c r="B129" s="27" t="s">
        <v>1017</v>
      </c>
      <c r="C129" s="28" t="s">
        <v>1018</v>
      </c>
      <c r="D129" s="28" t="s">
        <v>1019</v>
      </c>
      <c r="E129" s="28" t="s">
        <v>1020</v>
      </c>
      <c r="F129" s="28" t="s">
        <v>26</v>
      </c>
      <c r="G129" s="28" t="s">
        <v>1021</v>
      </c>
      <c r="H129" s="28" t="s">
        <v>1022</v>
      </c>
      <c r="I129" s="28" t="s">
        <v>1023</v>
      </c>
      <c r="J129" s="28" t="s">
        <v>30</v>
      </c>
      <c r="K129" s="28"/>
      <c r="L129" s="28">
        <v>4</v>
      </c>
      <c r="M129" s="28">
        <v>1</v>
      </c>
      <c r="N129" s="25">
        <f t="shared" si="1"/>
        <v>1.25</v>
      </c>
      <c r="O129" s="28" t="s">
        <v>1024</v>
      </c>
      <c r="P129" s="28" t="s">
        <v>1025</v>
      </c>
      <c r="Q129" s="28" t="s">
        <v>484</v>
      </c>
      <c r="R129" s="28" t="s">
        <v>1026</v>
      </c>
      <c r="S129" s="28" t="s">
        <v>1027</v>
      </c>
      <c r="T129" s="28" t="s">
        <v>1028</v>
      </c>
      <c r="U129" s="28" t="s">
        <v>1029</v>
      </c>
      <c r="V129" s="28"/>
    </row>
    <row r="130" spans="1:22" ht="34.5" customHeight="1" x14ac:dyDescent="0.25">
      <c r="A130" s="26">
        <v>17</v>
      </c>
      <c r="B130" s="27" t="s">
        <v>1017</v>
      </c>
      <c r="C130" s="28" t="s">
        <v>1018</v>
      </c>
      <c r="D130" s="28" t="s">
        <v>1019</v>
      </c>
      <c r="E130" s="28" t="s">
        <v>1020</v>
      </c>
      <c r="F130" s="28" t="s">
        <v>38</v>
      </c>
      <c r="G130" s="28" t="s">
        <v>1030</v>
      </c>
      <c r="H130" s="28" t="s">
        <v>1031</v>
      </c>
      <c r="I130" s="28" t="s">
        <v>1032</v>
      </c>
      <c r="J130" s="28" t="s">
        <v>30</v>
      </c>
      <c r="K130" s="28" t="s">
        <v>1033</v>
      </c>
      <c r="L130" s="28">
        <v>2</v>
      </c>
      <c r="M130" s="28">
        <v>0.5</v>
      </c>
      <c r="N130" s="25">
        <f t="shared" ref="N130:N193" si="2">MAX(ROUND(M130*1.2/0.25,0)*0.25,0.25)</f>
        <v>0.5</v>
      </c>
      <c r="O130" s="28" t="s">
        <v>1034</v>
      </c>
      <c r="P130" s="28" t="s">
        <v>1035</v>
      </c>
      <c r="Q130" s="28" t="s">
        <v>484</v>
      </c>
      <c r="R130" s="28" t="s">
        <v>1026</v>
      </c>
      <c r="S130" s="28" t="s">
        <v>1027</v>
      </c>
      <c r="T130" s="28" t="s">
        <v>1028</v>
      </c>
      <c r="U130" s="28" t="s">
        <v>1036</v>
      </c>
      <c r="V130" s="28"/>
    </row>
    <row r="131" spans="1:22" ht="34.5" customHeight="1" x14ac:dyDescent="0.25">
      <c r="A131" s="26">
        <v>17</v>
      </c>
      <c r="B131" s="27" t="s">
        <v>1017</v>
      </c>
      <c r="C131" s="28" t="s">
        <v>1018</v>
      </c>
      <c r="D131" s="28" t="s">
        <v>1019</v>
      </c>
      <c r="E131" s="28" t="s">
        <v>1037</v>
      </c>
      <c r="F131" s="28" t="s">
        <v>46</v>
      </c>
      <c r="G131" s="28" t="s">
        <v>1038</v>
      </c>
      <c r="H131" s="28" t="s">
        <v>1039</v>
      </c>
      <c r="I131" s="28" t="s">
        <v>1040</v>
      </c>
      <c r="J131" s="28" t="s">
        <v>30</v>
      </c>
      <c r="K131" s="28" t="s">
        <v>1041</v>
      </c>
      <c r="L131" s="28">
        <v>3</v>
      </c>
      <c r="M131" s="28">
        <v>1</v>
      </c>
      <c r="N131" s="25">
        <f t="shared" si="2"/>
        <v>1.25</v>
      </c>
      <c r="O131" s="28" t="s">
        <v>1042</v>
      </c>
      <c r="P131" s="28" t="s">
        <v>1043</v>
      </c>
      <c r="Q131" s="28" t="s">
        <v>33</v>
      </c>
      <c r="R131" s="28" t="s">
        <v>921</v>
      </c>
      <c r="S131" s="28" t="s">
        <v>757</v>
      </c>
      <c r="T131" s="28" t="s">
        <v>1044</v>
      </c>
      <c r="U131" s="28" t="s">
        <v>1045</v>
      </c>
      <c r="V131" s="28"/>
    </row>
    <row r="132" spans="1:22" ht="34.5" customHeight="1" x14ac:dyDescent="0.25">
      <c r="A132" s="26">
        <v>17</v>
      </c>
      <c r="B132" s="27" t="s">
        <v>1017</v>
      </c>
      <c r="C132" s="28" t="s">
        <v>1018</v>
      </c>
      <c r="D132" s="28" t="s">
        <v>1019</v>
      </c>
      <c r="E132" s="28" t="s">
        <v>1046</v>
      </c>
      <c r="F132" s="28" t="s">
        <v>53</v>
      </c>
      <c r="G132" s="28" t="s">
        <v>1047</v>
      </c>
      <c r="H132" s="28" t="s">
        <v>1048</v>
      </c>
      <c r="I132" s="28" t="s">
        <v>1049</v>
      </c>
      <c r="J132" s="28" t="s">
        <v>30</v>
      </c>
      <c r="K132" s="28" t="s">
        <v>1050</v>
      </c>
      <c r="L132" s="28">
        <v>3</v>
      </c>
      <c r="M132" s="28">
        <v>1</v>
      </c>
      <c r="N132" s="25">
        <f t="shared" si="2"/>
        <v>1.25</v>
      </c>
      <c r="O132" s="28" t="s">
        <v>1051</v>
      </c>
      <c r="P132" s="28" t="s">
        <v>1052</v>
      </c>
      <c r="Q132" s="28" t="s">
        <v>484</v>
      </c>
      <c r="R132" s="28" t="s">
        <v>1053</v>
      </c>
      <c r="S132" s="28" t="s">
        <v>1054</v>
      </c>
      <c r="T132" s="28" t="s">
        <v>1055</v>
      </c>
      <c r="U132" s="28" t="s">
        <v>1056</v>
      </c>
      <c r="V132" s="28" t="s">
        <v>1057</v>
      </c>
    </row>
    <row r="133" spans="1:22" ht="34.5" customHeight="1" x14ac:dyDescent="0.25">
      <c r="A133" s="26">
        <v>17</v>
      </c>
      <c r="B133" s="27" t="s">
        <v>1017</v>
      </c>
      <c r="C133" s="28" t="s">
        <v>1018</v>
      </c>
      <c r="D133" s="28" t="s">
        <v>1019</v>
      </c>
      <c r="E133" s="28" t="s">
        <v>1058</v>
      </c>
      <c r="F133" s="28" t="s">
        <v>64</v>
      </c>
      <c r="G133" s="28" t="s">
        <v>1059</v>
      </c>
      <c r="H133" s="28" t="s">
        <v>1060</v>
      </c>
      <c r="I133" s="28" t="s">
        <v>1061</v>
      </c>
      <c r="J133" s="28" t="s">
        <v>30</v>
      </c>
      <c r="K133" s="28" t="s">
        <v>1062</v>
      </c>
      <c r="L133" s="28">
        <v>2</v>
      </c>
      <c r="M133" s="28">
        <v>0.75</v>
      </c>
      <c r="N133" s="25">
        <f t="shared" si="2"/>
        <v>1</v>
      </c>
      <c r="O133" s="28" t="s">
        <v>1063</v>
      </c>
      <c r="P133" s="28" t="s">
        <v>1064</v>
      </c>
      <c r="Q133" s="28" t="s">
        <v>60</v>
      </c>
      <c r="R133" s="28" t="s">
        <v>756</v>
      </c>
      <c r="S133" s="28" t="s">
        <v>757</v>
      </c>
      <c r="T133" s="28" t="s">
        <v>1065</v>
      </c>
      <c r="U133" s="28" t="s">
        <v>1066</v>
      </c>
      <c r="V133" s="28"/>
    </row>
    <row r="134" spans="1:22" ht="34.5" customHeight="1" x14ac:dyDescent="0.25">
      <c r="A134" s="26">
        <v>17</v>
      </c>
      <c r="B134" s="27" t="s">
        <v>1017</v>
      </c>
      <c r="C134" s="28" t="s">
        <v>1018</v>
      </c>
      <c r="D134" s="28" t="s">
        <v>1019</v>
      </c>
      <c r="E134" s="28" t="s">
        <v>1067</v>
      </c>
      <c r="F134" s="28" t="s">
        <v>72</v>
      </c>
      <c r="G134" s="28" t="s">
        <v>1068</v>
      </c>
      <c r="H134" s="28" t="s">
        <v>1069</v>
      </c>
      <c r="I134" s="28" t="s">
        <v>1070</v>
      </c>
      <c r="J134" s="28" t="s">
        <v>30</v>
      </c>
      <c r="K134" s="28"/>
      <c r="L134" s="28">
        <v>1</v>
      </c>
      <c r="M134" s="28">
        <v>0.5</v>
      </c>
      <c r="N134" s="25">
        <f t="shared" si="2"/>
        <v>0.5</v>
      </c>
      <c r="O134" s="28" t="s">
        <v>1071</v>
      </c>
      <c r="P134" s="28" t="s">
        <v>1064</v>
      </c>
      <c r="Q134" s="28" t="s">
        <v>419</v>
      </c>
      <c r="R134" s="28" t="s">
        <v>1072</v>
      </c>
      <c r="S134" s="28" t="s">
        <v>1073</v>
      </c>
      <c r="T134" s="28" t="s">
        <v>1074</v>
      </c>
      <c r="U134" s="28" t="s">
        <v>1075</v>
      </c>
      <c r="V134" s="28"/>
    </row>
    <row r="135" spans="1:22" ht="34.5" customHeight="1" x14ac:dyDescent="0.25">
      <c r="A135" s="26">
        <v>17</v>
      </c>
      <c r="B135" s="27" t="s">
        <v>1017</v>
      </c>
      <c r="C135" s="28" t="s">
        <v>1018</v>
      </c>
      <c r="D135" s="28" t="s">
        <v>1076</v>
      </c>
      <c r="E135" s="28" t="s">
        <v>1077</v>
      </c>
      <c r="F135" s="28" t="s">
        <v>80</v>
      </c>
      <c r="G135" s="28" t="s">
        <v>1078</v>
      </c>
      <c r="H135" s="28" t="s">
        <v>1079</v>
      </c>
      <c r="I135" s="28" t="s">
        <v>1080</v>
      </c>
      <c r="J135" s="28" t="s">
        <v>30</v>
      </c>
      <c r="K135" s="28" t="s">
        <v>26</v>
      </c>
      <c r="L135" s="28">
        <v>1</v>
      </c>
      <c r="M135" s="28">
        <v>0.25</v>
      </c>
      <c r="N135" s="25">
        <f t="shared" si="2"/>
        <v>0.25</v>
      </c>
      <c r="O135" s="28" t="s">
        <v>1081</v>
      </c>
      <c r="P135" s="28" t="s">
        <v>975</v>
      </c>
      <c r="Q135" s="28" t="s">
        <v>33</v>
      </c>
      <c r="R135" s="28" t="s">
        <v>921</v>
      </c>
      <c r="S135" s="28" t="s">
        <v>757</v>
      </c>
      <c r="T135" s="28" t="s">
        <v>1082</v>
      </c>
      <c r="U135" s="28" t="s">
        <v>1016</v>
      </c>
      <c r="V135" s="28"/>
    </row>
    <row r="136" spans="1:22" ht="34.5" customHeight="1" x14ac:dyDescent="0.25">
      <c r="A136" s="26">
        <v>17</v>
      </c>
      <c r="B136" s="27" t="s">
        <v>1017</v>
      </c>
      <c r="C136" s="28" t="s">
        <v>1018</v>
      </c>
      <c r="D136" s="28" t="s">
        <v>1019</v>
      </c>
      <c r="E136" s="28" t="s">
        <v>1083</v>
      </c>
      <c r="F136" s="28" t="s">
        <v>112</v>
      </c>
      <c r="G136" s="28" t="s">
        <v>1084</v>
      </c>
      <c r="H136" s="28" t="s">
        <v>1085</v>
      </c>
      <c r="I136" s="28" t="s">
        <v>1086</v>
      </c>
      <c r="J136" s="28" t="s">
        <v>116</v>
      </c>
      <c r="K136" s="28" t="s">
        <v>1062</v>
      </c>
      <c r="L136" s="28">
        <v>3</v>
      </c>
      <c r="M136" s="28">
        <v>1</v>
      </c>
      <c r="N136" s="25">
        <f t="shared" si="2"/>
        <v>1.25</v>
      </c>
      <c r="O136" s="28" t="s">
        <v>783</v>
      </c>
      <c r="P136" s="28" t="s">
        <v>280</v>
      </c>
      <c r="Q136" s="28" t="s">
        <v>60</v>
      </c>
      <c r="R136" s="28" t="s">
        <v>756</v>
      </c>
      <c r="S136" s="28" t="s">
        <v>757</v>
      </c>
      <c r="T136" s="28" t="s">
        <v>1087</v>
      </c>
      <c r="U136" s="28" t="s">
        <v>1088</v>
      </c>
      <c r="V136" s="28"/>
    </row>
    <row r="137" spans="1:22" ht="34.5" customHeight="1" x14ac:dyDescent="0.25">
      <c r="A137" s="26">
        <v>17</v>
      </c>
      <c r="B137" s="27" t="s">
        <v>1017</v>
      </c>
      <c r="C137" s="28" t="s">
        <v>1018</v>
      </c>
      <c r="D137" s="28" t="s">
        <v>1019</v>
      </c>
      <c r="E137" s="28" t="s">
        <v>1020</v>
      </c>
      <c r="F137" s="28" t="s">
        <v>120</v>
      </c>
      <c r="G137" s="28" t="s">
        <v>1089</v>
      </c>
      <c r="H137" s="28" t="s">
        <v>1090</v>
      </c>
      <c r="I137" s="28" t="s">
        <v>1091</v>
      </c>
      <c r="J137" s="28" t="s">
        <v>116</v>
      </c>
      <c r="K137" s="28" t="s">
        <v>1033</v>
      </c>
      <c r="L137" s="28">
        <v>2</v>
      </c>
      <c r="M137" s="28">
        <v>0.75</v>
      </c>
      <c r="N137" s="25">
        <f t="shared" si="2"/>
        <v>1</v>
      </c>
      <c r="O137" s="28" t="s">
        <v>783</v>
      </c>
      <c r="P137" s="28" t="s">
        <v>280</v>
      </c>
      <c r="Q137" s="28" t="s">
        <v>484</v>
      </c>
      <c r="R137" s="28" t="s">
        <v>1026</v>
      </c>
      <c r="S137" s="28" t="s">
        <v>1092</v>
      </c>
      <c r="T137" s="28" t="s">
        <v>1093</v>
      </c>
      <c r="U137" s="28" t="s">
        <v>1094</v>
      </c>
      <c r="V137" s="28"/>
    </row>
    <row r="138" spans="1:22" ht="34.5" customHeight="1" x14ac:dyDescent="0.25">
      <c r="A138" s="26">
        <v>17</v>
      </c>
      <c r="B138" s="27" t="s">
        <v>1017</v>
      </c>
      <c r="C138" s="28" t="s">
        <v>1018</v>
      </c>
      <c r="D138" s="28" t="s">
        <v>1019</v>
      </c>
      <c r="E138" s="28" t="s">
        <v>1046</v>
      </c>
      <c r="F138" s="28" t="s">
        <v>127</v>
      </c>
      <c r="G138" s="28" t="s">
        <v>1095</v>
      </c>
      <c r="H138" s="28" t="s">
        <v>1096</v>
      </c>
      <c r="I138" s="28" t="s">
        <v>1097</v>
      </c>
      <c r="J138" s="28" t="s">
        <v>116</v>
      </c>
      <c r="K138" s="28" t="s">
        <v>72</v>
      </c>
      <c r="L138" s="28">
        <v>4</v>
      </c>
      <c r="M138" s="28">
        <v>1.5</v>
      </c>
      <c r="N138" s="25">
        <f t="shared" si="2"/>
        <v>1.75</v>
      </c>
      <c r="O138" s="28" t="s">
        <v>774</v>
      </c>
      <c r="P138" s="28" t="s">
        <v>775</v>
      </c>
      <c r="Q138" s="28" t="s">
        <v>484</v>
      </c>
      <c r="R138" s="28" t="s">
        <v>1053</v>
      </c>
      <c r="S138" s="28" t="s">
        <v>1054</v>
      </c>
      <c r="T138" s="28" t="s">
        <v>1098</v>
      </c>
      <c r="U138" s="28" t="s">
        <v>1099</v>
      </c>
      <c r="V138" s="28"/>
    </row>
    <row r="139" spans="1:22" ht="34.5" customHeight="1" x14ac:dyDescent="0.25">
      <c r="A139" s="26">
        <v>17</v>
      </c>
      <c r="B139" s="27" t="s">
        <v>1017</v>
      </c>
      <c r="C139" s="28" t="s">
        <v>1018</v>
      </c>
      <c r="D139" s="28" t="s">
        <v>1019</v>
      </c>
      <c r="E139" s="28" t="s">
        <v>1100</v>
      </c>
      <c r="F139" s="28" t="s">
        <v>134</v>
      </c>
      <c r="G139" s="28" t="s">
        <v>1101</v>
      </c>
      <c r="H139" s="28" t="s">
        <v>1102</v>
      </c>
      <c r="I139" s="28" t="s">
        <v>1103</v>
      </c>
      <c r="J139" s="28" t="s">
        <v>116</v>
      </c>
      <c r="K139" s="28" t="s">
        <v>1104</v>
      </c>
      <c r="L139" s="28">
        <v>3</v>
      </c>
      <c r="M139" s="28">
        <v>1</v>
      </c>
      <c r="N139" s="25">
        <f t="shared" si="2"/>
        <v>1.25</v>
      </c>
      <c r="O139" s="28" t="s">
        <v>1105</v>
      </c>
      <c r="P139" s="28" t="s">
        <v>1106</v>
      </c>
      <c r="Q139" s="28" t="s">
        <v>33</v>
      </c>
      <c r="R139" s="28" t="s">
        <v>921</v>
      </c>
      <c r="S139" s="28" t="s">
        <v>757</v>
      </c>
      <c r="T139" s="28" t="s">
        <v>1107</v>
      </c>
      <c r="U139" s="28" t="s">
        <v>1108</v>
      </c>
      <c r="V139" s="28"/>
    </row>
    <row r="140" spans="1:22" ht="34.5" customHeight="1" x14ac:dyDescent="0.25">
      <c r="A140" s="26">
        <v>17</v>
      </c>
      <c r="B140" s="27" t="s">
        <v>1017</v>
      </c>
      <c r="C140" s="28" t="s">
        <v>1018</v>
      </c>
      <c r="D140" s="28" t="s">
        <v>1019</v>
      </c>
      <c r="E140" s="28" t="s">
        <v>1058</v>
      </c>
      <c r="F140" s="28" t="s">
        <v>142</v>
      </c>
      <c r="G140" s="28" t="s">
        <v>1109</v>
      </c>
      <c r="H140" s="28" t="s">
        <v>1110</v>
      </c>
      <c r="I140" s="28" t="s">
        <v>1111</v>
      </c>
      <c r="J140" s="28" t="s">
        <v>116</v>
      </c>
      <c r="K140" s="28" t="s">
        <v>1112</v>
      </c>
      <c r="L140" s="28">
        <v>1</v>
      </c>
      <c r="M140" s="28">
        <v>0.5</v>
      </c>
      <c r="N140" s="25">
        <f t="shared" si="2"/>
        <v>0.5</v>
      </c>
      <c r="O140" s="28" t="s">
        <v>783</v>
      </c>
      <c r="P140" s="28" t="s">
        <v>280</v>
      </c>
      <c r="Q140" s="28" t="s">
        <v>60</v>
      </c>
      <c r="R140" s="28" t="s">
        <v>756</v>
      </c>
      <c r="S140" s="28" t="s">
        <v>757</v>
      </c>
      <c r="T140" s="28" t="s">
        <v>1113</v>
      </c>
      <c r="U140" s="28" t="s">
        <v>1114</v>
      </c>
      <c r="V140" s="28"/>
    </row>
    <row r="141" spans="1:22" ht="34.5" customHeight="1" x14ac:dyDescent="0.25">
      <c r="A141" s="26">
        <v>17</v>
      </c>
      <c r="B141" s="27" t="s">
        <v>1017</v>
      </c>
      <c r="C141" s="28" t="s">
        <v>1018</v>
      </c>
      <c r="D141" s="28" t="s">
        <v>1019</v>
      </c>
      <c r="E141" s="28" t="s">
        <v>1067</v>
      </c>
      <c r="F141" s="28" t="s">
        <v>150</v>
      </c>
      <c r="G141" s="28" t="s">
        <v>1115</v>
      </c>
      <c r="H141" s="28" t="s">
        <v>1116</v>
      </c>
      <c r="I141" s="28" t="s">
        <v>1117</v>
      </c>
      <c r="J141" s="28" t="s">
        <v>116</v>
      </c>
      <c r="K141" s="28" t="s">
        <v>1118</v>
      </c>
      <c r="L141" s="28">
        <v>0.5</v>
      </c>
      <c r="M141" s="28">
        <v>0.25</v>
      </c>
      <c r="N141" s="25">
        <f t="shared" si="2"/>
        <v>0.25</v>
      </c>
      <c r="O141" s="28" t="s">
        <v>783</v>
      </c>
      <c r="P141" s="28" t="s">
        <v>280</v>
      </c>
      <c r="Q141" s="28" t="s">
        <v>419</v>
      </c>
      <c r="R141" s="28" t="s">
        <v>1072</v>
      </c>
      <c r="S141" s="28" t="s">
        <v>1073</v>
      </c>
      <c r="T141" s="28" t="s">
        <v>1119</v>
      </c>
      <c r="U141" s="28" t="s">
        <v>1120</v>
      </c>
      <c r="V141" s="28"/>
    </row>
    <row r="142" spans="1:22" ht="34.5" customHeight="1" x14ac:dyDescent="0.25">
      <c r="A142" s="26">
        <v>17</v>
      </c>
      <c r="B142" s="27" t="s">
        <v>1017</v>
      </c>
      <c r="C142" s="28" t="s">
        <v>1018</v>
      </c>
      <c r="D142" s="28" t="s">
        <v>1019</v>
      </c>
      <c r="E142" s="28" t="s">
        <v>1121</v>
      </c>
      <c r="F142" s="28" t="s">
        <v>478</v>
      </c>
      <c r="G142" s="28" t="s">
        <v>1122</v>
      </c>
      <c r="H142" s="28" t="s">
        <v>1123</v>
      </c>
      <c r="I142" s="28" t="s">
        <v>1124</v>
      </c>
      <c r="J142" s="28" t="s">
        <v>116</v>
      </c>
      <c r="K142" s="28" t="s">
        <v>1125</v>
      </c>
      <c r="L142" s="28">
        <v>1</v>
      </c>
      <c r="M142" s="28">
        <v>0.5</v>
      </c>
      <c r="N142" s="25">
        <f t="shared" si="2"/>
        <v>0.5</v>
      </c>
      <c r="O142" s="28" t="s">
        <v>1126</v>
      </c>
      <c r="P142" s="28" t="s">
        <v>280</v>
      </c>
      <c r="Q142" s="28" t="s">
        <v>60</v>
      </c>
      <c r="R142" s="28" t="s">
        <v>522</v>
      </c>
      <c r="S142" s="28" t="s">
        <v>1127</v>
      </c>
      <c r="T142" s="28" t="s">
        <v>1128</v>
      </c>
      <c r="U142" s="28" t="s">
        <v>1129</v>
      </c>
      <c r="V142" s="28"/>
    </row>
    <row r="143" spans="1:22" ht="34.5" customHeight="1" x14ac:dyDescent="0.25">
      <c r="A143" s="26">
        <v>17</v>
      </c>
      <c r="B143" s="27" t="s">
        <v>1017</v>
      </c>
      <c r="C143" s="28" t="s">
        <v>1018</v>
      </c>
      <c r="D143" s="28" t="s">
        <v>1019</v>
      </c>
      <c r="E143" s="28" t="s">
        <v>1130</v>
      </c>
      <c r="F143" s="28" t="s">
        <v>157</v>
      </c>
      <c r="G143" s="28" t="s">
        <v>1131</v>
      </c>
      <c r="H143" s="28" t="s">
        <v>1132</v>
      </c>
      <c r="I143" s="28" t="s">
        <v>1133</v>
      </c>
      <c r="J143" s="28" t="s">
        <v>161</v>
      </c>
      <c r="K143" s="28" t="s">
        <v>1134</v>
      </c>
      <c r="L143" s="28">
        <v>3</v>
      </c>
      <c r="M143" s="28">
        <v>0.75</v>
      </c>
      <c r="N143" s="25">
        <f t="shared" si="2"/>
        <v>1</v>
      </c>
      <c r="O143" s="28" t="s">
        <v>1135</v>
      </c>
      <c r="P143" s="28" t="s">
        <v>670</v>
      </c>
      <c r="Q143" s="28" t="s">
        <v>484</v>
      </c>
      <c r="R143" s="28" t="s">
        <v>1026</v>
      </c>
      <c r="S143" s="28" t="s">
        <v>1027</v>
      </c>
      <c r="T143" s="28" t="s">
        <v>1028</v>
      </c>
      <c r="U143" s="28" t="s">
        <v>1136</v>
      </c>
      <c r="V143" s="28"/>
    </row>
    <row r="144" spans="1:22" ht="34.5" customHeight="1" x14ac:dyDescent="0.25">
      <c r="A144" s="26">
        <v>17</v>
      </c>
      <c r="B144" s="27" t="s">
        <v>1017</v>
      </c>
      <c r="C144" s="28" t="s">
        <v>1018</v>
      </c>
      <c r="D144" s="28" t="s">
        <v>1019</v>
      </c>
      <c r="E144" s="28" t="s">
        <v>1137</v>
      </c>
      <c r="F144" s="28" t="s">
        <v>166</v>
      </c>
      <c r="G144" s="28" t="s">
        <v>1138</v>
      </c>
      <c r="H144" s="28" t="s">
        <v>1139</v>
      </c>
      <c r="I144" s="28" t="s">
        <v>1140</v>
      </c>
      <c r="J144" s="28" t="s">
        <v>161</v>
      </c>
      <c r="K144" s="28" t="s">
        <v>1141</v>
      </c>
      <c r="L144" s="28">
        <v>4</v>
      </c>
      <c r="M144" s="28">
        <v>1.5</v>
      </c>
      <c r="N144" s="25">
        <f t="shared" si="2"/>
        <v>1.75</v>
      </c>
      <c r="O144" s="28" t="s">
        <v>1142</v>
      </c>
      <c r="P144" s="28" t="s">
        <v>1143</v>
      </c>
      <c r="Q144" s="28" t="s">
        <v>484</v>
      </c>
      <c r="R144" s="28" t="s">
        <v>1053</v>
      </c>
      <c r="S144" s="28" t="s">
        <v>1054</v>
      </c>
      <c r="T144" s="28" t="s">
        <v>1144</v>
      </c>
      <c r="U144" s="28" t="s">
        <v>1145</v>
      </c>
      <c r="V144" s="28"/>
    </row>
    <row r="145" spans="1:22" ht="34.5" customHeight="1" x14ac:dyDescent="0.25">
      <c r="A145" s="26">
        <v>18</v>
      </c>
      <c r="B145" s="27" t="s">
        <v>1146</v>
      </c>
      <c r="C145" s="28" t="s">
        <v>1147</v>
      </c>
      <c r="D145" s="28" t="s">
        <v>1148</v>
      </c>
      <c r="E145" s="28" t="s">
        <v>1149</v>
      </c>
      <c r="F145" s="28" t="s">
        <v>26</v>
      </c>
      <c r="G145" s="28" t="s">
        <v>1150</v>
      </c>
      <c r="H145" s="28" t="s">
        <v>1151</v>
      </c>
      <c r="I145" s="28" t="s">
        <v>1152</v>
      </c>
      <c r="J145" s="28" t="s">
        <v>30</v>
      </c>
      <c r="K145" s="28" t="s">
        <v>1142</v>
      </c>
      <c r="L145" s="28">
        <v>3</v>
      </c>
      <c r="M145" s="28">
        <v>1</v>
      </c>
      <c r="N145" s="25">
        <f t="shared" si="2"/>
        <v>1.25</v>
      </c>
      <c r="O145" s="28" t="s">
        <v>1153</v>
      </c>
      <c r="P145" s="28" t="s">
        <v>1154</v>
      </c>
      <c r="Q145" s="28" t="s">
        <v>419</v>
      </c>
      <c r="R145" s="28" t="s">
        <v>1026</v>
      </c>
      <c r="S145" s="28" t="s">
        <v>1155</v>
      </c>
      <c r="T145" s="28" t="s">
        <v>1156</v>
      </c>
      <c r="U145" s="28" t="s">
        <v>1157</v>
      </c>
      <c r="V145" s="28"/>
    </row>
    <row r="146" spans="1:22" ht="34.5" customHeight="1" x14ac:dyDescent="0.25">
      <c r="A146" s="26">
        <v>18</v>
      </c>
      <c r="B146" s="27" t="s">
        <v>1158</v>
      </c>
      <c r="C146" s="28" t="s">
        <v>1147</v>
      </c>
      <c r="D146" s="28" t="s">
        <v>1148</v>
      </c>
      <c r="E146" s="28" t="s">
        <v>1159</v>
      </c>
      <c r="F146" s="28" t="s">
        <v>38</v>
      </c>
      <c r="G146" s="28" t="s">
        <v>1160</v>
      </c>
      <c r="H146" s="28" t="s">
        <v>1161</v>
      </c>
      <c r="I146" s="28" t="s">
        <v>1162</v>
      </c>
      <c r="J146" s="28" t="s">
        <v>30</v>
      </c>
      <c r="K146" s="28" t="s">
        <v>26</v>
      </c>
      <c r="L146" s="28">
        <v>5</v>
      </c>
      <c r="M146" s="28">
        <v>2</v>
      </c>
      <c r="N146" s="25">
        <f t="shared" si="2"/>
        <v>2.5</v>
      </c>
      <c r="O146" s="28" t="s">
        <v>1163</v>
      </c>
      <c r="P146" s="28" t="s">
        <v>1164</v>
      </c>
      <c r="Q146" s="28" t="s">
        <v>429</v>
      </c>
      <c r="R146" s="28" t="s">
        <v>1165</v>
      </c>
      <c r="S146" s="28" t="s">
        <v>1166</v>
      </c>
      <c r="T146" s="28" t="s">
        <v>1167</v>
      </c>
      <c r="U146" s="28" t="s">
        <v>1168</v>
      </c>
      <c r="V146" s="28"/>
    </row>
    <row r="147" spans="1:22" ht="34.5" customHeight="1" x14ac:dyDescent="0.25">
      <c r="A147" s="26">
        <v>18</v>
      </c>
      <c r="B147" s="27" t="s">
        <v>1158</v>
      </c>
      <c r="C147" s="28" t="s">
        <v>1147</v>
      </c>
      <c r="D147" s="28" t="s">
        <v>1148</v>
      </c>
      <c r="E147" s="28" t="s">
        <v>1169</v>
      </c>
      <c r="F147" s="28" t="s">
        <v>46</v>
      </c>
      <c r="G147" s="28" t="s">
        <v>1170</v>
      </c>
      <c r="H147" s="28" t="s">
        <v>1171</v>
      </c>
      <c r="I147" s="28" t="s">
        <v>1172</v>
      </c>
      <c r="J147" s="28" t="s">
        <v>30</v>
      </c>
      <c r="K147" s="28" t="s">
        <v>26</v>
      </c>
      <c r="L147" s="28">
        <v>5</v>
      </c>
      <c r="M147" s="28">
        <v>2</v>
      </c>
      <c r="N147" s="25">
        <f t="shared" si="2"/>
        <v>2.5</v>
      </c>
      <c r="O147" s="28" t="s">
        <v>1173</v>
      </c>
      <c r="P147" s="28" t="s">
        <v>1174</v>
      </c>
      <c r="Q147" s="28" t="s">
        <v>429</v>
      </c>
      <c r="R147" s="28" t="s">
        <v>1175</v>
      </c>
      <c r="S147" s="28" t="s">
        <v>1166</v>
      </c>
      <c r="T147" s="28" t="s">
        <v>1176</v>
      </c>
      <c r="U147" s="28" t="s">
        <v>1177</v>
      </c>
      <c r="V147" s="28"/>
    </row>
    <row r="148" spans="1:22" ht="34.5" customHeight="1" x14ac:dyDescent="0.25">
      <c r="A148" s="26">
        <v>18</v>
      </c>
      <c r="B148" s="27" t="s">
        <v>1158</v>
      </c>
      <c r="C148" s="28" t="s">
        <v>1147</v>
      </c>
      <c r="D148" s="28" t="s">
        <v>1148</v>
      </c>
      <c r="E148" s="28" t="s">
        <v>1178</v>
      </c>
      <c r="F148" s="28" t="s">
        <v>53</v>
      </c>
      <c r="G148" s="28" t="s">
        <v>1179</v>
      </c>
      <c r="H148" s="28" t="s">
        <v>1180</v>
      </c>
      <c r="I148" s="28" t="s">
        <v>1181</v>
      </c>
      <c r="J148" s="28" t="s">
        <v>30</v>
      </c>
      <c r="K148" s="28" t="s">
        <v>1182</v>
      </c>
      <c r="L148" s="28">
        <v>4</v>
      </c>
      <c r="M148" s="28">
        <v>1.5</v>
      </c>
      <c r="N148" s="25">
        <f t="shared" si="2"/>
        <v>1.75</v>
      </c>
      <c r="O148" s="28" t="s">
        <v>1183</v>
      </c>
      <c r="P148" s="28" t="s">
        <v>1184</v>
      </c>
      <c r="Q148" s="28" t="s">
        <v>429</v>
      </c>
      <c r="R148" s="28" t="s">
        <v>1185</v>
      </c>
      <c r="S148" s="28" t="s">
        <v>1186</v>
      </c>
      <c r="T148" s="28" t="s">
        <v>1187</v>
      </c>
      <c r="U148" s="28" t="s">
        <v>1188</v>
      </c>
      <c r="V148" s="28"/>
    </row>
    <row r="149" spans="1:22" ht="34.5" customHeight="1" x14ac:dyDescent="0.25">
      <c r="A149" s="26">
        <v>18</v>
      </c>
      <c r="B149" s="27" t="s">
        <v>1158</v>
      </c>
      <c r="C149" s="28" t="s">
        <v>1147</v>
      </c>
      <c r="D149" s="28" t="s">
        <v>1148</v>
      </c>
      <c r="E149" s="28" t="s">
        <v>1189</v>
      </c>
      <c r="F149" s="28" t="s">
        <v>64</v>
      </c>
      <c r="G149" s="28" t="s">
        <v>1190</v>
      </c>
      <c r="H149" s="28" t="s">
        <v>1191</v>
      </c>
      <c r="I149" s="28" t="s">
        <v>1192</v>
      </c>
      <c r="J149" s="28" t="s">
        <v>30</v>
      </c>
      <c r="K149" s="28" t="s">
        <v>1182</v>
      </c>
      <c r="L149" s="28">
        <v>4</v>
      </c>
      <c r="M149" s="28">
        <v>1.5</v>
      </c>
      <c r="N149" s="25">
        <f t="shared" si="2"/>
        <v>1.75</v>
      </c>
      <c r="O149" s="28" t="s">
        <v>1193</v>
      </c>
      <c r="P149" s="28" t="s">
        <v>1184</v>
      </c>
      <c r="Q149" s="28" t="s">
        <v>419</v>
      </c>
      <c r="R149" s="28" t="s">
        <v>1185</v>
      </c>
      <c r="S149" s="28" t="s">
        <v>1194</v>
      </c>
      <c r="T149" s="28" t="s">
        <v>1195</v>
      </c>
      <c r="U149" s="28" t="s">
        <v>1196</v>
      </c>
      <c r="V149" s="28"/>
    </row>
    <row r="150" spans="1:22" ht="34.5" customHeight="1" x14ac:dyDescent="0.25">
      <c r="A150" s="26">
        <v>18</v>
      </c>
      <c r="B150" s="27" t="s">
        <v>1158</v>
      </c>
      <c r="C150" s="28" t="s">
        <v>1147</v>
      </c>
      <c r="D150" s="28" t="s">
        <v>1148</v>
      </c>
      <c r="E150" s="28" t="s">
        <v>1197</v>
      </c>
      <c r="F150" s="28" t="s">
        <v>72</v>
      </c>
      <c r="G150" s="28" t="s">
        <v>1198</v>
      </c>
      <c r="H150" s="28" t="s">
        <v>1199</v>
      </c>
      <c r="I150" s="28" t="s">
        <v>1200</v>
      </c>
      <c r="J150" s="28" t="s">
        <v>30</v>
      </c>
      <c r="K150" s="28" t="s">
        <v>80</v>
      </c>
      <c r="L150" s="28">
        <v>3</v>
      </c>
      <c r="M150" s="28">
        <v>1</v>
      </c>
      <c r="N150" s="25">
        <f t="shared" si="2"/>
        <v>1.25</v>
      </c>
      <c r="O150" s="28" t="s">
        <v>1201</v>
      </c>
      <c r="P150" s="28" t="s">
        <v>1202</v>
      </c>
      <c r="Q150" s="28" t="s">
        <v>419</v>
      </c>
      <c r="R150" s="28" t="s">
        <v>1203</v>
      </c>
      <c r="S150" s="28" t="s">
        <v>1204</v>
      </c>
      <c r="T150" s="28" t="s">
        <v>1205</v>
      </c>
      <c r="U150" s="28" t="s">
        <v>1206</v>
      </c>
      <c r="V150" s="28"/>
    </row>
    <row r="151" spans="1:22" ht="34.5" customHeight="1" x14ac:dyDescent="0.25">
      <c r="A151" s="26">
        <v>18</v>
      </c>
      <c r="B151" s="27" t="s">
        <v>1158</v>
      </c>
      <c r="C151" s="28" t="s">
        <v>1147</v>
      </c>
      <c r="D151" s="28" t="s">
        <v>1148</v>
      </c>
      <c r="E151" s="28" t="s">
        <v>1207</v>
      </c>
      <c r="F151" s="28" t="s">
        <v>80</v>
      </c>
      <c r="G151" s="28" t="s">
        <v>1208</v>
      </c>
      <c r="H151" s="28" t="s">
        <v>1209</v>
      </c>
      <c r="I151" s="28" t="s">
        <v>1210</v>
      </c>
      <c r="J151" s="28" t="s">
        <v>30</v>
      </c>
      <c r="K151" s="28" t="s">
        <v>26</v>
      </c>
      <c r="L151" s="28">
        <v>4</v>
      </c>
      <c r="M151" s="28">
        <v>1</v>
      </c>
      <c r="N151" s="25">
        <f t="shared" si="2"/>
        <v>1.25</v>
      </c>
      <c r="O151" s="28" t="s">
        <v>1211</v>
      </c>
      <c r="P151" s="28" t="s">
        <v>1212</v>
      </c>
      <c r="Q151" s="28" t="s">
        <v>484</v>
      </c>
      <c r="R151" s="28" t="s">
        <v>1026</v>
      </c>
      <c r="S151" s="28" t="s">
        <v>1155</v>
      </c>
      <c r="T151" s="28" t="s">
        <v>1213</v>
      </c>
      <c r="U151" s="28" t="s">
        <v>1214</v>
      </c>
      <c r="V151" s="28"/>
    </row>
    <row r="152" spans="1:22" ht="34.5" customHeight="1" x14ac:dyDescent="0.25">
      <c r="A152" s="26">
        <v>18</v>
      </c>
      <c r="B152" s="27" t="s">
        <v>1158</v>
      </c>
      <c r="C152" s="28" t="s">
        <v>1147</v>
      </c>
      <c r="D152" s="28" t="s">
        <v>1148</v>
      </c>
      <c r="E152" s="28" t="s">
        <v>1169</v>
      </c>
      <c r="F152" s="28" t="s">
        <v>88</v>
      </c>
      <c r="G152" s="28" t="s">
        <v>1215</v>
      </c>
      <c r="H152" s="28" t="s">
        <v>1216</v>
      </c>
      <c r="I152" s="28" t="s">
        <v>1217</v>
      </c>
      <c r="J152" s="28" t="s">
        <v>30</v>
      </c>
      <c r="K152" s="28" t="s">
        <v>26</v>
      </c>
      <c r="L152" s="28">
        <v>4</v>
      </c>
      <c r="M152" s="28">
        <v>1.5</v>
      </c>
      <c r="N152" s="25">
        <f t="shared" si="2"/>
        <v>1.75</v>
      </c>
      <c r="O152" s="28" t="s">
        <v>1218</v>
      </c>
      <c r="P152" s="28" t="s">
        <v>1219</v>
      </c>
      <c r="Q152" s="28" t="s">
        <v>429</v>
      </c>
      <c r="R152" s="28" t="s">
        <v>1220</v>
      </c>
      <c r="S152" s="28" t="s">
        <v>1166</v>
      </c>
      <c r="T152" s="28" t="s">
        <v>1221</v>
      </c>
      <c r="U152" s="28" t="s">
        <v>1222</v>
      </c>
      <c r="V152" s="28"/>
    </row>
    <row r="153" spans="1:22" ht="34.5" customHeight="1" x14ac:dyDescent="0.25">
      <c r="A153" s="26">
        <v>18</v>
      </c>
      <c r="B153" s="27" t="s">
        <v>1158</v>
      </c>
      <c r="C153" s="28" t="s">
        <v>1147</v>
      </c>
      <c r="D153" s="28" t="s">
        <v>1148</v>
      </c>
      <c r="E153" s="28" t="s">
        <v>1169</v>
      </c>
      <c r="F153" s="28" t="s">
        <v>95</v>
      </c>
      <c r="G153" s="28" t="s">
        <v>1223</v>
      </c>
      <c r="H153" s="28" t="s">
        <v>1224</v>
      </c>
      <c r="I153" s="28" t="s">
        <v>1225</v>
      </c>
      <c r="J153" s="28" t="s">
        <v>30</v>
      </c>
      <c r="K153" s="28" t="s">
        <v>26</v>
      </c>
      <c r="L153" s="28">
        <v>5</v>
      </c>
      <c r="M153" s="28">
        <v>2</v>
      </c>
      <c r="N153" s="25">
        <f t="shared" si="2"/>
        <v>2.5</v>
      </c>
      <c r="O153" s="28" t="s">
        <v>1226</v>
      </c>
      <c r="P153" s="28" t="s">
        <v>1227</v>
      </c>
      <c r="Q153" s="28" t="s">
        <v>429</v>
      </c>
      <c r="R153" s="28" t="s">
        <v>1228</v>
      </c>
      <c r="S153" s="28" t="s">
        <v>1166</v>
      </c>
      <c r="T153" s="28" t="s">
        <v>1229</v>
      </c>
      <c r="U153" s="28" t="s">
        <v>1230</v>
      </c>
      <c r="V153" s="28"/>
    </row>
    <row r="154" spans="1:22" ht="34.5" customHeight="1" x14ac:dyDescent="0.25">
      <c r="A154" s="26">
        <v>18</v>
      </c>
      <c r="B154" s="27" t="s">
        <v>1158</v>
      </c>
      <c r="C154" s="28" t="s">
        <v>1147</v>
      </c>
      <c r="D154" s="28" t="s">
        <v>1148</v>
      </c>
      <c r="E154" s="28" t="s">
        <v>1231</v>
      </c>
      <c r="F154" s="28" t="s">
        <v>103</v>
      </c>
      <c r="G154" s="28" t="s">
        <v>1232</v>
      </c>
      <c r="H154" s="28" t="s">
        <v>1233</v>
      </c>
      <c r="I154" s="28" t="s">
        <v>1234</v>
      </c>
      <c r="J154" s="28" t="s">
        <v>30</v>
      </c>
      <c r="K154" s="28" t="s">
        <v>80</v>
      </c>
      <c r="L154" s="28">
        <v>3</v>
      </c>
      <c r="M154" s="28">
        <v>1</v>
      </c>
      <c r="N154" s="25">
        <f t="shared" si="2"/>
        <v>1.25</v>
      </c>
      <c r="O154" s="28" t="s">
        <v>1235</v>
      </c>
      <c r="P154" s="28" t="s">
        <v>1236</v>
      </c>
      <c r="Q154" s="28" t="s">
        <v>419</v>
      </c>
      <c r="R154" s="28" t="s">
        <v>1026</v>
      </c>
      <c r="S154" s="28" t="s">
        <v>1155</v>
      </c>
      <c r="T154" s="28" t="s">
        <v>1237</v>
      </c>
      <c r="U154" s="28" t="s">
        <v>1238</v>
      </c>
      <c r="V154" s="28"/>
    </row>
    <row r="155" spans="1:22" ht="34.5" customHeight="1" x14ac:dyDescent="0.25">
      <c r="A155" s="26">
        <v>18</v>
      </c>
      <c r="B155" s="27" t="s">
        <v>1158</v>
      </c>
      <c r="C155" s="28" t="s">
        <v>1147</v>
      </c>
      <c r="D155" s="28" t="s">
        <v>1148</v>
      </c>
      <c r="E155" s="28" t="s">
        <v>1239</v>
      </c>
      <c r="F155" s="28" t="s">
        <v>1240</v>
      </c>
      <c r="G155" s="28" t="s">
        <v>1241</v>
      </c>
      <c r="H155" s="28" t="s">
        <v>1242</v>
      </c>
      <c r="I155" s="28" t="s">
        <v>1243</v>
      </c>
      <c r="J155" s="28" t="s">
        <v>30</v>
      </c>
      <c r="K155" s="28" t="s">
        <v>1244</v>
      </c>
      <c r="L155" s="28">
        <v>2</v>
      </c>
      <c r="M155" s="28">
        <v>0.5</v>
      </c>
      <c r="N155" s="25">
        <f t="shared" si="2"/>
        <v>0.5</v>
      </c>
      <c r="O155" s="28" t="s">
        <v>1245</v>
      </c>
      <c r="P155" s="28" t="s">
        <v>1246</v>
      </c>
      <c r="Q155" s="28" t="s">
        <v>484</v>
      </c>
      <c r="R155" s="28" t="s">
        <v>1026</v>
      </c>
      <c r="S155" s="28" t="s">
        <v>1247</v>
      </c>
      <c r="T155" s="28" t="s">
        <v>1248</v>
      </c>
      <c r="U155" s="28" t="s">
        <v>1249</v>
      </c>
      <c r="V155" s="28"/>
    </row>
    <row r="156" spans="1:22" ht="34.5" customHeight="1" x14ac:dyDescent="0.25">
      <c r="A156" s="26">
        <v>18</v>
      </c>
      <c r="B156" s="27" t="s">
        <v>1158</v>
      </c>
      <c r="C156" s="28" t="s">
        <v>1147</v>
      </c>
      <c r="D156" s="28" t="s">
        <v>1250</v>
      </c>
      <c r="E156" s="28" t="s">
        <v>1251</v>
      </c>
      <c r="F156" s="28" t="s">
        <v>1252</v>
      </c>
      <c r="G156" s="28" t="s">
        <v>1253</v>
      </c>
      <c r="H156" s="28" t="s">
        <v>1254</v>
      </c>
      <c r="I156" s="28" t="s">
        <v>1255</v>
      </c>
      <c r="J156" s="28" t="s">
        <v>30</v>
      </c>
      <c r="K156" s="28" t="s">
        <v>1256</v>
      </c>
      <c r="L156" s="28">
        <v>3</v>
      </c>
      <c r="M156" s="28">
        <v>1</v>
      </c>
      <c r="N156" s="25">
        <f t="shared" si="2"/>
        <v>1.25</v>
      </c>
      <c r="O156" s="28" t="s">
        <v>1257</v>
      </c>
      <c r="P156" s="28" t="s">
        <v>1258</v>
      </c>
      <c r="Q156" s="28" t="s">
        <v>429</v>
      </c>
      <c r="R156" s="28" t="s">
        <v>1259</v>
      </c>
      <c r="S156" s="28" t="s">
        <v>1155</v>
      </c>
      <c r="T156" s="28" t="s">
        <v>1260</v>
      </c>
      <c r="U156" s="28" t="s">
        <v>1261</v>
      </c>
      <c r="V156" s="28"/>
    </row>
    <row r="157" spans="1:22" ht="34.5" customHeight="1" x14ac:dyDescent="0.25">
      <c r="A157" s="26">
        <v>18</v>
      </c>
      <c r="B157" s="27" t="s">
        <v>1158</v>
      </c>
      <c r="C157" s="28" t="s">
        <v>1147</v>
      </c>
      <c r="D157" s="28" t="s">
        <v>1148</v>
      </c>
      <c r="E157" s="28" t="s">
        <v>1262</v>
      </c>
      <c r="F157" s="28" t="s">
        <v>157</v>
      </c>
      <c r="G157" s="28" t="s">
        <v>1263</v>
      </c>
      <c r="H157" s="28" t="s">
        <v>1264</v>
      </c>
      <c r="I157" s="28" t="s">
        <v>1265</v>
      </c>
      <c r="J157" s="28" t="s">
        <v>161</v>
      </c>
      <c r="K157" s="28" t="s">
        <v>1266</v>
      </c>
      <c r="L157" s="28">
        <v>6</v>
      </c>
      <c r="M157" s="28">
        <v>2</v>
      </c>
      <c r="N157" s="25">
        <f t="shared" si="2"/>
        <v>2.5</v>
      </c>
      <c r="O157" s="28" t="s">
        <v>1267</v>
      </c>
      <c r="P157" s="28" t="s">
        <v>1268</v>
      </c>
      <c r="Q157" s="28" t="s">
        <v>429</v>
      </c>
      <c r="R157" s="28" t="s">
        <v>1269</v>
      </c>
      <c r="S157" s="28" t="s">
        <v>1270</v>
      </c>
      <c r="T157" s="28" t="s">
        <v>1271</v>
      </c>
      <c r="U157" s="28" t="s">
        <v>1272</v>
      </c>
      <c r="V157" s="28"/>
    </row>
    <row r="158" spans="1:22" ht="34.5" customHeight="1" x14ac:dyDescent="0.25">
      <c r="A158" s="26">
        <v>18</v>
      </c>
      <c r="B158" s="27" t="s">
        <v>1158</v>
      </c>
      <c r="C158" s="28" t="s">
        <v>1147</v>
      </c>
      <c r="D158" s="28" t="s">
        <v>1148</v>
      </c>
      <c r="E158" s="28" t="s">
        <v>1273</v>
      </c>
      <c r="F158" s="28" t="s">
        <v>166</v>
      </c>
      <c r="G158" s="28" t="s">
        <v>1274</v>
      </c>
      <c r="H158" s="28" t="s">
        <v>1275</v>
      </c>
      <c r="I158" s="28" t="s">
        <v>1276</v>
      </c>
      <c r="J158" s="28" t="s">
        <v>161</v>
      </c>
      <c r="K158" s="28" t="s">
        <v>1277</v>
      </c>
      <c r="L158" s="28">
        <v>4</v>
      </c>
      <c r="M158" s="28">
        <v>1.5</v>
      </c>
      <c r="N158" s="25">
        <f t="shared" si="2"/>
        <v>1.75</v>
      </c>
      <c r="O158" s="28" t="s">
        <v>1278</v>
      </c>
      <c r="P158" s="28" t="s">
        <v>1279</v>
      </c>
      <c r="Q158" s="28" t="s">
        <v>419</v>
      </c>
      <c r="R158" s="28" t="s">
        <v>1185</v>
      </c>
      <c r="S158" s="28" t="s">
        <v>1155</v>
      </c>
      <c r="T158" s="28" t="s">
        <v>1280</v>
      </c>
      <c r="U158" s="28" t="s">
        <v>1281</v>
      </c>
      <c r="V158" s="28"/>
    </row>
    <row r="159" spans="1:22" ht="34.5" customHeight="1" x14ac:dyDescent="0.25">
      <c r="A159" s="26">
        <v>19</v>
      </c>
      <c r="B159" s="27" t="s">
        <v>1282</v>
      </c>
      <c r="C159" s="28" t="s">
        <v>1283</v>
      </c>
      <c r="D159" s="28" t="s">
        <v>1121</v>
      </c>
      <c r="E159" s="28" t="s">
        <v>1284</v>
      </c>
      <c r="F159" s="28" t="s">
        <v>26</v>
      </c>
      <c r="G159" s="28" t="s">
        <v>1285</v>
      </c>
      <c r="H159" s="28" t="s">
        <v>1286</v>
      </c>
      <c r="I159" s="28" t="s">
        <v>1287</v>
      </c>
      <c r="J159" s="28" t="s">
        <v>30</v>
      </c>
      <c r="K159" s="28"/>
      <c r="L159" s="28">
        <v>4</v>
      </c>
      <c r="M159" s="28">
        <v>1</v>
      </c>
      <c r="N159" s="25">
        <f t="shared" si="2"/>
        <v>1.25</v>
      </c>
      <c r="O159" s="28" t="s">
        <v>1288</v>
      </c>
      <c r="P159" s="28" t="s">
        <v>1289</v>
      </c>
      <c r="Q159" s="28" t="s">
        <v>484</v>
      </c>
      <c r="R159" s="28" t="s">
        <v>1026</v>
      </c>
      <c r="S159" s="28" t="s">
        <v>1290</v>
      </c>
      <c r="T159" s="28" t="s">
        <v>1291</v>
      </c>
      <c r="U159" s="28" t="s">
        <v>1292</v>
      </c>
      <c r="V159" s="28"/>
    </row>
    <row r="160" spans="1:22" ht="34.5" customHeight="1" x14ac:dyDescent="0.25">
      <c r="A160" s="26">
        <v>19</v>
      </c>
      <c r="B160" s="27" t="s">
        <v>1282</v>
      </c>
      <c r="C160" s="28" t="s">
        <v>1283</v>
      </c>
      <c r="D160" s="28" t="s">
        <v>1121</v>
      </c>
      <c r="E160" s="28" t="s">
        <v>1284</v>
      </c>
      <c r="F160" s="28" t="s">
        <v>38</v>
      </c>
      <c r="G160" s="28" t="s">
        <v>1293</v>
      </c>
      <c r="H160" s="28" t="s">
        <v>1294</v>
      </c>
      <c r="I160" s="28" t="s">
        <v>1295</v>
      </c>
      <c r="J160" s="28" t="s">
        <v>30</v>
      </c>
      <c r="K160" s="28" t="s">
        <v>1296</v>
      </c>
      <c r="L160" s="28">
        <v>2</v>
      </c>
      <c r="M160" s="28">
        <v>0.5</v>
      </c>
      <c r="N160" s="25">
        <f t="shared" si="2"/>
        <v>0.5</v>
      </c>
      <c r="O160" s="28" t="s">
        <v>1297</v>
      </c>
      <c r="P160" s="28" t="s">
        <v>1298</v>
      </c>
      <c r="Q160" s="28" t="s">
        <v>484</v>
      </c>
      <c r="R160" s="28" t="s">
        <v>1026</v>
      </c>
      <c r="S160" s="28" t="s">
        <v>1290</v>
      </c>
      <c r="T160" s="28" t="s">
        <v>1291</v>
      </c>
      <c r="U160" s="28" t="s">
        <v>1299</v>
      </c>
      <c r="V160" s="28" t="s">
        <v>1300</v>
      </c>
    </row>
    <row r="161" spans="1:22" ht="34.5" customHeight="1" x14ac:dyDescent="0.25">
      <c r="A161" s="26">
        <v>19</v>
      </c>
      <c r="B161" s="27" t="s">
        <v>1282</v>
      </c>
      <c r="C161" s="28" t="s">
        <v>1283</v>
      </c>
      <c r="D161" s="28" t="s">
        <v>1121</v>
      </c>
      <c r="E161" s="28" t="s">
        <v>1301</v>
      </c>
      <c r="F161" s="28" t="s">
        <v>46</v>
      </c>
      <c r="G161" s="28" t="s">
        <v>1302</v>
      </c>
      <c r="H161" s="28" t="s">
        <v>1303</v>
      </c>
      <c r="I161" s="28" t="s">
        <v>1304</v>
      </c>
      <c r="J161" s="28" t="s">
        <v>30</v>
      </c>
      <c r="K161" s="28"/>
      <c r="L161" s="28">
        <v>4</v>
      </c>
      <c r="M161" s="28">
        <v>1</v>
      </c>
      <c r="N161" s="25">
        <f t="shared" si="2"/>
        <v>1.25</v>
      </c>
      <c r="O161" s="28" t="s">
        <v>1305</v>
      </c>
      <c r="P161" s="28" t="s">
        <v>686</v>
      </c>
      <c r="Q161" s="28" t="s">
        <v>1306</v>
      </c>
      <c r="R161" s="28" t="s">
        <v>1307</v>
      </c>
      <c r="S161" s="28" t="s">
        <v>1308</v>
      </c>
      <c r="T161" s="28" t="s">
        <v>1309</v>
      </c>
      <c r="U161" s="28" t="s">
        <v>1310</v>
      </c>
      <c r="V161" s="28"/>
    </row>
    <row r="162" spans="1:22" ht="34.5" customHeight="1" x14ac:dyDescent="0.25">
      <c r="A162" s="26">
        <v>19</v>
      </c>
      <c r="B162" s="27" t="s">
        <v>1282</v>
      </c>
      <c r="C162" s="28" t="s">
        <v>1283</v>
      </c>
      <c r="D162" s="28" t="s">
        <v>1121</v>
      </c>
      <c r="E162" s="28" t="s">
        <v>1311</v>
      </c>
      <c r="F162" s="28" t="s">
        <v>53</v>
      </c>
      <c r="G162" s="28" t="s">
        <v>1312</v>
      </c>
      <c r="H162" s="28" t="s">
        <v>1313</v>
      </c>
      <c r="I162" s="28" t="s">
        <v>1314</v>
      </c>
      <c r="J162" s="28" t="s">
        <v>30</v>
      </c>
      <c r="K162" s="28" t="s">
        <v>1296</v>
      </c>
      <c r="L162" s="28">
        <v>3</v>
      </c>
      <c r="M162" s="28">
        <v>0.75</v>
      </c>
      <c r="N162" s="25">
        <f t="shared" si="2"/>
        <v>1</v>
      </c>
      <c r="O162" s="28" t="s">
        <v>1315</v>
      </c>
      <c r="P162" s="28" t="s">
        <v>1316</v>
      </c>
      <c r="Q162" s="28" t="s">
        <v>1306</v>
      </c>
      <c r="R162" s="28" t="s">
        <v>1307</v>
      </c>
      <c r="S162" s="28" t="s">
        <v>1308</v>
      </c>
      <c r="T162" s="28" t="s">
        <v>1317</v>
      </c>
      <c r="U162" s="28" t="s">
        <v>1318</v>
      </c>
      <c r="V162" s="28"/>
    </row>
    <row r="163" spans="1:22" ht="34.5" customHeight="1" x14ac:dyDescent="0.25">
      <c r="A163" s="26">
        <v>19</v>
      </c>
      <c r="B163" s="27" t="s">
        <v>1282</v>
      </c>
      <c r="C163" s="28" t="s">
        <v>1283</v>
      </c>
      <c r="D163" s="28" t="s">
        <v>1121</v>
      </c>
      <c r="E163" s="28" t="s">
        <v>1319</v>
      </c>
      <c r="F163" s="28" t="s">
        <v>64</v>
      </c>
      <c r="G163" s="28" t="s">
        <v>1320</v>
      </c>
      <c r="H163" s="28" t="s">
        <v>1321</v>
      </c>
      <c r="I163" s="28" t="s">
        <v>1322</v>
      </c>
      <c r="J163" s="28" t="s">
        <v>30</v>
      </c>
      <c r="K163" s="28" t="s">
        <v>46</v>
      </c>
      <c r="L163" s="28">
        <v>2</v>
      </c>
      <c r="M163" s="28">
        <v>0.5</v>
      </c>
      <c r="N163" s="25">
        <f t="shared" si="2"/>
        <v>0.5</v>
      </c>
      <c r="O163" s="28" t="s">
        <v>1142</v>
      </c>
      <c r="P163" s="28" t="s">
        <v>1323</v>
      </c>
      <c r="Q163" s="28" t="s">
        <v>419</v>
      </c>
      <c r="R163" s="28" t="s">
        <v>1026</v>
      </c>
      <c r="S163" s="28" t="s">
        <v>1324</v>
      </c>
      <c r="T163" s="28" t="s">
        <v>1325</v>
      </c>
      <c r="U163" s="28" t="s">
        <v>1326</v>
      </c>
      <c r="V163" s="28"/>
    </row>
    <row r="164" spans="1:22" ht="34.5" customHeight="1" x14ac:dyDescent="0.25">
      <c r="A164" s="26">
        <v>19</v>
      </c>
      <c r="B164" s="27" t="s">
        <v>1282</v>
      </c>
      <c r="C164" s="28" t="s">
        <v>1283</v>
      </c>
      <c r="D164" s="28" t="s">
        <v>1121</v>
      </c>
      <c r="E164" s="28" t="s">
        <v>1319</v>
      </c>
      <c r="F164" s="28" t="s">
        <v>72</v>
      </c>
      <c r="G164" s="28" t="s">
        <v>1327</v>
      </c>
      <c r="H164" s="28" t="s">
        <v>1328</v>
      </c>
      <c r="I164" s="28" t="s">
        <v>1329</v>
      </c>
      <c r="J164" s="28" t="s">
        <v>30</v>
      </c>
      <c r="K164" s="28" t="s">
        <v>46</v>
      </c>
      <c r="L164" s="28">
        <v>2</v>
      </c>
      <c r="M164" s="28">
        <v>0.5</v>
      </c>
      <c r="N164" s="25">
        <f t="shared" si="2"/>
        <v>0.5</v>
      </c>
      <c r="O164" s="28" t="s">
        <v>1142</v>
      </c>
      <c r="P164" s="28" t="s">
        <v>1330</v>
      </c>
      <c r="Q164" s="28" t="s">
        <v>484</v>
      </c>
      <c r="R164" s="28" t="s">
        <v>1026</v>
      </c>
      <c r="S164" s="28" t="s">
        <v>1247</v>
      </c>
      <c r="T164" s="28" t="s">
        <v>1331</v>
      </c>
      <c r="U164" s="28" t="s">
        <v>1332</v>
      </c>
      <c r="V164" s="28"/>
    </row>
    <row r="165" spans="1:22" ht="34.5" customHeight="1" x14ac:dyDescent="0.25">
      <c r="A165" s="26">
        <v>19</v>
      </c>
      <c r="B165" s="27" t="s">
        <v>1282</v>
      </c>
      <c r="C165" s="28" t="s">
        <v>1283</v>
      </c>
      <c r="D165" s="28" t="s">
        <v>1121</v>
      </c>
      <c r="E165" s="28" t="s">
        <v>1284</v>
      </c>
      <c r="F165" s="28" t="s">
        <v>80</v>
      </c>
      <c r="G165" s="28" t="s">
        <v>1333</v>
      </c>
      <c r="H165" s="28" t="s">
        <v>1334</v>
      </c>
      <c r="I165" s="28" t="s">
        <v>1335</v>
      </c>
      <c r="J165" s="28" t="s">
        <v>30</v>
      </c>
      <c r="K165" s="28"/>
      <c r="L165" s="28">
        <v>5</v>
      </c>
      <c r="M165" s="28">
        <v>1.25</v>
      </c>
      <c r="N165" s="25">
        <f t="shared" si="2"/>
        <v>1.5</v>
      </c>
      <c r="O165" s="28" t="s">
        <v>1336</v>
      </c>
      <c r="P165" s="28" t="s">
        <v>1337</v>
      </c>
      <c r="Q165" s="28" t="s">
        <v>1338</v>
      </c>
      <c r="R165" s="28" t="s">
        <v>1339</v>
      </c>
      <c r="S165" s="28" t="s">
        <v>1340</v>
      </c>
      <c r="T165" s="28" t="s">
        <v>1341</v>
      </c>
      <c r="U165" s="28" t="s">
        <v>1342</v>
      </c>
      <c r="V165" s="28"/>
    </row>
    <row r="166" spans="1:22" ht="34.5" customHeight="1" x14ac:dyDescent="0.25">
      <c r="A166" s="26">
        <v>19</v>
      </c>
      <c r="B166" s="27" t="s">
        <v>1282</v>
      </c>
      <c r="C166" s="28" t="s">
        <v>1283</v>
      </c>
      <c r="D166" s="28" t="s">
        <v>1121</v>
      </c>
      <c r="E166" s="28" t="s">
        <v>1284</v>
      </c>
      <c r="F166" s="28" t="s">
        <v>88</v>
      </c>
      <c r="G166" s="28" t="s">
        <v>1343</v>
      </c>
      <c r="H166" s="28" t="s">
        <v>1344</v>
      </c>
      <c r="I166" s="28" t="s">
        <v>1345</v>
      </c>
      <c r="J166" s="28" t="s">
        <v>30</v>
      </c>
      <c r="K166" s="28" t="s">
        <v>1346</v>
      </c>
      <c r="L166" s="28">
        <v>3</v>
      </c>
      <c r="M166" s="28">
        <v>0.75</v>
      </c>
      <c r="N166" s="25">
        <f t="shared" si="2"/>
        <v>1</v>
      </c>
      <c r="O166" s="28" t="s">
        <v>1347</v>
      </c>
      <c r="P166" s="28" t="s">
        <v>1348</v>
      </c>
      <c r="Q166" s="28" t="s">
        <v>1338</v>
      </c>
      <c r="R166" s="28" t="s">
        <v>1339</v>
      </c>
      <c r="S166" s="28" t="s">
        <v>1340</v>
      </c>
      <c r="T166" s="28" t="s">
        <v>1341</v>
      </c>
      <c r="U166" s="28" t="s">
        <v>1349</v>
      </c>
      <c r="V166" s="28" t="s">
        <v>1350</v>
      </c>
    </row>
    <row r="167" spans="1:22" ht="34.5" customHeight="1" x14ac:dyDescent="0.25">
      <c r="A167" s="26">
        <v>19</v>
      </c>
      <c r="B167" s="27" t="s">
        <v>1282</v>
      </c>
      <c r="C167" s="28" t="s">
        <v>1283</v>
      </c>
      <c r="D167" s="28" t="s">
        <v>1121</v>
      </c>
      <c r="E167" s="28" t="s">
        <v>1284</v>
      </c>
      <c r="F167" s="28" t="s">
        <v>95</v>
      </c>
      <c r="G167" s="28" t="s">
        <v>1351</v>
      </c>
      <c r="H167" s="28" t="s">
        <v>1352</v>
      </c>
      <c r="I167" s="28" t="s">
        <v>1353</v>
      </c>
      <c r="J167" s="28" t="s">
        <v>30</v>
      </c>
      <c r="K167" s="28"/>
      <c r="L167" s="28">
        <v>3</v>
      </c>
      <c r="M167" s="28">
        <v>0.75</v>
      </c>
      <c r="N167" s="25">
        <f t="shared" si="2"/>
        <v>1</v>
      </c>
      <c r="O167" s="28" t="s">
        <v>1354</v>
      </c>
      <c r="P167" s="28" t="s">
        <v>371</v>
      </c>
      <c r="Q167" s="28" t="s">
        <v>484</v>
      </c>
      <c r="R167" s="28" t="s">
        <v>1026</v>
      </c>
      <c r="S167" s="28" t="s">
        <v>1290</v>
      </c>
      <c r="T167" s="28" t="s">
        <v>1355</v>
      </c>
      <c r="U167" s="28" t="s">
        <v>1356</v>
      </c>
      <c r="V167" s="28"/>
    </row>
    <row r="168" spans="1:22" ht="34.5" customHeight="1" x14ac:dyDescent="0.25">
      <c r="A168" s="26">
        <v>19</v>
      </c>
      <c r="B168" s="27" t="s">
        <v>1282</v>
      </c>
      <c r="C168" s="28" t="s">
        <v>1283</v>
      </c>
      <c r="D168" s="28" t="s">
        <v>1121</v>
      </c>
      <c r="E168" s="28" t="s">
        <v>1284</v>
      </c>
      <c r="F168" s="28" t="s">
        <v>103</v>
      </c>
      <c r="G168" s="28" t="s">
        <v>1357</v>
      </c>
      <c r="H168" s="28" t="s">
        <v>1358</v>
      </c>
      <c r="I168" s="28" t="s">
        <v>1359</v>
      </c>
      <c r="J168" s="28" t="s">
        <v>30</v>
      </c>
      <c r="K168" s="28" t="s">
        <v>1296</v>
      </c>
      <c r="L168" s="28">
        <v>4</v>
      </c>
      <c r="M168" s="28">
        <v>1</v>
      </c>
      <c r="N168" s="25">
        <f t="shared" si="2"/>
        <v>1.25</v>
      </c>
      <c r="O168" s="28" t="s">
        <v>1360</v>
      </c>
      <c r="P168" s="28" t="s">
        <v>1361</v>
      </c>
      <c r="Q168" s="28" t="s">
        <v>484</v>
      </c>
      <c r="R168" s="28" t="s">
        <v>1026</v>
      </c>
      <c r="S168" s="28" t="s">
        <v>1290</v>
      </c>
      <c r="T168" s="28" t="s">
        <v>1355</v>
      </c>
      <c r="U168" s="28" t="s">
        <v>1362</v>
      </c>
      <c r="V168" s="28"/>
    </row>
    <row r="169" spans="1:22" ht="34.5" customHeight="1" x14ac:dyDescent="0.25">
      <c r="A169" s="26">
        <v>19</v>
      </c>
      <c r="B169" s="27" t="s">
        <v>1282</v>
      </c>
      <c r="C169" s="28" t="s">
        <v>1283</v>
      </c>
      <c r="D169" s="28" t="s">
        <v>1121</v>
      </c>
      <c r="E169" s="28" t="s">
        <v>1284</v>
      </c>
      <c r="F169" s="28" t="s">
        <v>1240</v>
      </c>
      <c r="G169" s="28" t="s">
        <v>1363</v>
      </c>
      <c r="H169" s="28" t="s">
        <v>1364</v>
      </c>
      <c r="I169" s="28" t="s">
        <v>1365</v>
      </c>
      <c r="J169" s="28" t="s">
        <v>30</v>
      </c>
      <c r="K169" s="28" t="s">
        <v>1366</v>
      </c>
      <c r="L169" s="28">
        <v>5</v>
      </c>
      <c r="M169" s="28">
        <v>1.25</v>
      </c>
      <c r="N169" s="25">
        <f t="shared" si="2"/>
        <v>1.5</v>
      </c>
      <c r="O169" s="28" t="s">
        <v>1367</v>
      </c>
      <c r="P169" s="28" t="s">
        <v>1368</v>
      </c>
      <c r="Q169" s="28" t="s">
        <v>484</v>
      </c>
      <c r="R169" s="28" t="s">
        <v>1026</v>
      </c>
      <c r="S169" s="28" t="s">
        <v>1290</v>
      </c>
      <c r="T169" s="28" t="s">
        <v>1355</v>
      </c>
      <c r="U169" s="28" t="s">
        <v>1369</v>
      </c>
      <c r="V169" s="28"/>
    </row>
    <row r="170" spans="1:22" ht="34.5" customHeight="1" x14ac:dyDescent="0.25">
      <c r="A170" s="26">
        <v>19</v>
      </c>
      <c r="B170" s="27" t="s">
        <v>1282</v>
      </c>
      <c r="C170" s="28" t="s">
        <v>1283</v>
      </c>
      <c r="D170" s="28" t="s">
        <v>1121</v>
      </c>
      <c r="E170" s="28" t="s">
        <v>1284</v>
      </c>
      <c r="F170" s="28" t="s">
        <v>1252</v>
      </c>
      <c r="G170" s="28" t="s">
        <v>1370</v>
      </c>
      <c r="H170" s="28" t="s">
        <v>1371</v>
      </c>
      <c r="I170" s="28" t="s">
        <v>1372</v>
      </c>
      <c r="J170" s="28" t="s">
        <v>30</v>
      </c>
      <c r="K170" s="28" t="s">
        <v>1373</v>
      </c>
      <c r="L170" s="28">
        <v>5</v>
      </c>
      <c r="M170" s="28">
        <v>1.25</v>
      </c>
      <c r="N170" s="25">
        <f t="shared" si="2"/>
        <v>1.5</v>
      </c>
      <c r="O170" s="28" t="s">
        <v>1374</v>
      </c>
      <c r="P170" s="28" t="s">
        <v>1375</v>
      </c>
      <c r="Q170" s="28" t="s">
        <v>484</v>
      </c>
      <c r="R170" s="28" t="s">
        <v>1026</v>
      </c>
      <c r="S170" s="28" t="s">
        <v>1290</v>
      </c>
      <c r="T170" s="28" t="s">
        <v>1355</v>
      </c>
      <c r="U170" s="28" t="s">
        <v>1376</v>
      </c>
      <c r="V170" s="28"/>
    </row>
    <row r="171" spans="1:22" ht="34.5" customHeight="1" x14ac:dyDescent="0.25">
      <c r="A171" s="26">
        <v>19</v>
      </c>
      <c r="B171" s="27" t="s">
        <v>1282</v>
      </c>
      <c r="C171" s="28" t="s">
        <v>1283</v>
      </c>
      <c r="D171" s="28" t="s">
        <v>1121</v>
      </c>
      <c r="E171" s="28" t="s">
        <v>1284</v>
      </c>
      <c r="F171" s="28" t="s">
        <v>1377</v>
      </c>
      <c r="G171" s="28" t="s">
        <v>1378</v>
      </c>
      <c r="H171" s="28" t="s">
        <v>1379</v>
      </c>
      <c r="I171" s="28" t="s">
        <v>1380</v>
      </c>
      <c r="J171" s="28" t="s">
        <v>30</v>
      </c>
      <c r="K171" s="28" t="s">
        <v>1381</v>
      </c>
      <c r="L171" s="28">
        <v>4</v>
      </c>
      <c r="M171" s="28">
        <v>1</v>
      </c>
      <c r="N171" s="25">
        <f t="shared" si="2"/>
        <v>1.25</v>
      </c>
      <c r="O171" s="28" t="s">
        <v>1382</v>
      </c>
      <c r="P171" s="28" t="s">
        <v>1375</v>
      </c>
      <c r="Q171" s="28" t="s">
        <v>484</v>
      </c>
      <c r="R171" s="28" t="s">
        <v>1026</v>
      </c>
      <c r="S171" s="28" t="s">
        <v>1290</v>
      </c>
      <c r="T171" s="28" t="s">
        <v>1355</v>
      </c>
      <c r="U171" s="28" t="s">
        <v>1383</v>
      </c>
      <c r="V171" s="28" t="s">
        <v>1384</v>
      </c>
    </row>
    <row r="172" spans="1:22" ht="34.5" customHeight="1" x14ac:dyDescent="0.25">
      <c r="A172" s="26">
        <v>19</v>
      </c>
      <c r="B172" s="27" t="s">
        <v>1282</v>
      </c>
      <c r="C172" s="28" t="s">
        <v>1283</v>
      </c>
      <c r="D172" s="28" t="s">
        <v>1121</v>
      </c>
      <c r="E172" s="28" t="s">
        <v>1284</v>
      </c>
      <c r="F172" s="28" t="s">
        <v>1385</v>
      </c>
      <c r="G172" s="28" t="s">
        <v>1386</v>
      </c>
      <c r="H172" s="28" t="s">
        <v>1387</v>
      </c>
      <c r="I172" s="28" t="s">
        <v>1388</v>
      </c>
      <c r="J172" s="28" t="s">
        <v>30</v>
      </c>
      <c r="K172" s="28" t="s">
        <v>1296</v>
      </c>
      <c r="L172" s="28">
        <v>3</v>
      </c>
      <c r="M172" s="28">
        <v>0.75</v>
      </c>
      <c r="N172" s="25">
        <f t="shared" si="2"/>
        <v>1</v>
      </c>
      <c r="O172" s="28" t="s">
        <v>1389</v>
      </c>
      <c r="P172" s="28" t="s">
        <v>1390</v>
      </c>
      <c r="Q172" s="28" t="s">
        <v>419</v>
      </c>
      <c r="R172" s="28" t="s">
        <v>1391</v>
      </c>
      <c r="S172" s="28" t="s">
        <v>1392</v>
      </c>
      <c r="T172" s="28" t="s">
        <v>1393</v>
      </c>
      <c r="U172" s="28" t="s">
        <v>1394</v>
      </c>
      <c r="V172" s="28"/>
    </row>
    <row r="173" spans="1:22" ht="34.5" customHeight="1" x14ac:dyDescent="0.25">
      <c r="A173" s="26">
        <v>19</v>
      </c>
      <c r="B173" s="27" t="s">
        <v>1282</v>
      </c>
      <c r="C173" s="28" t="s">
        <v>1283</v>
      </c>
      <c r="D173" s="28" t="s">
        <v>1121</v>
      </c>
      <c r="E173" s="28" t="s">
        <v>1284</v>
      </c>
      <c r="F173" s="28" t="s">
        <v>1395</v>
      </c>
      <c r="G173" s="28" t="s">
        <v>1396</v>
      </c>
      <c r="H173" s="28" t="s">
        <v>1397</v>
      </c>
      <c r="I173" s="28" t="s">
        <v>1398</v>
      </c>
      <c r="J173" s="28" t="s">
        <v>30</v>
      </c>
      <c r="K173" s="28" t="s">
        <v>1366</v>
      </c>
      <c r="L173" s="28">
        <v>3</v>
      </c>
      <c r="M173" s="28">
        <v>0.75</v>
      </c>
      <c r="N173" s="25">
        <f t="shared" si="2"/>
        <v>1</v>
      </c>
      <c r="O173" s="28" t="s">
        <v>1399</v>
      </c>
      <c r="P173" s="28" t="s">
        <v>1400</v>
      </c>
      <c r="Q173" s="28" t="s">
        <v>419</v>
      </c>
      <c r="R173" s="28" t="s">
        <v>1391</v>
      </c>
      <c r="S173" s="28" t="s">
        <v>1392</v>
      </c>
      <c r="T173" s="28" t="s">
        <v>1393</v>
      </c>
      <c r="U173" s="28" t="s">
        <v>1401</v>
      </c>
      <c r="V173" s="28" t="s">
        <v>1402</v>
      </c>
    </row>
    <row r="174" spans="1:22" ht="34.5" customHeight="1" x14ac:dyDescent="0.25">
      <c r="A174" s="26">
        <v>19</v>
      </c>
      <c r="B174" s="27" t="s">
        <v>1282</v>
      </c>
      <c r="C174" s="28" t="s">
        <v>1283</v>
      </c>
      <c r="D174" s="28" t="s">
        <v>1121</v>
      </c>
      <c r="E174" s="28" t="s">
        <v>1403</v>
      </c>
      <c r="F174" s="28" t="s">
        <v>112</v>
      </c>
      <c r="G174" s="28" t="s">
        <v>1404</v>
      </c>
      <c r="H174" s="28" t="s">
        <v>1405</v>
      </c>
      <c r="I174" s="28" t="s">
        <v>1406</v>
      </c>
      <c r="J174" s="28" t="s">
        <v>116</v>
      </c>
      <c r="K174" s="28"/>
      <c r="L174" s="28">
        <v>4</v>
      </c>
      <c r="M174" s="28">
        <v>1</v>
      </c>
      <c r="N174" s="25">
        <f t="shared" si="2"/>
        <v>1.25</v>
      </c>
      <c r="O174" s="28" t="s">
        <v>1407</v>
      </c>
      <c r="P174" s="28" t="s">
        <v>273</v>
      </c>
      <c r="Q174" s="28" t="s">
        <v>1306</v>
      </c>
      <c r="R174" s="28" t="s">
        <v>1307</v>
      </c>
      <c r="S174" s="28" t="s">
        <v>1324</v>
      </c>
      <c r="T174" s="28" t="s">
        <v>1408</v>
      </c>
      <c r="U174" s="28" t="s">
        <v>1409</v>
      </c>
      <c r="V174" s="28"/>
    </row>
    <row r="175" spans="1:22" ht="34.5" customHeight="1" x14ac:dyDescent="0.25">
      <c r="A175" s="26">
        <v>19</v>
      </c>
      <c r="B175" s="27" t="s">
        <v>1282</v>
      </c>
      <c r="C175" s="28" t="s">
        <v>1283</v>
      </c>
      <c r="D175" s="28" t="s">
        <v>1121</v>
      </c>
      <c r="E175" s="28" t="s">
        <v>1410</v>
      </c>
      <c r="F175" s="28" t="s">
        <v>120</v>
      </c>
      <c r="G175" s="28" t="s">
        <v>1411</v>
      </c>
      <c r="H175" s="28" t="s">
        <v>1412</v>
      </c>
      <c r="I175" s="28" t="s">
        <v>1413</v>
      </c>
      <c r="J175" s="28" t="s">
        <v>116</v>
      </c>
      <c r="K175" s="28" t="s">
        <v>1414</v>
      </c>
      <c r="L175" s="28">
        <v>1</v>
      </c>
      <c r="M175" s="28">
        <v>0.5</v>
      </c>
      <c r="N175" s="25">
        <f t="shared" si="2"/>
        <v>0.5</v>
      </c>
      <c r="O175" s="28" t="s">
        <v>774</v>
      </c>
      <c r="P175" s="28" t="s">
        <v>280</v>
      </c>
      <c r="Q175" s="28" t="s">
        <v>1415</v>
      </c>
      <c r="R175" s="28" t="s">
        <v>1416</v>
      </c>
      <c r="S175" s="28" t="s">
        <v>1417</v>
      </c>
      <c r="T175" s="28" t="s">
        <v>1418</v>
      </c>
      <c r="U175" s="28" t="s">
        <v>1419</v>
      </c>
      <c r="V175" s="28"/>
    </row>
    <row r="176" spans="1:22" ht="34.5" customHeight="1" x14ac:dyDescent="0.25">
      <c r="A176" s="26">
        <v>19</v>
      </c>
      <c r="B176" s="27" t="s">
        <v>1282</v>
      </c>
      <c r="C176" s="28" t="s">
        <v>1283</v>
      </c>
      <c r="D176" s="28" t="s">
        <v>1121</v>
      </c>
      <c r="E176" s="28" t="s">
        <v>1420</v>
      </c>
      <c r="F176" s="28" t="s">
        <v>127</v>
      </c>
      <c r="G176" s="28" t="s">
        <v>1421</v>
      </c>
      <c r="H176" s="28" t="s">
        <v>1422</v>
      </c>
      <c r="I176" s="28" t="s">
        <v>1423</v>
      </c>
      <c r="J176" s="28" t="s">
        <v>116</v>
      </c>
      <c r="K176" s="28" t="s">
        <v>1414</v>
      </c>
      <c r="L176" s="28">
        <v>1</v>
      </c>
      <c r="M176" s="28">
        <v>0.5</v>
      </c>
      <c r="N176" s="25">
        <f t="shared" si="2"/>
        <v>0.5</v>
      </c>
      <c r="O176" s="28" t="s">
        <v>774</v>
      </c>
      <c r="P176" s="28" t="s">
        <v>280</v>
      </c>
      <c r="Q176" s="28" t="s">
        <v>419</v>
      </c>
      <c r="R176" s="28" t="s">
        <v>1026</v>
      </c>
      <c r="S176" s="28" t="s">
        <v>1417</v>
      </c>
      <c r="T176" s="28" t="s">
        <v>1424</v>
      </c>
      <c r="U176" s="28" t="s">
        <v>1425</v>
      </c>
      <c r="V176" s="28"/>
    </row>
    <row r="177" spans="1:22" ht="34.5" customHeight="1" x14ac:dyDescent="0.25">
      <c r="A177" s="26">
        <v>19</v>
      </c>
      <c r="B177" s="27" t="s">
        <v>1282</v>
      </c>
      <c r="C177" s="28" t="s">
        <v>1283</v>
      </c>
      <c r="D177" s="28" t="s">
        <v>1121</v>
      </c>
      <c r="E177" s="28" t="s">
        <v>1426</v>
      </c>
      <c r="F177" s="28" t="s">
        <v>134</v>
      </c>
      <c r="G177" s="28" t="s">
        <v>1427</v>
      </c>
      <c r="H177" s="28" t="s">
        <v>1428</v>
      </c>
      <c r="I177" s="28" t="s">
        <v>1429</v>
      </c>
      <c r="J177" s="28" t="s">
        <v>116</v>
      </c>
      <c r="K177" s="28"/>
      <c r="L177" s="28">
        <v>0.5</v>
      </c>
      <c r="M177" s="28">
        <v>0.25</v>
      </c>
      <c r="N177" s="25">
        <f t="shared" si="2"/>
        <v>0.25</v>
      </c>
      <c r="O177" s="28" t="s">
        <v>774</v>
      </c>
      <c r="P177" s="28" t="s">
        <v>280</v>
      </c>
      <c r="Q177" s="28" t="s">
        <v>419</v>
      </c>
      <c r="R177" s="28" t="s">
        <v>1026</v>
      </c>
      <c r="S177" s="28" t="s">
        <v>1417</v>
      </c>
      <c r="T177" s="28" t="s">
        <v>1430</v>
      </c>
      <c r="U177" s="28" t="s">
        <v>1431</v>
      </c>
      <c r="V177" s="28"/>
    </row>
    <row r="178" spans="1:22" ht="34.5" customHeight="1" x14ac:dyDescent="0.25">
      <c r="A178" s="26">
        <v>19</v>
      </c>
      <c r="B178" s="27" t="s">
        <v>1282</v>
      </c>
      <c r="C178" s="28" t="s">
        <v>1283</v>
      </c>
      <c r="D178" s="28" t="s">
        <v>1121</v>
      </c>
      <c r="E178" s="28" t="s">
        <v>1432</v>
      </c>
      <c r="F178" s="28" t="s">
        <v>142</v>
      </c>
      <c r="G178" s="28" t="s">
        <v>1433</v>
      </c>
      <c r="H178" s="28" t="s">
        <v>1434</v>
      </c>
      <c r="I178" s="28" t="s">
        <v>1435</v>
      </c>
      <c r="J178" s="28" t="s">
        <v>116</v>
      </c>
      <c r="K178" s="28"/>
      <c r="L178" s="28">
        <v>4</v>
      </c>
      <c r="M178" s="28">
        <v>1.5</v>
      </c>
      <c r="N178" s="25">
        <f t="shared" si="2"/>
        <v>1.75</v>
      </c>
      <c r="O178" s="28" t="s">
        <v>1436</v>
      </c>
      <c r="P178" s="28" t="s">
        <v>775</v>
      </c>
      <c r="Q178" s="28" t="s">
        <v>484</v>
      </c>
      <c r="R178" s="28" t="s">
        <v>1026</v>
      </c>
      <c r="S178" s="28" t="s">
        <v>1290</v>
      </c>
      <c r="T178" s="28" t="s">
        <v>1437</v>
      </c>
      <c r="U178" s="28" t="s">
        <v>1438</v>
      </c>
      <c r="V178" s="28"/>
    </row>
    <row r="179" spans="1:22" ht="34.5" customHeight="1" x14ac:dyDescent="0.25">
      <c r="A179" s="26">
        <v>19</v>
      </c>
      <c r="B179" s="27" t="s">
        <v>1282</v>
      </c>
      <c r="C179" s="28" t="s">
        <v>1283</v>
      </c>
      <c r="D179" s="28" t="s">
        <v>1121</v>
      </c>
      <c r="E179" s="28" t="s">
        <v>1319</v>
      </c>
      <c r="F179" s="28" t="s">
        <v>150</v>
      </c>
      <c r="G179" s="28" t="s">
        <v>1439</v>
      </c>
      <c r="H179" s="28" t="s">
        <v>1440</v>
      </c>
      <c r="I179" s="28" t="s">
        <v>1441</v>
      </c>
      <c r="J179" s="28" t="s">
        <v>116</v>
      </c>
      <c r="K179" s="28" t="s">
        <v>1414</v>
      </c>
      <c r="L179" s="28">
        <v>1</v>
      </c>
      <c r="M179" s="28">
        <v>0.5</v>
      </c>
      <c r="N179" s="25">
        <f t="shared" si="2"/>
        <v>0.5</v>
      </c>
      <c r="O179" s="28" t="s">
        <v>774</v>
      </c>
      <c r="P179" s="28" t="s">
        <v>280</v>
      </c>
      <c r="Q179" s="28" t="s">
        <v>1415</v>
      </c>
      <c r="R179" s="28" t="s">
        <v>1416</v>
      </c>
      <c r="S179" s="28" t="s">
        <v>1417</v>
      </c>
      <c r="T179" s="28" t="s">
        <v>1442</v>
      </c>
      <c r="U179" s="28" t="s">
        <v>1443</v>
      </c>
      <c r="V179" s="28"/>
    </row>
    <row r="180" spans="1:22" ht="34.5" customHeight="1" x14ac:dyDescent="0.25">
      <c r="A180" s="26">
        <v>19</v>
      </c>
      <c r="B180" s="27" t="s">
        <v>1282</v>
      </c>
      <c r="C180" s="28" t="s">
        <v>1283</v>
      </c>
      <c r="D180" s="28" t="s">
        <v>1121</v>
      </c>
      <c r="E180" s="28" t="s">
        <v>1444</v>
      </c>
      <c r="F180" s="28" t="s">
        <v>478</v>
      </c>
      <c r="G180" s="28" t="s">
        <v>1445</v>
      </c>
      <c r="H180" s="28" t="s">
        <v>1446</v>
      </c>
      <c r="I180" s="28" t="s">
        <v>1447</v>
      </c>
      <c r="J180" s="28" t="s">
        <v>116</v>
      </c>
      <c r="K180" s="28"/>
      <c r="L180" s="28">
        <v>0.5</v>
      </c>
      <c r="M180" s="28">
        <v>0.25</v>
      </c>
      <c r="N180" s="25">
        <f t="shared" si="2"/>
        <v>0.25</v>
      </c>
      <c r="O180" s="28" t="s">
        <v>774</v>
      </c>
      <c r="P180" s="28" t="s">
        <v>280</v>
      </c>
      <c r="Q180" s="28" t="s">
        <v>60</v>
      </c>
      <c r="R180" s="28" t="s">
        <v>522</v>
      </c>
      <c r="S180" s="28" t="s">
        <v>1448</v>
      </c>
      <c r="T180" s="28" t="s">
        <v>1449</v>
      </c>
      <c r="U180" s="28" t="s">
        <v>1450</v>
      </c>
      <c r="V180" s="28"/>
    </row>
    <row r="181" spans="1:22" ht="34.5" customHeight="1" x14ac:dyDescent="0.25">
      <c r="A181" s="26">
        <v>19</v>
      </c>
      <c r="B181" s="27" t="s">
        <v>1282</v>
      </c>
      <c r="C181" s="28" t="s">
        <v>1283</v>
      </c>
      <c r="D181" s="28" t="s">
        <v>1121</v>
      </c>
      <c r="E181" s="28" t="s">
        <v>1451</v>
      </c>
      <c r="F181" s="28" t="s">
        <v>487</v>
      </c>
      <c r="G181" s="28" t="s">
        <v>1452</v>
      </c>
      <c r="H181" s="28" t="s">
        <v>1453</v>
      </c>
      <c r="I181" s="28" t="s">
        <v>1454</v>
      </c>
      <c r="J181" s="28" t="s">
        <v>116</v>
      </c>
      <c r="K181" s="28" t="s">
        <v>1455</v>
      </c>
      <c r="L181" s="28">
        <v>2</v>
      </c>
      <c r="M181" s="28">
        <v>1</v>
      </c>
      <c r="N181" s="25">
        <f t="shared" si="2"/>
        <v>1.25</v>
      </c>
      <c r="O181" s="28" t="s">
        <v>1456</v>
      </c>
      <c r="P181" s="28" t="s">
        <v>280</v>
      </c>
      <c r="Q181" s="28" t="s">
        <v>484</v>
      </c>
      <c r="R181" s="28" t="s">
        <v>1026</v>
      </c>
      <c r="S181" s="28" t="s">
        <v>1290</v>
      </c>
      <c r="T181" s="28" t="s">
        <v>1457</v>
      </c>
      <c r="U181" s="28" t="s">
        <v>1458</v>
      </c>
      <c r="V181" s="28"/>
    </row>
    <row r="182" spans="1:22" ht="34.5" customHeight="1" x14ac:dyDescent="0.25">
      <c r="A182" s="26">
        <v>19</v>
      </c>
      <c r="B182" s="27" t="s">
        <v>1282</v>
      </c>
      <c r="C182" s="28" t="s">
        <v>1283</v>
      </c>
      <c r="D182" s="28" t="s">
        <v>1121</v>
      </c>
      <c r="E182" s="28" t="s">
        <v>1459</v>
      </c>
      <c r="F182" s="28" t="s">
        <v>497</v>
      </c>
      <c r="G182" s="28" t="s">
        <v>1460</v>
      </c>
      <c r="H182" s="28" t="s">
        <v>1461</v>
      </c>
      <c r="I182" s="28" t="s">
        <v>1462</v>
      </c>
      <c r="J182" s="28" t="s">
        <v>116</v>
      </c>
      <c r="K182" s="28" t="s">
        <v>1463</v>
      </c>
      <c r="L182" s="28">
        <v>1</v>
      </c>
      <c r="M182" s="28">
        <v>0.5</v>
      </c>
      <c r="N182" s="25">
        <f t="shared" si="2"/>
        <v>0.5</v>
      </c>
      <c r="O182" s="28" t="s">
        <v>774</v>
      </c>
      <c r="P182" s="28" t="s">
        <v>280</v>
      </c>
      <c r="Q182" s="28" t="s">
        <v>484</v>
      </c>
      <c r="R182" s="28" t="s">
        <v>1026</v>
      </c>
      <c r="S182" s="28" t="s">
        <v>1290</v>
      </c>
      <c r="T182" s="28" t="s">
        <v>1457</v>
      </c>
      <c r="U182" s="28" t="s">
        <v>1464</v>
      </c>
      <c r="V182" s="28"/>
    </row>
    <row r="183" spans="1:22" ht="34.5" customHeight="1" x14ac:dyDescent="0.25">
      <c r="A183" s="26">
        <v>19</v>
      </c>
      <c r="B183" s="27" t="s">
        <v>1282</v>
      </c>
      <c r="C183" s="28" t="s">
        <v>1283</v>
      </c>
      <c r="D183" s="28" t="s">
        <v>1121</v>
      </c>
      <c r="E183" s="28" t="s">
        <v>1465</v>
      </c>
      <c r="F183" s="28" t="s">
        <v>1466</v>
      </c>
      <c r="G183" s="28" t="s">
        <v>1467</v>
      </c>
      <c r="H183" s="28" t="s">
        <v>1468</v>
      </c>
      <c r="I183" s="28" t="s">
        <v>1469</v>
      </c>
      <c r="J183" s="28" t="s">
        <v>116</v>
      </c>
      <c r="K183" s="28"/>
      <c r="L183" s="28">
        <v>0.5</v>
      </c>
      <c r="M183" s="28">
        <v>0.25</v>
      </c>
      <c r="N183" s="25">
        <f t="shared" si="2"/>
        <v>0.25</v>
      </c>
      <c r="O183" s="28" t="s">
        <v>774</v>
      </c>
      <c r="P183" s="28" t="s">
        <v>280</v>
      </c>
      <c r="Q183" s="28" t="s">
        <v>419</v>
      </c>
      <c r="R183" s="28" t="s">
        <v>1026</v>
      </c>
      <c r="S183" s="28" t="s">
        <v>1417</v>
      </c>
      <c r="T183" s="28" t="s">
        <v>1470</v>
      </c>
      <c r="U183" s="28" t="s">
        <v>1471</v>
      </c>
      <c r="V183" s="28"/>
    </row>
    <row r="184" spans="1:22" ht="34.5" customHeight="1" x14ac:dyDescent="0.25">
      <c r="A184" s="26">
        <v>19</v>
      </c>
      <c r="B184" s="27" t="s">
        <v>1282</v>
      </c>
      <c r="C184" s="28" t="s">
        <v>1283</v>
      </c>
      <c r="D184" s="28" t="s">
        <v>1121</v>
      </c>
      <c r="E184" s="28" t="s">
        <v>1472</v>
      </c>
      <c r="F184" s="28" t="s">
        <v>157</v>
      </c>
      <c r="G184" s="28" t="s">
        <v>1473</v>
      </c>
      <c r="H184" s="28" t="s">
        <v>1474</v>
      </c>
      <c r="I184" s="28" t="s">
        <v>1475</v>
      </c>
      <c r="J184" s="28" t="s">
        <v>161</v>
      </c>
      <c r="K184" s="28" t="s">
        <v>1476</v>
      </c>
      <c r="L184" s="28">
        <v>4</v>
      </c>
      <c r="M184" s="28">
        <v>1</v>
      </c>
      <c r="N184" s="25">
        <f t="shared" si="2"/>
        <v>1.25</v>
      </c>
      <c r="O184" s="28" t="s">
        <v>1477</v>
      </c>
      <c r="P184" s="28" t="s">
        <v>631</v>
      </c>
      <c r="Q184" s="28" t="s">
        <v>429</v>
      </c>
      <c r="R184" s="28" t="s">
        <v>1307</v>
      </c>
      <c r="S184" s="28" t="s">
        <v>1324</v>
      </c>
      <c r="T184" s="28" t="s">
        <v>1478</v>
      </c>
      <c r="U184" s="28" t="s">
        <v>1479</v>
      </c>
      <c r="V184" s="28"/>
    </row>
    <row r="185" spans="1:22" ht="34.5" customHeight="1" x14ac:dyDescent="0.25">
      <c r="A185" s="26">
        <v>19</v>
      </c>
      <c r="B185" s="27" t="s">
        <v>1282</v>
      </c>
      <c r="C185" s="28" t="s">
        <v>1283</v>
      </c>
      <c r="D185" s="28" t="s">
        <v>1121</v>
      </c>
      <c r="E185" s="28" t="s">
        <v>1480</v>
      </c>
      <c r="F185" s="28" t="s">
        <v>166</v>
      </c>
      <c r="G185" s="28" t="s">
        <v>1481</v>
      </c>
      <c r="H185" s="28" t="s">
        <v>1482</v>
      </c>
      <c r="I185" s="28" t="s">
        <v>1483</v>
      </c>
      <c r="J185" s="28" t="s">
        <v>161</v>
      </c>
      <c r="K185" s="28" t="s">
        <v>1484</v>
      </c>
      <c r="L185" s="28">
        <v>3</v>
      </c>
      <c r="M185" s="28">
        <v>1</v>
      </c>
      <c r="N185" s="25">
        <f t="shared" si="2"/>
        <v>1.25</v>
      </c>
      <c r="O185" s="28" t="s">
        <v>1142</v>
      </c>
      <c r="P185" s="28" t="s">
        <v>1485</v>
      </c>
      <c r="Q185" s="28" t="s">
        <v>484</v>
      </c>
      <c r="R185" s="28" t="s">
        <v>1026</v>
      </c>
      <c r="S185" s="28" t="s">
        <v>1290</v>
      </c>
      <c r="T185" s="28" t="s">
        <v>1486</v>
      </c>
      <c r="U185" s="28" t="s">
        <v>1487</v>
      </c>
      <c r="V185" s="28"/>
    </row>
    <row r="186" spans="1:22" ht="34.5" customHeight="1" x14ac:dyDescent="0.25">
      <c r="A186" s="26">
        <v>19</v>
      </c>
      <c r="B186" s="27" t="s">
        <v>1282</v>
      </c>
      <c r="C186" s="28" t="s">
        <v>1283</v>
      </c>
      <c r="D186" s="28" t="s">
        <v>1121</v>
      </c>
      <c r="E186" s="28" t="s">
        <v>1488</v>
      </c>
      <c r="F186" s="28" t="s">
        <v>1489</v>
      </c>
      <c r="G186" s="28" t="s">
        <v>1490</v>
      </c>
      <c r="H186" s="28" t="s">
        <v>1491</v>
      </c>
      <c r="I186" s="28" t="s">
        <v>1492</v>
      </c>
      <c r="J186" s="28" t="s">
        <v>161</v>
      </c>
      <c r="K186" s="28" t="s">
        <v>1493</v>
      </c>
      <c r="L186" s="28">
        <v>4</v>
      </c>
      <c r="M186" s="28">
        <v>1</v>
      </c>
      <c r="N186" s="25">
        <f t="shared" si="2"/>
        <v>1.25</v>
      </c>
      <c r="O186" s="28" t="s">
        <v>1494</v>
      </c>
      <c r="P186" s="28" t="s">
        <v>631</v>
      </c>
      <c r="Q186" s="28" t="s">
        <v>1338</v>
      </c>
      <c r="R186" s="28" t="s">
        <v>1339</v>
      </c>
      <c r="S186" s="28" t="s">
        <v>1340</v>
      </c>
      <c r="T186" s="28" t="s">
        <v>1341</v>
      </c>
      <c r="U186" s="28" t="s">
        <v>1495</v>
      </c>
      <c r="V186" s="28"/>
    </row>
    <row r="187" spans="1:22" ht="34.5" customHeight="1" x14ac:dyDescent="0.25">
      <c r="A187" s="26">
        <v>19</v>
      </c>
      <c r="B187" s="27" t="s">
        <v>1282</v>
      </c>
      <c r="C187" s="28" t="s">
        <v>1283</v>
      </c>
      <c r="D187" s="28" t="s">
        <v>1121</v>
      </c>
      <c r="E187" s="28" t="s">
        <v>1488</v>
      </c>
      <c r="F187" s="28" t="s">
        <v>1496</v>
      </c>
      <c r="G187" s="28" t="s">
        <v>1497</v>
      </c>
      <c r="H187" s="28" t="s">
        <v>1498</v>
      </c>
      <c r="I187" s="28" t="s">
        <v>1499</v>
      </c>
      <c r="J187" s="28" t="s">
        <v>161</v>
      </c>
      <c r="K187" s="28" t="s">
        <v>1500</v>
      </c>
      <c r="L187" s="28">
        <v>5</v>
      </c>
      <c r="M187" s="28">
        <v>1.25</v>
      </c>
      <c r="N187" s="25">
        <f t="shared" si="2"/>
        <v>1.5</v>
      </c>
      <c r="O187" s="28" t="s">
        <v>1501</v>
      </c>
      <c r="P187" s="28" t="s">
        <v>670</v>
      </c>
      <c r="Q187" s="28" t="s">
        <v>484</v>
      </c>
      <c r="R187" s="28" t="s">
        <v>1026</v>
      </c>
      <c r="S187" s="28" t="s">
        <v>1290</v>
      </c>
      <c r="T187" s="28" t="s">
        <v>1355</v>
      </c>
      <c r="U187" s="28" t="s">
        <v>1502</v>
      </c>
      <c r="V187" s="28"/>
    </row>
    <row r="188" spans="1:22" ht="34.5" customHeight="1" x14ac:dyDescent="0.25">
      <c r="A188" s="26">
        <v>19</v>
      </c>
      <c r="B188" s="27" t="s">
        <v>1282</v>
      </c>
      <c r="C188" s="28" t="s">
        <v>1283</v>
      </c>
      <c r="D188" s="28" t="s">
        <v>1121</v>
      </c>
      <c r="E188" s="28" t="s">
        <v>1488</v>
      </c>
      <c r="F188" s="28" t="s">
        <v>1503</v>
      </c>
      <c r="G188" s="28" t="s">
        <v>1504</v>
      </c>
      <c r="H188" s="28" t="s">
        <v>1505</v>
      </c>
      <c r="I188" s="28" t="s">
        <v>1506</v>
      </c>
      <c r="J188" s="28" t="s">
        <v>161</v>
      </c>
      <c r="K188" s="28" t="s">
        <v>1507</v>
      </c>
      <c r="L188" s="28">
        <v>3</v>
      </c>
      <c r="M188" s="28">
        <v>0.75</v>
      </c>
      <c r="N188" s="25">
        <f t="shared" si="2"/>
        <v>1</v>
      </c>
      <c r="O188" s="28" t="s">
        <v>1508</v>
      </c>
      <c r="P188" s="28" t="s">
        <v>210</v>
      </c>
      <c r="Q188" s="28" t="s">
        <v>484</v>
      </c>
      <c r="R188" s="28" t="s">
        <v>1026</v>
      </c>
      <c r="S188" s="28" t="s">
        <v>1290</v>
      </c>
      <c r="T188" s="28" t="s">
        <v>1355</v>
      </c>
      <c r="U188" s="28" t="s">
        <v>1509</v>
      </c>
      <c r="V188" s="28"/>
    </row>
    <row r="189" spans="1:22" ht="34.5" customHeight="1" x14ac:dyDescent="0.25">
      <c r="A189" s="26">
        <v>19</v>
      </c>
      <c r="B189" s="27" t="s">
        <v>1282</v>
      </c>
      <c r="C189" s="28" t="s">
        <v>1283</v>
      </c>
      <c r="D189" s="28" t="s">
        <v>1121</v>
      </c>
      <c r="E189" s="28" t="s">
        <v>1488</v>
      </c>
      <c r="F189" s="28" t="s">
        <v>1510</v>
      </c>
      <c r="G189" s="28" t="s">
        <v>1511</v>
      </c>
      <c r="H189" s="28" t="s">
        <v>1512</v>
      </c>
      <c r="I189" s="28" t="s">
        <v>1513</v>
      </c>
      <c r="J189" s="28" t="s">
        <v>161</v>
      </c>
      <c r="K189" s="28" t="s">
        <v>1500</v>
      </c>
      <c r="L189" s="28">
        <v>4</v>
      </c>
      <c r="M189" s="28">
        <v>1</v>
      </c>
      <c r="N189" s="25">
        <f t="shared" si="2"/>
        <v>1.25</v>
      </c>
      <c r="O189" s="28" t="s">
        <v>1514</v>
      </c>
      <c r="P189" s="28" t="s">
        <v>670</v>
      </c>
      <c r="Q189" s="28" t="s">
        <v>419</v>
      </c>
      <c r="R189" s="28" t="s">
        <v>1391</v>
      </c>
      <c r="S189" s="28" t="s">
        <v>1392</v>
      </c>
      <c r="T189" s="28" t="s">
        <v>1393</v>
      </c>
      <c r="U189" s="28" t="s">
        <v>1515</v>
      </c>
      <c r="V189" s="28"/>
    </row>
    <row r="190" spans="1:22" ht="34.5" customHeight="1" x14ac:dyDescent="0.25">
      <c r="A190" s="26">
        <v>19</v>
      </c>
      <c r="B190" s="27" t="s">
        <v>1282</v>
      </c>
      <c r="C190" s="28" t="s">
        <v>1283</v>
      </c>
      <c r="D190" s="28" t="s">
        <v>1121</v>
      </c>
      <c r="E190" s="28" t="s">
        <v>1488</v>
      </c>
      <c r="F190" s="28" t="s">
        <v>1516</v>
      </c>
      <c r="G190" s="28" t="s">
        <v>1517</v>
      </c>
      <c r="H190" s="28" t="s">
        <v>1518</v>
      </c>
      <c r="I190" s="28" t="s">
        <v>1519</v>
      </c>
      <c r="J190" s="28" t="s">
        <v>161</v>
      </c>
      <c r="K190" s="28" t="s">
        <v>1500</v>
      </c>
      <c r="L190" s="28">
        <v>3</v>
      </c>
      <c r="M190" s="28">
        <v>0.75</v>
      </c>
      <c r="N190" s="25">
        <f t="shared" si="2"/>
        <v>1</v>
      </c>
      <c r="O190" s="28" t="s">
        <v>1520</v>
      </c>
      <c r="P190" s="28" t="s">
        <v>670</v>
      </c>
      <c r="Q190" s="28" t="s">
        <v>484</v>
      </c>
      <c r="R190" s="28" t="s">
        <v>1026</v>
      </c>
      <c r="S190" s="28" t="s">
        <v>1290</v>
      </c>
      <c r="T190" s="28" t="s">
        <v>1291</v>
      </c>
      <c r="U190" s="28" t="s">
        <v>1521</v>
      </c>
      <c r="V190" s="28"/>
    </row>
    <row r="191" spans="1:22" ht="34.5" customHeight="1" x14ac:dyDescent="0.25">
      <c r="A191" s="26">
        <v>20</v>
      </c>
      <c r="B191" s="27" t="s">
        <v>1522</v>
      </c>
      <c r="C191" s="28" t="s">
        <v>1523</v>
      </c>
      <c r="D191" s="28" t="s">
        <v>1524</v>
      </c>
      <c r="E191" s="28" t="s">
        <v>1525</v>
      </c>
      <c r="F191" s="28" t="s">
        <v>26</v>
      </c>
      <c r="G191" s="28" t="s">
        <v>1526</v>
      </c>
      <c r="H191" s="28" t="s">
        <v>1527</v>
      </c>
      <c r="I191" s="28" t="s">
        <v>1528</v>
      </c>
      <c r="J191" s="28" t="s">
        <v>30</v>
      </c>
      <c r="K191" s="28"/>
      <c r="L191" s="28">
        <v>3</v>
      </c>
      <c r="M191" s="28">
        <v>0.75</v>
      </c>
      <c r="N191" s="25">
        <f t="shared" si="2"/>
        <v>1</v>
      </c>
      <c r="O191" s="28" t="s">
        <v>1529</v>
      </c>
      <c r="P191" s="28" t="s">
        <v>737</v>
      </c>
      <c r="Q191" s="28" t="s">
        <v>1306</v>
      </c>
      <c r="R191" s="28" t="s">
        <v>1307</v>
      </c>
      <c r="S191" s="28" t="s">
        <v>1308</v>
      </c>
      <c r="T191" s="28" t="s">
        <v>1530</v>
      </c>
      <c r="U191" s="28" t="s">
        <v>1531</v>
      </c>
      <c r="V191" s="28"/>
    </row>
    <row r="192" spans="1:22" ht="34.5" customHeight="1" x14ac:dyDescent="0.25">
      <c r="A192" s="26">
        <v>20</v>
      </c>
      <c r="B192" s="27" t="s">
        <v>1522</v>
      </c>
      <c r="C192" s="28" t="s">
        <v>1523</v>
      </c>
      <c r="D192" s="28" t="s">
        <v>1524</v>
      </c>
      <c r="E192" s="28" t="s">
        <v>1319</v>
      </c>
      <c r="F192" s="28" t="s">
        <v>38</v>
      </c>
      <c r="G192" s="28" t="s">
        <v>1532</v>
      </c>
      <c r="H192" s="28" t="s">
        <v>1533</v>
      </c>
      <c r="I192" s="28" t="s">
        <v>1534</v>
      </c>
      <c r="J192" s="28" t="s">
        <v>30</v>
      </c>
      <c r="K192" s="28" t="s">
        <v>1346</v>
      </c>
      <c r="L192" s="28">
        <v>2</v>
      </c>
      <c r="M192" s="28">
        <v>0.75</v>
      </c>
      <c r="N192" s="25">
        <f t="shared" si="2"/>
        <v>1</v>
      </c>
      <c r="O192" s="28" t="s">
        <v>1535</v>
      </c>
      <c r="P192" s="28" t="s">
        <v>1536</v>
      </c>
      <c r="Q192" s="28" t="s">
        <v>1415</v>
      </c>
      <c r="R192" s="28" t="s">
        <v>1416</v>
      </c>
      <c r="S192" s="28" t="s">
        <v>1417</v>
      </c>
      <c r="T192" s="28" t="s">
        <v>1537</v>
      </c>
      <c r="U192" s="28" t="s">
        <v>1538</v>
      </c>
      <c r="V192" s="28"/>
    </row>
    <row r="193" spans="1:22" ht="34.5" customHeight="1" x14ac:dyDescent="0.25">
      <c r="A193" s="26">
        <v>20</v>
      </c>
      <c r="B193" s="27" t="s">
        <v>1522</v>
      </c>
      <c r="C193" s="28" t="s">
        <v>1523</v>
      </c>
      <c r="D193" s="28" t="s">
        <v>1524</v>
      </c>
      <c r="E193" s="28" t="s">
        <v>1539</v>
      </c>
      <c r="F193" s="28" t="s">
        <v>46</v>
      </c>
      <c r="G193" s="28" t="s">
        <v>1540</v>
      </c>
      <c r="H193" s="28" t="s">
        <v>1541</v>
      </c>
      <c r="I193" s="28" t="s">
        <v>1542</v>
      </c>
      <c r="J193" s="28" t="s">
        <v>30</v>
      </c>
      <c r="K193" s="28" t="s">
        <v>38</v>
      </c>
      <c r="L193" s="28">
        <v>2</v>
      </c>
      <c r="M193" s="28">
        <v>0.5</v>
      </c>
      <c r="N193" s="25">
        <f t="shared" si="2"/>
        <v>0.5</v>
      </c>
      <c r="O193" s="28" t="s">
        <v>1142</v>
      </c>
      <c r="P193" s="28" t="s">
        <v>1543</v>
      </c>
      <c r="Q193" s="28" t="s">
        <v>419</v>
      </c>
      <c r="R193" s="28" t="s">
        <v>1026</v>
      </c>
      <c r="S193" s="28" t="s">
        <v>1290</v>
      </c>
      <c r="T193" s="28" t="s">
        <v>1544</v>
      </c>
      <c r="U193" s="28" t="s">
        <v>1545</v>
      </c>
      <c r="V193" s="28"/>
    </row>
    <row r="194" spans="1:22" ht="34.5" customHeight="1" x14ac:dyDescent="0.25">
      <c r="A194" s="26">
        <v>20</v>
      </c>
      <c r="B194" s="27" t="s">
        <v>1522</v>
      </c>
      <c r="C194" s="28" t="s">
        <v>1523</v>
      </c>
      <c r="D194" s="28" t="s">
        <v>1524</v>
      </c>
      <c r="E194" s="28" t="s">
        <v>1546</v>
      </c>
      <c r="F194" s="28" t="s">
        <v>53</v>
      </c>
      <c r="G194" s="28" t="s">
        <v>1547</v>
      </c>
      <c r="H194" s="28" t="s">
        <v>1548</v>
      </c>
      <c r="I194" s="28" t="s">
        <v>1549</v>
      </c>
      <c r="J194" s="28" t="s">
        <v>30</v>
      </c>
      <c r="K194" s="28"/>
      <c r="L194" s="28">
        <v>3</v>
      </c>
      <c r="M194" s="28">
        <v>1</v>
      </c>
      <c r="N194" s="25">
        <f t="shared" ref="N194:N257" si="3">MAX(ROUND(M194*1.2/0.25,0)*0.25,0.25)</f>
        <v>1.25</v>
      </c>
      <c r="O194" s="28" t="s">
        <v>1550</v>
      </c>
      <c r="P194" s="28" t="s">
        <v>1551</v>
      </c>
      <c r="Q194" s="28" t="s">
        <v>484</v>
      </c>
      <c r="R194" s="28" t="s">
        <v>1552</v>
      </c>
      <c r="S194" s="28" t="s">
        <v>1553</v>
      </c>
      <c r="T194" s="28" t="s">
        <v>1554</v>
      </c>
      <c r="U194" s="28" t="s">
        <v>1555</v>
      </c>
      <c r="V194" s="28"/>
    </row>
    <row r="195" spans="1:22" ht="34.5" customHeight="1" x14ac:dyDescent="0.25">
      <c r="A195" s="26">
        <v>20</v>
      </c>
      <c r="B195" s="27" t="s">
        <v>1522</v>
      </c>
      <c r="C195" s="28" t="s">
        <v>1523</v>
      </c>
      <c r="D195" s="28" t="s">
        <v>1524</v>
      </c>
      <c r="E195" s="28" t="s">
        <v>1546</v>
      </c>
      <c r="F195" s="28" t="s">
        <v>64</v>
      </c>
      <c r="G195" s="28" t="s">
        <v>1556</v>
      </c>
      <c r="H195" s="28" t="s">
        <v>1557</v>
      </c>
      <c r="I195" s="28" t="s">
        <v>1558</v>
      </c>
      <c r="J195" s="28" t="s">
        <v>30</v>
      </c>
      <c r="K195" s="28" t="s">
        <v>1296</v>
      </c>
      <c r="L195" s="28">
        <v>4</v>
      </c>
      <c r="M195" s="28">
        <v>1</v>
      </c>
      <c r="N195" s="25">
        <f t="shared" si="3"/>
        <v>1.25</v>
      </c>
      <c r="O195" s="28" t="s">
        <v>1559</v>
      </c>
      <c r="P195" s="28" t="s">
        <v>1560</v>
      </c>
      <c r="Q195" s="28" t="s">
        <v>484</v>
      </c>
      <c r="R195" s="28" t="s">
        <v>1552</v>
      </c>
      <c r="S195" s="28" t="s">
        <v>1553</v>
      </c>
      <c r="T195" s="28" t="s">
        <v>1554</v>
      </c>
      <c r="U195" s="28" t="s">
        <v>1561</v>
      </c>
      <c r="V195" s="28"/>
    </row>
    <row r="196" spans="1:22" ht="34.5" customHeight="1" x14ac:dyDescent="0.25">
      <c r="A196" s="26">
        <v>20</v>
      </c>
      <c r="B196" s="27" t="s">
        <v>1522</v>
      </c>
      <c r="C196" s="28" t="s">
        <v>1523</v>
      </c>
      <c r="D196" s="28" t="s">
        <v>1524</v>
      </c>
      <c r="E196" s="28" t="s">
        <v>1546</v>
      </c>
      <c r="F196" s="28" t="s">
        <v>72</v>
      </c>
      <c r="G196" s="28" t="s">
        <v>1562</v>
      </c>
      <c r="H196" s="28" t="s">
        <v>1563</v>
      </c>
      <c r="I196" s="28" t="s">
        <v>1564</v>
      </c>
      <c r="J196" s="28" t="s">
        <v>30</v>
      </c>
      <c r="K196" s="28" t="s">
        <v>1366</v>
      </c>
      <c r="L196" s="28">
        <v>2</v>
      </c>
      <c r="M196" s="28">
        <v>0.5</v>
      </c>
      <c r="N196" s="25">
        <f t="shared" si="3"/>
        <v>0.5</v>
      </c>
      <c r="O196" s="28" t="s">
        <v>1565</v>
      </c>
      <c r="P196" s="28" t="s">
        <v>1560</v>
      </c>
      <c r="Q196" s="28" t="s">
        <v>484</v>
      </c>
      <c r="R196" s="28" t="s">
        <v>1552</v>
      </c>
      <c r="S196" s="28" t="s">
        <v>1553</v>
      </c>
      <c r="T196" s="28" t="s">
        <v>1554</v>
      </c>
      <c r="U196" s="28" t="s">
        <v>1566</v>
      </c>
      <c r="V196" s="28"/>
    </row>
    <row r="197" spans="1:22" ht="34.5" customHeight="1" x14ac:dyDescent="0.25">
      <c r="A197" s="26">
        <v>20</v>
      </c>
      <c r="B197" s="27" t="s">
        <v>1522</v>
      </c>
      <c r="C197" s="28" t="s">
        <v>1523</v>
      </c>
      <c r="D197" s="28" t="s">
        <v>1524</v>
      </c>
      <c r="E197" s="28" t="s">
        <v>1546</v>
      </c>
      <c r="F197" s="28" t="s">
        <v>80</v>
      </c>
      <c r="G197" s="28" t="s">
        <v>1567</v>
      </c>
      <c r="H197" s="28" t="s">
        <v>1568</v>
      </c>
      <c r="I197" s="28" t="s">
        <v>1569</v>
      </c>
      <c r="J197" s="28" t="s">
        <v>30</v>
      </c>
      <c r="K197" s="28" t="s">
        <v>1373</v>
      </c>
      <c r="L197" s="28">
        <v>3</v>
      </c>
      <c r="M197" s="28">
        <v>0.75</v>
      </c>
      <c r="N197" s="25">
        <f t="shared" si="3"/>
        <v>1</v>
      </c>
      <c r="O197" s="28" t="s">
        <v>1570</v>
      </c>
      <c r="P197" s="28" t="s">
        <v>1571</v>
      </c>
      <c r="Q197" s="28" t="s">
        <v>484</v>
      </c>
      <c r="R197" s="28" t="s">
        <v>1552</v>
      </c>
      <c r="S197" s="28" t="s">
        <v>1553</v>
      </c>
      <c r="T197" s="28" t="s">
        <v>1554</v>
      </c>
      <c r="U197" s="28" t="s">
        <v>1572</v>
      </c>
      <c r="V197" s="28" t="s">
        <v>1573</v>
      </c>
    </row>
    <row r="198" spans="1:22" ht="34.5" customHeight="1" x14ac:dyDescent="0.25">
      <c r="A198" s="26">
        <v>20</v>
      </c>
      <c r="B198" s="27" t="s">
        <v>1522</v>
      </c>
      <c r="C198" s="28" t="s">
        <v>1523</v>
      </c>
      <c r="D198" s="28" t="s">
        <v>1524</v>
      </c>
      <c r="E198" s="28" t="s">
        <v>1574</v>
      </c>
      <c r="F198" s="28" t="s">
        <v>88</v>
      </c>
      <c r="G198" s="28" t="s">
        <v>1575</v>
      </c>
      <c r="H198" s="28" t="s">
        <v>1576</v>
      </c>
      <c r="I198" s="28" t="s">
        <v>1577</v>
      </c>
      <c r="J198" s="28" t="s">
        <v>30</v>
      </c>
      <c r="K198" s="28"/>
      <c r="L198" s="28">
        <v>2</v>
      </c>
      <c r="M198" s="28">
        <v>0.5</v>
      </c>
      <c r="N198" s="25">
        <f t="shared" si="3"/>
        <v>0.5</v>
      </c>
      <c r="O198" s="28" t="s">
        <v>1578</v>
      </c>
      <c r="P198" s="28" t="s">
        <v>1579</v>
      </c>
      <c r="Q198" s="28" t="s">
        <v>484</v>
      </c>
      <c r="R198" s="28" t="s">
        <v>1026</v>
      </c>
      <c r="S198" s="28" t="s">
        <v>1553</v>
      </c>
      <c r="T198" s="28" t="s">
        <v>1580</v>
      </c>
      <c r="U198" s="28" t="s">
        <v>1581</v>
      </c>
      <c r="V198" s="28"/>
    </row>
    <row r="199" spans="1:22" ht="34.5" customHeight="1" x14ac:dyDescent="0.25">
      <c r="A199" s="26">
        <v>20</v>
      </c>
      <c r="B199" s="27" t="s">
        <v>1522</v>
      </c>
      <c r="C199" s="28" t="s">
        <v>1523</v>
      </c>
      <c r="D199" s="28" t="s">
        <v>1524</v>
      </c>
      <c r="E199" s="28" t="s">
        <v>1574</v>
      </c>
      <c r="F199" s="28" t="s">
        <v>95</v>
      </c>
      <c r="G199" s="28" t="s">
        <v>1582</v>
      </c>
      <c r="H199" s="28" t="s">
        <v>1583</v>
      </c>
      <c r="I199" s="28" t="s">
        <v>1584</v>
      </c>
      <c r="J199" s="28" t="s">
        <v>30</v>
      </c>
      <c r="K199" s="28" t="s">
        <v>1346</v>
      </c>
      <c r="L199" s="28">
        <v>2</v>
      </c>
      <c r="M199" s="28">
        <v>0.5</v>
      </c>
      <c r="N199" s="25">
        <f t="shared" si="3"/>
        <v>0.5</v>
      </c>
      <c r="O199" s="28" t="s">
        <v>1585</v>
      </c>
      <c r="P199" s="28" t="s">
        <v>1586</v>
      </c>
      <c r="Q199" s="28" t="s">
        <v>484</v>
      </c>
      <c r="R199" s="28" t="s">
        <v>1026</v>
      </c>
      <c r="S199" s="28" t="s">
        <v>1553</v>
      </c>
      <c r="T199" s="28" t="s">
        <v>1580</v>
      </c>
      <c r="U199" s="28" t="s">
        <v>1587</v>
      </c>
      <c r="V199" s="28"/>
    </row>
    <row r="200" spans="1:22" ht="34.5" customHeight="1" x14ac:dyDescent="0.25">
      <c r="A200" s="26">
        <v>20</v>
      </c>
      <c r="B200" s="27" t="s">
        <v>1522</v>
      </c>
      <c r="C200" s="28" t="s">
        <v>1523</v>
      </c>
      <c r="D200" s="28" t="s">
        <v>1524</v>
      </c>
      <c r="E200" s="28" t="s">
        <v>1588</v>
      </c>
      <c r="F200" s="28" t="s">
        <v>103</v>
      </c>
      <c r="G200" s="28" t="s">
        <v>1589</v>
      </c>
      <c r="H200" s="28" t="s">
        <v>1590</v>
      </c>
      <c r="I200" s="28" t="s">
        <v>1591</v>
      </c>
      <c r="J200" s="28" t="s">
        <v>30</v>
      </c>
      <c r="K200" s="28"/>
      <c r="L200" s="28">
        <v>3</v>
      </c>
      <c r="M200" s="28">
        <v>0.75</v>
      </c>
      <c r="N200" s="25">
        <f t="shared" si="3"/>
        <v>1</v>
      </c>
      <c r="O200" s="28" t="s">
        <v>1592</v>
      </c>
      <c r="P200" s="28" t="s">
        <v>737</v>
      </c>
      <c r="Q200" s="28" t="s">
        <v>419</v>
      </c>
      <c r="R200" s="28" t="s">
        <v>1026</v>
      </c>
      <c r="S200" s="28" t="s">
        <v>1324</v>
      </c>
      <c r="T200" s="28" t="s">
        <v>1593</v>
      </c>
      <c r="U200" s="28" t="s">
        <v>1594</v>
      </c>
      <c r="V200" s="28"/>
    </row>
    <row r="201" spans="1:22" ht="34.5" customHeight="1" x14ac:dyDescent="0.25">
      <c r="A201" s="26">
        <v>20</v>
      </c>
      <c r="B201" s="27" t="s">
        <v>1522</v>
      </c>
      <c r="C201" s="28" t="s">
        <v>1523</v>
      </c>
      <c r="D201" s="28" t="s">
        <v>1524</v>
      </c>
      <c r="E201" s="28" t="s">
        <v>1595</v>
      </c>
      <c r="F201" s="28" t="s">
        <v>112</v>
      </c>
      <c r="G201" s="28" t="s">
        <v>1596</v>
      </c>
      <c r="H201" s="28" t="s">
        <v>1597</v>
      </c>
      <c r="I201" s="28" t="s">
        <v>1598</v>
      </c>
      <c r="J201" s="28" t="s">
        <v>116</v>
      </c>
      <c r="K201" s="28"/>
      <c r="L201" s="28">
        <v>3</v>
      </c>
      <c r="M201" s="28">
        <v>0.75</v>
      </c>
      <c r="N201" s="25">
        <f t="shared" si="3"/>
        <v>1</v>
      </c>
      <c r="O201" s="28" t="s">
        <v>1599</v>
      </c>
      <c r="P201" s="28" t="s">
        <v>273</v>
      </c>
      <c r="Q201" s="28" t="s">
        <v>1306</v>
      </c>
      <c r="R201" s="28" t="s">
        <v>1307</v>
      </c>
      <c r="S201" s="28" t="s">
        <v>1324</v>
      </c>
      <c r="T201" s="28" t="s">
        <v>1600</v>
      </c>
      <c r="U201" s="28" t="s">
        <v>1601</v>
      </c>
      <c r="V201" s="28"/>
    </row>
    <row r="202" spans="1:22" ht="34.5" customHeight="1" x14ac:dyDescent="0.25">
      <c r="A202" s="26">
        <v>20</v>
      </c>
      <c r="B202" s="27" t="s">
        <v>1522</v>
      </c>
      <c r="C202" s="28" t="s">
        <v>1523</v>
      </c>
      <c r="D202" s="28" t="s">
        <v>1524</v>
      </c>
      <c r="E202" s="28" t="s">
        <v>1602</v>
      </c>
      <c r="F202" s="28" t="s">
        <v>120</v>
      </c>
      <c r="G202" s="28" t="s">
        <v>1603</v>
      </c>
      <c r="H202" s="28" t="s">
        <v>1604</v>
      </c>
      <c r="I202" s="28" t="s">
        <v>1605</v>
      </c>
      <c r="J202" s="28" t="s">
        <v>116</v>
      </c>
      <c r="K202" s="28" t="s">
        <v>1606</v>
      </c>
      <c r="L202" s="28">
        <v>4</v>
      </c>
      <c r="M202" s="28">
        <v>1.5</v>
      </c>
      <c r="N202" s="25">
        <f t="shared" si="3"/>
        <v>1.75</v>
      </c>
      <c r="O202" s="28" t="s">
        <v>1436</v>
      </c>
      <c r="P202" s="28" t="s">
        <v>775</v>
      </c>
      <c r="Q202" s="28" t="s">
        <v>484</v>
      </c>
      <c r="R202" s="28" t="s">
        <v>1552</v>
      </c>
      <c r="S202" s="28" t="s">
        <v>1553</v>
      </c>
      <c r="T202" s="28" t="s">
        <v>1607</v>
      </c>
      <c r="U202" s="28" t="s">
        <v>1608</v>
      </c>
      <c r="V202" s="28"/>
    </row>
    <row r="203" spans="1:22" ht="34.5" customHeight="1" x14ac:dyDescent="0.25">
      <c r="A203" s="26">
        <v>20</v>
      </c>
      <c r="B203" s="27" t="s">
        <v>1522</v>
      </c>
      <c r="C203" s="28" t="s">
        <v>1523</v>
      </c>
      <c r="D203" s="28" t="s">
        <v>1524</v>
      </c>
      <c r="E203" s="28" t="s">
        <v>1609</v>
      </c>
      <c r="F203" s="28" t="s">
        <v>127</v>
      </c>
      <c r="G203" s="28" t="s">
        <v>1610</v>
      </c>
      <c r="H203" s="28" t="s">
        <v>1611</v>
      </c>
      <c r="I203" s="28" t="s">
        <v>1612</v>
      </c>
      <c r="J203" s="28" t="s">
        <v>116</v>
      </c>
      <c r="K203" s="28" t="s">
        <v>1613</v>
      </c>
      <c r="L203" s="28">
        <v>1</v>
      </c>
      <c r="M203" s="28">
        <v>0.5</v>
      </c>
      <c r="N203" s="25">
        <f t="shared" si="3"/>
        <v>0.5</v>
      </c>
      <c r="O203" s="28" t="s">
        <v>774</v>
      </c>
      <c r="P203" s="28" t="s">
        <v>280</v>
      </c>
      <c r="Q203" s="28" t="s">
        <v>419</v>
      </c>
      <c r="R203" s="28" t="s">
        <v>1026</v>
      </c>
      <c r="S203" s="28" t="s">
        <v>1417</v>
      </c>
      <c r="T203" s="28" t="s">
        <v>1614</v>
      </c>
      <c r="U203" s="28"/>
      <c r="V203" s="28"/>
    </row>
    <row r="204" spans="1:22" ht="34.5" customHeight="1" x14ac:dyDescent="0.25">
      <c r="A204" s="26">
        <v>20</v>
      </c>
      <c r="B204" s="27" t="s">
        <v>1522</v>
      </c>
      <c r="C204" s="28" t="s">
        <v>1523</v>
      </c>
      <c r="D204" s="28" t="s">
        <v>1524</v>
      </c>
      <c r="E204" s="28" t="s">
        <v>1615</v>
      </c>
      <c r="F204" s="28" t="s">
        <v>134</v>
      </c>
      <c r="G204" s="28" t="s">
        <v>1616</v>
      </c>
      <c r="H204" s="28" t="s">
        <v>1617</v>
      </c>
      <c r="I204" s="28" t="s">
        <v>1618</v>
      </c>
      <c r="J204" s="28" t="s">
        <v>116</v>
      </c>
      <c r="K204" s="28" t="s">
        <v>1613</v>
      </c>
      <c r="L204" s="28">
        <v>1</v>
      </c>
      <c r="M204" s="28">
        <v>0.5</v>
      </c>
      <c r="N204" s="25">
        <f t="shared" si="3"/>
        <v>0.5</v>
      </c>
      <c r="O204" s="28" t="s">
        <v>774</v>
      </c>
      <c r="P204" s="28" t="s">
        <v>280</v>
      </c>
      <c r="Q204" s="28" t="s">
        <v>419</v>
      </c>
      <c r="R204" s="28" t="s">
        <v>1026</v>
      </c>
      <c r="S204" s="28" t="s">
        <v>1417</v>
      </c>
      <c r="T204" s="28" t="s">
        <v>1614</v>
      </c>
      <c r="U204" s="28"/>
      <c r="V204" s="28"/>
    </row>
    <row r="205" spans="1:22" ht="34.5" customHeight="1" x14ac:dyDescent="0.25">
      <c r="A205" s="26">
        <v>20</v>
      </c>
      <c r="B205" s="27" t="s">
        <v>1522</v>
      </c>
      <c r="C205" s="28" t="s">
        <v>1523</v>
      </c>
      <c r="D205" s="28" t="s">
        <v>1524</v>
      </c>
      <c r="E205" s="28" t="s">
        <v>1619</v>
      </c>
      <c r="F205" s="28" t="s">
        <v>142</v>
      </c>
      <c r="G205" s="28" t="s">
        <v>1620</v>
      </c>
      <c r="H205" s="28" t="s">
        <v>1621</v>
      </c>
      <c r="I205" s="28" t="s">
        <v>1622</v>
      </c>
      <c r="J205" s="28" t="s">
        <v>116</v>
      </c>
      <c r="K205" s="28" t="s">
        <v>1613</v>
      </c>
      <c r="L205" s="28">
        <v>1</v>
      </c>
      <c r="M205" s="28">
        <v>0.5</v>
      </c>
      <c r="N205" s="25">
        <f t="shared" si="3"/>
        <v>0.5</v>
      </c>
      <c r="O205" s="28" t="s">
        <v>774</v>
      </c>
      <c r="P205" s="28" t="s">
        <v>280</v>
      </c>
      <c r="Q205" s="28" t="s">
        <v>419</v>
      </c>
      <c r="R205" s="28" t="s">
        <v>1026</v>
      </c>
      <c r="S205" s="28" t="s">
        <v>1417</v>
      </c>
      <c r="T205" s="28" t="s">
        <v>1614</v>
      </c>
      <c r="U205" s="28"/>
      <c r="V205" s="28"/>
    </row>
    <row r="206" spans="1:22" ht="34.5" customHeight="1" x14ac:dyDescent="0.25">
      <c r="A206" s="26">
        <v>20</v>
      </c>
      <c r="B206" s="27" t="s">
        <v>1522</v>
      </c>
      <c r="C206" s="28" t="s">
        <v>1523</v>
      </c>
      <c r="D206" s="28" t="s">
        <v>1524</v>
      </c>
      <c r="E206" s="28" t="s">
        <v>1623</v>
      </c>
      <c r="F206" s="28" t="s">
        <v>150</v>
      </c>
      <c r="G206" s="28" t="s">
        <v>1624</v>
      </c>
      <c r="H206" s="28" t="s">
        <v>1625</v>
      </c>
      <c r="I206" s="28" t="s">
        <v>1626</v>
      </c>
      <c r="J206" s="28" t="s">
        <v>116</v>
      </c>
      <c r="K206" s="28" t="s">
        <v>1613</v>
      </c>
      <c r="L206" s="28">
        <v>1</v>
      </c>
      <c r="M206" s="28">
        <v>0.5</v>
      </c>
      <c r="N206" s="25">
        <f t="shared" si="3"/>
        <v>0.5</v>
      </c>
      <c r="O206" s="28" t="s">
        <v>774</v>
      </c>
      <c r="P206" s="28" t="s">
        <v>280</v>
      </c>
      <c r="Q206" s="28" t="s">
        <v>419</v>
      </c>
      <c r="R206" s="28" t="s">
        <v>1026</v>
      </c>
      <c r="S206" s="28" t="s">
        <v>1417</v>
      </c>
      <c r="T206" s="28" t="s">
        <v>1614</v>
      </c>
      <c r="U206" s="28"/>
      <c r="V206" s="28"/>
    </row>
    <row r="207" spans="1:22" ht="34.5" customHeight="1" x14ac:dyDescent="0.25">
      <c r="A207" s="26">
        <v>20</v>
      </c>
      <c r="B207" s="27" t="s">
        <v>1522</v>
      </c>
      <c r="C207" s="28" t="s">
        <v>1523</v>
      </c>
      <c r="D207" s="28" t="s">
        <v>1524</v>
      </c>
      <c r="E207" s="28" t="s">
        <v>1319</v>
      </c>
      <c r="F207" s="28" t="s">
        <v>478</v>
      </c>
      <c r="G207" s="28" t="s">
        <v>1627</v>
      </c>
      <c r="H207" s="28" t="s">
        <v>1628</v>
      </c>
      <c r="I207" s="28" t="s">
        <v>1629</v>
      </c>
      <c r="J207" s="28" t="s">
        <v>116</v>
      </c>
      <c r="K207" s="28" t="s">
        <v>1346</v>
      </c>
      <c r="L207" s="28">
        <v>1</v>
      </c>
      <c r="M207" s="28">
        <v>0.5</v>
      </c>
      <c r="N207" s="25">
        <f t="shared" si="3"/>
        <v>0.5</v>
      </c>
      <c r="O207" s="28" t="s">
        <v>774</v>
      </c>
      <c r="P207" s="28" t="s">
        <v>280</v>
      </c>
      <c r="Q207" s="28" t="s">
        <v>419</v>
      </c>
      <c r="R207" s="28" t="s">
        <v>1026</v>
      </c>
      <c r="S207" s="28" t="s">
        <v>1417</v>
      </c>
      <c r="T207" s="28" t="s">
        <v>1614</v>
      </c>
      <c r="U207" s="28"/>
      <c r="V207" s="28"/>
    </row>
    <row r="208" spans="1:22" ht="34.5" customHeight="1" x14ac:dyDescent="0.25">
      <c r="A208" s="26">
        <v>20</v>
      </c>
      <c r="B208" s="27" t="s">
        <v>1522</v>
      </c>
      <c r="C208" s="28" t="s">
        <v>1523</v>
      </c>
      <c r="D208" s="28" t="s">
        <v>1524</v>
      </c>
      <c r="E208" s="28" t="s">
        <v>1444</v>
      </c>
      <c r="F208" s="28" t="s">
        <v>487</v>
      </c>
      <c r="G208" s="28" t="s">
        <v>1630</v>
      </c>
      <c r="H208" s="28" t="s">
        <v>1631</v>
      </c>
      <c r="I208" s="28" t="s">
        <v>1632</v>
      </c>
      <c r="J208" s="28" t="s">
        <v>116</v>
      </c>
      <c r="K208" s="28" t="s">
        <v>1613</v>
      </c>
      <c r="L208" s="28">
        <v>1</v>
      </c>
      <c r="M208" s="28">
        <v>0.5</v>
      </c>
      <c r="N208" s="25">
        <f t="shared" si="3"/>
        <v>0.5</v>
      </c>
      <c r="O208" s="28" t="s">
        <v>774</v>
      </c>
      <c r="P208" s="28" t="s">
        <v>280</v>
      </c>
      <c r="Q208" s="28" t="s">
        <v>419</v>
      </c>
      <c r="R208" s="28" t="s">
        <v>1026</v>
      </c>
      <c r="S208" s="28" t="s">
        <v>1417</v>
      </c>
      <c r="T208" s="28" t="s">
        <v>1614</v>
      </c>
      <c r="U208" s="28"/>
      <c r="V208" s="28"/>
    </row>
    <row r="209" spans="1:22" ht="34.5" customHeight="1" x14ac:dyDescent="0.25">
      <c r="A209" s="26">
        <v>20</v>
      </c>
      <c r="B209" s="27" t="s">
        <v>1522</v>
      </c>
      <c r="C209" s="28" t="s">
        <v>1523</v>
      </c>
      <c r="D209" s="28" t="s">
        <v>1524</v>
      </c>
      <c r="E209" s="28" t="s">
        <v>1633</v>
      </c>
      <c r="F209" s="28" t="s">
        <v>497</v>
      </c>
      <c r="G209" s="28" t="s">
        <v>1634</v>
      </c>
      <c r="H209" s="28" t="s">
        <v>1635</v>
      </c>
      <c r="I209" s="28" t="s">
        <v>1636</v>
      </c>
      <c r="J209" s="28" t="s">
        <v>116</v>
      </c>
      <c r="K209" s="28" t="s">
        <v>1637</v>
      </c>
      <c r="L209" s="28">
        <v>1</v>
      </c>
      <c r="M209" s="28">
        <v>0.5</v>
      </c>
      <c r="N209" s="25">
        <f t="shared" si="3"/>
        <v>0.5</v>
      </c>
      <c r="O209" s="28" t="s">
        <v>774</v>
      </c>
      <c r="P209" s="28" t="s">
        <v>280</v>
      </c>
      <c r="Q209" s="28" t="s">
        <v>419</v>
      </c>
      <c r="R209" s="28" t="s">
        <v>1026</v>
      </c>
      <c r="S209" s="28" t="s">
        <v>1417</v>
      </c>
      <c r="T209" s="28" t="s">
        <v>1614</v>
      </c>
      <c r="U209" s="28"/>
      <c r="V209" s="28"/>
    </row>
    <row r="210" spans="1:22" ht="34.5" customHeight="1" x14ac:dyDescent="0.25">
      <c r="A210" s="26">
        <v>20</v>
      </c>
      <c r="B210" s="27" t="s">
        <v>1522</v>
      </c>
      <c r="C210" s="28" t="s">
        <v>1523</v>
      </c>
      <c r="D210" s="28" t="s">
        <v>1524</v>
      </c>
      <c r="E210" s="28" t="s">
        <v>1638</v>
      </c>
      <c r="F210" s="28" t="s">
        <v>1466</v>
      </c>
      <c r="G210" s="28" t="s">
        <v>1639</v>
      </c>
      <c r="H210" s="28" t="s">
        <v>1640</v>
      </c>
      <c r="I210" s="28" t="s">
        <v>1641</v>
      </c>
      <c r="J210" s="28" t="s">
        <v>116</v>
      </c>
      <c r="K210" s="28" t="s">
        <v>1637</v>
      </c>
      <c r="L210" s="28">
        <v>1</v>
      </c>
      <c r="M210" s="28">
        <v>0.5</v>
      </c>
      <c r="N210" s="25">
        <f t="shared" si="3"/>
        <v>0.5</v>
      </c>
      <c r="O210" s="28" t="s">
        <v>774</v>
      </c>
      <c r="P210" s="28" t="s">
        <v>280</v>
      </c>
      <c r="Q210" s="28" t="s">
        <v>419</v>
      </c>
      <c r="R210" s="28" t="s">
        <v>1026</v>
      </c>
      <c r="S210" s="28" t="s">
        <v>1417</v>
      </c>
      <c r="T210" s="28" t="s">
        <v>1614</v>
      </c>
      <c r="U210" s="28"/>
      <c r="V210" s="28"/>
    </row>
    <row r="211" spans="1:22" ht="34.5" customHeight="1" x14ac:dyDescent="0.25">
      <c r="A211" s="26">
        <v>20</v>
      </c>
      <c r="B211" s="27" t="s">
        <v>1522</v>
      </c>
      <c r="C211" s="28" t="s">
        <v>1523</v>
      </c>
      <c r="D211" s="28" t="s">
        <v>1524</v>
      </c>
      <c r="E211" s="28" t="s">
        <v>1642</v>
      </c>
      <c r="F211" s="28" t="s">
        <v>1643</v>
      </c>
      <c r="G211" s="28" t="s">
        <v>1644</v>
      </c>
      <c r="H211" s="28" t="s">
        <v>1645</v>
      </c>
      <c r="I211" s="28" t="s">
        <v>1646</v>
      </c>
      <c r="J211" s="28" t="s">
        <v>116</v>
      </c>
      <c r="K211" s="28" t="s">
        <v>1613</v>
      </c>
      <c r="L211" s="28">
        <v>1</v>
      </c>
      <c r="M211" s="28">
        <v>0.5</v>
      </c>
      <c r="N211" s="25">
        <f t="shared" si="3"/>
        <v>0.5</v>
      </c>
      <c r="O211" s="28" t="s">
        <v>774</v>
      </c>
      <c r="P211" s="28" t="s">
        <v>280</v>
      </c>
      <c r="Q211" s="28" t="s">
        <v>419</v>
      </c>
      <c r="R211" s="28" t="s">
        <v>1026</v>
      </c>
      <c r="S211" s="28" t="s">
        <v>1417</v>
      </c>
      <c r="T211" s="28" t="s">
        <v>1614</v>
      </c>
      <c r="U211" s="28"/>
      <c r="V211" s="28"/>
    </row>
    <row r="212" spans="1:22" ht="34.5" customHeight="1" x14ac:dyDescent="0.25">
      <c r="A212" s="26">
        <v>20</v>
      </c>
      <c r="B212" s="27" t="s">
        <v>1522</v>
      </c>
      <c r="C212" s="28" t="s">
        <v>1523</v>
      </c>
      <c r="D212" s="28" t="s">
        <v>1524</v>
      </c>
      <c r="E212" s="28" t="s">
        <v>1647</v>
      </c>
      <c r="F212" s="28" t="s">
        <v>1648</v>
      </c>
      <c r="G212" s="28" t="s">
        <v>1649</v>
      </c>
      <c r="H212" s="28" t="s">
        <v>1650</v>
      </c>
      <c r="I212" s="28" t="s">
        <v>1651</v>
      </c>
      <c r="J212" s="28" t="s">
        <v>116</v>
      </c>
      <c r="K212" s="28" t="s">
        <v>1652</v>
      </c>
      <c r="L212" s="28">
        <v>1</v>
      </c>
      <c r="M212" s="28">
        <v>0.5</v>
      </c>
      <c r="N212" s="25">
        <f t="shared" si="3"/>
        <v>0.5</v>
      </c>
      <c r="O212" s="28" t="s">
        <v>774</v>
      </c>
      <c r="P212" s="28" t="s">
        <v>280</v>
      </c>
      <c r="Q212" s="28" t="s">
        <v>419</v>
      </c>
      <c r="R212" s="28" t="s">
        <v>1026</v>
      </c>
      <c r="S212" s="28" t="s">
        <v>1417</v>
      </c>
      <c r="T212" s="28" t="s">
        <v>1614</v>
      </c>
      <c r="U212" s="28"/>
      <c r="V212" s="28"/>
    </row>
    <row r="213" spans="1:22" ht="34.5" customHeight="1" x14ac:dyDescent="0.25">
      <c r="A213" s="26">
        <v>20</v>
      </c>
      <c r="B213" s="27" t="s">
        <v>1522</v>
      </c>
      <c r="C213" s="28" t="s">
        <v>1523</v>
      </c>
      <c r="D213" s="28" t="s">
        <v>1524</v>
      </c>
      <c r="E213" s="28" t="s">
        <v>1653</v>
      </c>
      <c r="F213" s="28" t="s">
        <v>1654</v>
      </c>
      <c r="G213" s="28" t="s">
        <v>1655</v>
      </c>
      <c r="H213" s="28" t="s">
        <v>1656</v>
      </c>
      <c r="I213" s="28" t="s">
        <v>1657</v>
      </c>
      <c r="J213" s="28" t="s">
        <v>116</v>
      </c>
      <c r="K213" s="28"/>
      <c r="L213" s="28">
        <v>2</v>
      </c>
      <c r="M213" s="28">
        <v>0.5</v>
      </c>
      <c r="N213" s="25">
        <f t="shared" si="3"/>
        <v>0.5</v>
      </c>
      <c r="O213" s="28" t="s">
        <v>1658</v>
      </c>
      <c r="P213" s="28" t="s">
        <v>280</v>
      </c>
      <c r="Q213" s="28" t="s">
        <v>419</v>
      </c>
      <c r="R213" s="28" t="s">
        <v>1026</v>
      </c>
      <c r="S213" s="28" t="s">
        <v>1290</v>
      </c>
      <c r="T213" s="28" t="s">
        <v>1659</v>
      </c>
      <c r="U213" s="28" t="s">
        <v>1660</v>
      </c>
      <c r="V213" s="28"/>
    </row>
    <row r="214" spans="1:22" ht="34.5" customHeight="1" x14ac:dyDescent="0.25">
      <c r="A214" s="26">
        <v>20</v>
      </c>
      <c r="B214" s="27" t="s">
        <v>1522</v>
      </c>
      <c r="C214" s="28" t="s">
        <v>1523</v>
      </c>
      <c r="D214" s="28" t="s">
        <v>1524</v>
      </c>
      <c r="E214" s="28" t="s">
        <v>1588</v>
      </c>
      <c r="F214" s="28" t="s">
        <v>1661</v>
      </c>
      <c r="G214" s="28" t="s">
        <v>1662</v>
      </c>
      <c r="H214" s="28" t="s">
        <v>1663</v>
      </c>
      <c r="I214" s="28" t="s">
        <v>1664</v>
      </c>
      <c r="J214" s="28" t="s">
        <v>116</v>
      </c>
      <c r="K214" s="28"/>
      <c r="L214" s="28">
        <v>3</v>
      </c>
      <c r="M214" s="28">
        <v>0.75</v>
      </c>
      <c r="N214" s="25">
        <f t="shared" si="3"/>
        <v>1</v>
      </c>
      <c r="O214" s="28" t="s">
        <v>1665</v>
      </c>
      <c r="P214" s="28" t="s">
        <v>396</v>
      </c>
      <c r="Q214" s="28" t="s">
        <v>419</v>
      </c>
      <c r="R214" s="28" t="s">
        <v>1026</v>
      </c>
      <c r="S214" s="28" t="s">
        <v>1324</v>
      </c>
      <c r="T214" s="28" t="s">
        <v>1593</v>
      </c>
      <c r="U214" s="28" t="s">
        <v>1666</v>
      </c>
      <c r="V214" s="28"/>
    </row>
    <row r="215" spans="1:22" ht="34.5" customHeight="1" x14ac:dyDescent="0.25">
      <c r="A215" s="26">
        <v>20</v>
      </c>
      <c r="B215" s="27" t="s">
        <v>1522</v>
      </c>
      <c r="C215" s="28" t="s">
        <v>1523</v>
      </c>
      <c r="D215" s="28" t="s">
        <v>1524</v>
      </c>
      <c r="E215" s="28" t="s">
        <v>1667</v>
      </c>
      <c r="F215" s="28" t="s">
        <v>157</v>
      </c>
      <c r="G215" s="28" t="s">
        <v>1668</v>
      </c>
      <c r="H215" s="28" t="s">
        <v>1669</v>
      </c>
      <c r="I215" s="28" t="s">
        <v>1670</v>
      </c>
      <c r="J215" s="28" t="s">
        <v>161</v>
      </c>
      <c r="K215" s="28" t="s">
        <v>1671</v>
      </c>
      <c r="L215" s="28">
        <v>3</v>
      </c>
      <c r="M215" s="28">
        <v>0.75</v>
      </c>
      <c r="N215" s="25">
        <f t="shared" si="3"/>
        <v>1</v>
      </c>
      <c r="O215" s="28" t="s">
        <v>1672</v>
      </c>
      <c r="P215" s="28" t="s">
        <v>1673</v>
      </c>
      <c r="Q215" s="28" t="s">
        <v>429</v>
      </c>
      <c r="R215" s="28" t="s">
        <v>1307</v>
      </c>
      <c r="S215" s="28" t="s">
        <v>1324</v>
      </c>
      <c r="T215" s="28" t="s">
        <v>1674</v>
      </c>
      <c r="U215" s="28" t="s">
        <v>1675</v>
      </c>
      <c r="V215" s="28"/>
    </row>
    <row r="216" spans="1:22" ht="34.5" customHeight="1" x14ac:dyDescent="0.25">
      <c r="A216" s="26">
        <v>20</v>
      </c>
      <c r="B216" s="27" t="s">
        <v>1522</v>
      </c>
      <c r="C216" s="28" t="s">
        <v>1523</v>
      </c>
      <c r="D216" s="28" t="s">
        <v>1524</v>
      </c>
      <c r="E216" s="28" t="s">
        <v>1676</v>
      </c>
      <c r="F216" s="28" t="s">
        <v>166</v>
      </c>
      <c r="G216" s="28" t="s">
        <v>1677</v>
      </c>
      <c r="H216" s="28" t="s">
        <v>1678</v>
      </c>
      <c r="I216" s="28" t="s">
        <v>1679</v>
      </c>
      <c r="J216" s="28" t="s">
        <v>161</v>
      </c>
      <c r="K216" s="28" t="s">
        <v>1680</v>
      </c>
      <c r="L216" s="28">
        <v>3</v>
      </c>
      <c r="M216" s="28">
        <v>1</v>
      </c>
      <c r="N216" s="25">
        <f t="shared" si="3"/>
        <v>1.25</v>
      </c>
      <c r="O216" s="28" t="s">
        <v>1142</v>
      </c>
      <c r="P216" s="28" t="s">
        <v>1485</v>
      </c>
      <c r="Q216" s="28" t="s">
        <v>484</v>
      </c>
      <c r="R216" s="28" t="s">
        <v>1552</v>
      </c>
      <c r="S216" s="28" t="s">
        <v>1553</v>
      </c>
      <c r="T216" s="28" t="s">
        <v>1681</v>
      </c>
      <c r="U216" s="28" t="s">
        <v>1682</v>
      </c>
      <c r="V216" s="28"/>
    </row>
    <row r="217" spans="1:22" ht="34.5" customHeight="1" x14ac:dyDescent="0.25">
      <c r="A217" s="26">
        <v>20</v>
      </c>
      <c r="B217" s="27" t="s">
        <v>1522</v>
      </c>
      <c r="C217" s="28" t="s">
        <v>1523</v>
      </c>
      <c r="D217" s="28" t="s">
        <v>1524</v>
      </c>
      <c r="E217" s="28" t="s">
        <v>1653</v>
      </c>
      <c r="F217" s="28" t="s">
        <v>1489</v>
      </c>
      <c r="G217" s="28" t="s">
        <v>1683</v>
      </c>
      <c r="H217" s="28" t="s">
        <v>1684</v>
      </c>
      <c r="I217" s="28" t="s">
        <v>1685</v>
      </c>
      <c r="J217" s="28" t="s">
        <v>161</v>
      </c>
      <c r="K217" s="28" t="s">
        <v>1686</v>
      </c>
      <c r="L217" s="28">
        <v>3</v>
      </c>
      <c r="M217" s="28">
        <v>0.75</v>
      </c>
      <c r="N217" s="25">
        <f t="shared" si="3"/>
        <v>1</v>
      </c>
      <c r="O217" s="28" t="s">
        <v>1687</v>
      </c>
      <c r="P217" s="28" t="s">
        <v>1673</v>
      </c>
      <c r="Q217" s="28" t="s">
        <v>419</v>
      </c>
      <c r="R217" s="28" t="s">
        <v>1026</v>
      </c>
      <c r="S217" s="28" t="s">
        <v>1290</v>
      </c>
      <c r="T217" s="28" t="s">
        <v>1659</v>
      </c>
      <c r="U217" s="28" t="s">
        <v>1688</v>
      </c>
      <c r="V217" s="28"/>
    </row>
    <row r="218" spans="1:22" ht="34.5" customHeight="1" x14ac:dyDescent="0.25">
      <c r="A218" s="26">
        <v>20</v>
      </c>
      <c r="B218" s="27" t="s">
        <v>1522</v>
      </c>
      <c r="C218" s="28" t="s">
        <v>1523</v>
      </c>
      <c r="D218" s="28" t="s">
        <v>1524</v>
      </c>
      <c r="E218" s="28" t="s">
        <v>1546</v>
      </c>
      <c r="F218" s="28" t="s">
        <v>1496</v>
      </c>
      <c r="G218" s="28" t="s">
        <v>1689</v>
      </c>
      <c r="H218" s="28" t="s">
        <v>1690</v>
      </c>
      <c r="I218" s="28" t="s">
        <v>1691</v>
      </c>
      <c r="J218" s="28" t="s">
        <v>161</v>
      </c>
      <c r="K218" s="28" t="s">
        <v>1476</v>
      </c>
      <c r="L218" s="28">
        <v>3</v>
      </c>
      <c r="M218" s="28">
        <v>1</v>
      </c>
      <c r="N218" s="25">
        <f t="shared" si="3"/>
        <v>1.25</v>
      </c>
      <c r="O218" s="28" t="s">
        <v>1692</v>
      </c>
      <c r="P218" s="28" t="s">
        <v>1693</v>
      </c>
      <c r="Q218" s="28" t="s">
        <v>484</v>
      </c>
      <c r="R218" s="28" t="s">
        <v>1552</v>
      </c>
      <c r="S218" s="28" t="s">
        <v>1553</v>
      </c>
      <c r="T218" s="28" t="s">
        <v>1554</v>
      </c>
      <c r="U218" s="28" t="s">
        <v>1694</v>
      </c>
      <c r="V218" s="28"/>
    </row>
    <row r="219" spans="1:22" ht="34.5" customHeight="1" x14ac:dyDescent="0.25">
      <c r="A219" s="26">
        <v>20</v>
      </c>
      <c r="B219" s="27" t="s">
        <v>1522</v>
      </c>
      <c r="C219" s="28" t="s">
        <v>1523</v>
      </c>
      <c r="D219" s="28" t="s">
        <v>1524</v>
      </c>
      <c r="E219" s="28" t="s">
        <v>1546</v>
      </c>
      <c r="F219" s="28" t="s">
        <v>1503</v>
      </c>
      <c r="G219" s="28" t="s">
        <v>1695</v>
      </c>
      <c r="H219" s="28" t="s">
        <v>1696</v>
      </c>
      <c r="I219" s="28" t="s">
        <v>1697</v>
      </c>
      <c r="J219" s="28" t="s">
        <v>161</v>
      </c>
      <c r="K219" s="28" t="s">
        <v>1507</v>
      </c>
      <c r="L219" s="28">
        <v>5</v>
      </c>
      <c r="M219" s="28">
        <v>1.25</v>
      </c>
      <c r="N219" s="25">
        <f t="shared" si="3"/>
        <v>1.5</v>
      </c>
      <c r="O219" s="28" t="s">
        <v>1698</v>
      </c>
      <c r="P219" s="28" t="s">
        <v>210</v>
      </c>
      <c r="Q219" s="28" t="s">
        <v>484</v>
      </c>
      <c r="R219" s="28" t="s">
        <v>1552</v>
      </c>
      <c r="S219" s="28" t="s">
        <v>1553</v>
      </c>
      <c r="T219" s="28" t="s">
        <v>1554</v>
      </c>
      <c r="U219" s="28" t="s">
        <v>1699</v>
      </c>
      <c r="V219" s="28"/>
    </row>
    <row r="220" spans="1:22" ht="34.5" customHeight="1" x14ac:dyDescent="0.25">
      <c r="A220" s="26">
        <v>20</v>
      </c>
      <c r="B220" s="27" t="s">
        <v>1522</v>
      </c>
      <c r="C220" s="28" t="s">
        <v>1523</v>
      </c>
      <c r="D220" s="28" t="s">
        <v>1524</v>
      </c>
      <c r="E220" s="28" t="s">
        <v>1574</v>
      </c>
      <c r="F220" s="28" t="s">
        <v>1510</v>
      </c>
      <c r="G220" s="28" t="s">
        <v>1700</v>
      </c>
      <c r="H220" s="28" t="s">
        <v>1701</v>
      </c>
      <c r="I220" s="28" t="s">
        <v>1702</v>
      </c>
      <c r="J220" s="28" t="s">
        <v>161</v>
      </c>
      <c r="K220" s="28" t="s">
        <v>1671</v>
      </c>
      <c r="L220" s="28">
        <v>3</v>
      </c>
      <c r="M220" s="28">
        <v>0.75</v>
      </c>
      <c r="N220" s="25">
        <f t="shared" si="3"/>
        <v>1</v>
      </c>
      <c r="O220" s="28" t="s">
        <v>1703</v>
      </c>
      <c r="P220" s="28" t="s">
        <v>670</v>
      </c>
      <c r="Q220" s="28" t="s">
        <v>484</v>
      </c>
      <c r="R220" s="28" t="s">
        <v>1026</v>
      </c>
      <c r="S220" s="28" t="s">
        <v>1553</v>
      </c>
      <c r="T220" s="28" t="s">
        <v>1580</v>
      </c>
      <c r="U220" s="28" t="s">
        <v>1704</v>
      </c>
      <c r="V220" s="28"/>
    </row>
    <row r="221" spans="1:22" ht="34.5" customHeight="1" x14ac:dyDescent="0.25">
      <c r="A221" s="26">
        <v>20</v>
      </c>
      <c r="B221" s="27" t="s">
        <v>1522</v>
      </c>
      <c r="C221" s="28" t="s">
        <v>1523</v>
      </c>
      <c r="D221" s="28" t="s">
        <v>1524</v>
      </c>
      <c r="E221" s="28" t="s">
        <v>1588</v>
      </c>
      <c r="F221" s="28" t="s">
        <v>1516</v>
      </c>
      <c r="G221" s="28" t="s">
        <v>1705</v>
      </c>
      <c r="H221" s="28" t="s">
        <v>1706</v>
      </c>
      <c r="I221" s="28" t="s">
        <v>1707</v>
      </c>
      <c r="J221" s="28" t="s">
        <v>161</v>
      </c>
      <c r="K221" s="28" t="s">
        <v>1708</v>
      </c>
      <c r="L221" s="28">
        <v>4</v>
      </c>
      <c r="M221" s="28">
        <v>1</v>
      </c>
      <c r="N221" s="25">
        <f t="shared" si="3"/>
        <v>1.25</v>
      </c>
      <c r="O221" s="28" t="s">
        <v>1709</v>
      </c>
      <c r="P221" s="28" t="s">
        <v>1673</v>
      </c>
      <c r="Q221" s="28" t="s">
        <v>419</v>
      </c>
      <c r="R221" s="28" t="s">
        <v>1026</v>
      </c>
      <c r="S221" s="28" t="s">
        <v>1324</v>
      </c>
      <c r="T221" s="28" t="s">
        <v>1593</v>
      </c>
      <c r="U221" s="28" t="s">
        <v>1710</v>
      </c>
      <c r="V221" s="28"/>
    </row>
    <row r="222" spans="1:22" ht="34.5" customHeight="1" x14ac:dyDescent="0.25">
      <c r="A222" s="26">
        <v>21</v>
      </c>
      <c r="B222" s="27" t="s">
        <v>1711</v>
      </c>
      <c r="C222" s="28" t="s">
        <v>1712</v>
      </c>
      <c r="D222" s="28" t="s">
        <v>1713</v>
      </c>
      <c r="E222" s="28" t="s">
        <v>1714</v>
      </c>
      <c r="F222" s="28" t="s">
        <v>26</v>
      </c>
      <c r="G222" s="28" t="s">
        <v>1715</v>
      </c>
      <c r="H222" s="28" t="s">
        <v>1716</v>
      </c>
      <c r="I222" s="28" t="s">
        <v>1717</v>
      </c>
      <c r="J222" s="28" t="s">
        <v>30</v>
      </c>
      <c r="K222" s="28"/>
      <c r="L222" s="28">
        <v>5</v>
      </c>
      <c r="M222" s="28">
        <v>1.25</v>
      </c>
      <c r="N222" s="25">
        <f t="shared" si="3"/>
        <v>1.5</v>
      </c>
      <c r="O222" s="28" t="s">
        <v>1718</v>
      </c>
      <c r="P222" s="28" t="s">
        <v>1719</v>
      </c>
      <c r="Q222" s="28" t="s">
        <v>484</v>
      </c>
      <c r="R222" s="28" t="s">
        <v>1026</v>
      </c>
      <c r="S222" s="28" t="s">
        <v>1290</v>
      </c>
      <c r="T222" s="28" t="s">
        <v>1720</v>
      </c>
      <c r="U222" s="28" t="s">
        <v>1721</v>
      </c>
      <c r="V222" s="28"/>
    </row>
    <row r="223" spans="1:22" ht="34.5" customHeight="1" x14ac:dyDescent="0.25">
      <c r="A223" s="26">
        <v>21</v>
      </c>
      <c r="B223" s="27" t="s">
        <v>1722</v>
      </c>
      <c r="C223" s="28" t="s">
        <v>1712</v>
      </c>
      <c r="D223" s="28" t="s">
        <v>1713</v>
      </c>
      <c r="E223" s="28" t="s">
        <v>1714</v>
      </c>
      <c r="F223" s="28" t="s">
        <v>38</v>
      </c>
      <c r="G223" s="28" t="s">
        <v>1723</v>
      </c>
      <c r="H223" s="28" t="s">
        <v>1724</v>
      </c>
      <c r="I223" s="28" t="s">
        <v>1725</v>
      </c>
      <c r="J223" s="28" t="s">
        <v>30</v>
      </c>
      <c r="K223" s="28" t="s">
        <v>1726</v>
      </c>
      <c r="L223" s="28">
        <v>3</v>
      </c>
      <c r="M223" s="28">
        <v>0.75</v>
      </c>
      <c r="N223" s="25">
        <f t="shared" si="3"/>
        <v>1</v>
      </c>
      <c r="O223" s="28" t="s">
        <v>1727</v>
      </c>
      <c r="P223" s="28" t="s">
        <v>1728</v>
      </c>
      <c r="Q223" s="28" t="s">
        <v>484</v>
      </c>
      <c r="R223" s="28" t="s">
        <v>1026</v>
      </c>
      <c r="S223" s="28" t="s">
        <v>1290</v>
      </c>
      <c r="T223" s="28" t="s">
        <v>1720</v>
      </c>
      <c r="U223" s="28" t="s">
        <v>1729</v>
      </c>
      <c r="V223" s="28"/>
    </row>
    <row r="224" spans="1:22" ht="34.5" customHeight="1" x14ac:dyDescent="0.25">
      <c r="A224" s="26">
        <v>21</v>
      </c>
      <c r="B224" s="27" t="s">
        <v>1722</v>
      </c>
      <c r="C224" s="28" t="s">
        <v>1712</v>
      </c>
      <c r="D224" s="28" t="s">
        <v>1713</v>
      </c>
      <c r="E224" s="28" t="s">
        <v>1730</v>
      </c>
      <c r="F224" s="28" t="s">
        <v>46</v>
      </c>
      <c r="G224" s="28" t="s">
        <v>1731</v>
      </c>
      <c r="H224" s="28" t="s">
        <v>1732</v>
      </c>
      <c r="I224" s="28" t="s">
        <v>1733</v>
      </c>
      <c r="J224" s="28" t="s">
        <v>30</v>
      </c>
      <c r="K224" s="28"/>
      <c r="L224" s="28">
        <v>3</v>
      </c>
      <c r="M224" s="28">
        <v>0.75</v>
      </c>
      <c r="N224" s="25">
        <f t="shared" si="3"/>
        <v>1</v>
      </c>
      <c r="O224" s="28" t="s">
        <v>1734</v>
      </c>
      <c r="P224" s="28" t="s">
        <v>1735</v>
      </c>
      <c r="Q224" s="28" t="s">
        <v>429</v>
      </c>
      <c r="R224" s="28" t="s">
        <v>1026</v>
      </c>
      <c r="S224" s="28" t="s">
        <v>1247</v>
      </c>
      <c r="T224" s="28" t="s">
        <v>1736</v>
      </c>
      <c r="U224" s="28" t="s">
        <v>1737</v>
      </c>
      <c r="V224" s="28"/>
    </row>
    <row r="225" spans="1:22" ht="34.5" customHeight="1" x14ac:dyDescent="0.25">
      <c r="A225" s="26">
        <v>21</v>
      </c>
      <c r="B225" s="27" t="s">
        <v>1722</v>
      </c>
      <c r="C225" s="28" t="s">
        <v>1712</v>
      </c>
      <c r="D225" s="28" t="s">
        <v>1713</v>
      </c>
      <c r="E225" s="28" t="s">
        <v>1730</v>
      </c>
      <c r="F225" s="28" t="s">
        <v>53</v>
      </c>
      <c r="G225" s="28" t="s">
        <v>1738</v>
      </c>
      <c r="H225" s="28" t="s">
        <v>1739</v>
      </c>
      <c r="I225" s="28" t="s">
        <v>1740</v>
      </c>
      <c r="J225" s="28" t="s">
        <v>30</v>
      </c>
      <c r="K225" s="28" t="s">
        <v>1741</v>
      </c>
      <c r="L225" s="28">
        <v>2</v>
      </c>
      <c r="M225" s="28">
        <v>0.5</v>
      </c>
      <c r="N225" s="25">
        <f t="shared" si="3"/>
        <v>0.5</v>
      </c>
      <c r="O225" s="28" t="s">
        <v>1578</v>
      </c>
      <c r="P225" s="28" t="s">
        <v>1742</v>
      </c>
      <c r="Q225" s="28" t="s">
        <v>429</v>
      </c>
      <c r="R225" s="28" t="s">
        <v>1026</v>
      </c>
      <c r="S225" s="28" t="s">
        <v>1247</v>
      </c>
      <c r="T225" s="28" t="s">
        <v>1736</v>
      </c>
      <c r="U225" s="28" t="s">
        <v>1743</v>
      </c>
      <c r="V225" s="28"/>
    </row>
    <row r="226" spans="1:22" ht="34.5" customHeight="1" x14ac:dyDescent="0.25">
      <c r="A226" s="26">
        <v>21</v>
      </c>
      <c r="B226" s="27" t="s">
        <v>1722</v>
      </c>
      <c r="C226" s="28" t="s">
        <v>1712</v>
      </c>
      <c r="D226" s="28" t="s">
        <v>1713</v>
      </c>
      <c r="E226" s="28" t="s">
        <v>1730</v>
      </c>
      <c r="F226" s="28" t="s">
        <v>112</v>
      </c>
      <c r="G226" s="28" t="s">
        <v>1744</v>
      </c>
      <c r="H226" s="28" t="s">
        <v>1745</v>
      </c>
      <c r="I226" s="28" t="s">
        <v>1746</v>
      </c>
      <c r="J226" s="28" t="s">
        <v>116</v>
      </c>
      <c r="K226" s="28"/>
      <c r="L226" s="28">
        <v>3</v>
      </c>
      <c r="M226" s="28">
        <v>0.75</v>
      </c>
      <c r="N226" s="25">
        <f t="shared" si="3"/>
        <v>1</v>
      </c>
      <c r="O226" s="28" t="s">
        <v>1747</v>
      </c>
      <c r="P226" s="28" t="s">
        <v>273</v>
      </c>
      <c r="Q226" s="28" t="s">
        <v>429</v>
      </c>
      <c r="R226" s="28" t="s">
        <v>1026</v>
      </c>
      <c r="S226" s="28" t="s">
        <v>1247</v>
      </c>
      <c r="T226" s="28" t="s">
        <v>1736</v>
      </c>
      <c r="U226" s="28" t="s">
        <v>1748</v>
      </c>
      <c r="V226" s="28"/>
    </row>
    <row r="227" spans="1:22" ht="34.5" customHeight="1" x14ac:dyDescent="0.25">
      <c r="A227" s="26">
        <v>21</v>
      </c>
      <c r="B227" s="27" t="s">
        <v>1722</v>
      </c>
      <c r="C227" s="28" t="s">
        <v>1712</v>
      </c>
      <c r="D227" s="28" t="s">
        <v>1713</v>
      </c>
      <c r="E227" s="28" t="s">
        <v>1749</v>
      </c>
      <c r="F227" s="28" t="s">
        <v>157</v>
      </c>
      <c r="G227" s="28" t="s">
        <v>1750</v>
      </c>
      <c r="H227" s="28" t="s">
        <v>1751</v>
      </c>
      <c r="I227" s="28" t="s">
        <v>1752</v>
      </c>
      <c r="J227" s="28" t="s">
        <v>161</v>
      </c>
      <c r="K227" s="28" t="s">
        <v>1753</v>
      </c>
      <c r="L227" s="28">
        <v>5</v>
      </c>
      <c r="M227" s="28">
        <v>1.25</v>
      </c>
      <c r="N227" s="25">
        <f t="shared" si="3"/>
        <v>1.5</v>
      </c>
      <c r="O227" s="28" t="s">
        <v>1754</v>
      </c>
      <c r="P227" s="28" t="s">
        <v>1755</v>
      </c>
      <c r="Q227" s="28" t="s">
        <v>484</v>
      </c>
      <c r="R227" s="28" t="s">
        <v>1026</v>
      </c>
      <c r="S227" s="28" t="s">
        <v>1290</v>
      </c>
      <c r="T227" s="28" t="s">
        <v>1720</v>
      </c>
      <c r="U227" s="28" t="s">
        <v>1756</v>
      </c>
      <c r="V227" s="28"/>
    </row>
    <row r="228" spans="1:22" ht="34.5" customHeight="1" x14ac:dyDescent="0.25">
      <c r="A228" s="26">
        <v>22</v>
      </c>
      <c r="B228" s="27" t="s">
        <v>1757</v>
      </c>
      <c r="C228" s="28" t="s">
        <v>1758</v>
      </c>
      <c r="D228" s="28" t="s">
        <v>1757</v>
      </c>
      <c r="E228" s="28" t="s">
        <v>1759</v>
      </c>
      <c r="F228" s="28" t="s">
        <v>26</v>
      </c>
      <c r="G228" s="28" t="s">
        <v>1760</v>
      </c>
      <c r="H228" s="28" t="s">
        <v>1761</v>
      </c>
      <c r="I228" s="28" t="s">
        <v>1762</v>
      </c>
      <c r="J228" s="28" t="s">
        <v>30</v>
      </c>
      <c r="K228" s="28" t="s">
        <v>1142</v>
      </c>
      <c r="L228" s="28">
        <v>3</v>
      </c>
      <c r="M228" s="28">
        <v>1</v>
      </c>
      <c r="N228" s="25">
        <f t="shared" si="3"/>
        <v>1.25</v>
      </c>
      <c r="O228" s="28" t="s">
        <v>1763</v>
      </c>
      <c r="P228" s="28" t="s">
        <v>1763</v>
      </c>
      <c r="Q228" s="28" t="s">
        <v>419</v>
      </c>
      <c r="R228" s="28" t="s">
        <v>1026</v>
      </c>
      <c r="S228" s="28" t="s">
        <v>1764</v>
      </c>
      <c r="T228" s="28" t="s">
        <v>1765</v>
      </c>
      <c r="U228" s="28" t="s">
        <v>1766</v>
      </c>
      <c r="V228" s="28" t="s">
        <v>1767</v>
      </c>
    </row>
    <row r="229" spans="1:22" ht="34.5" customHeight="1" x14ac:dyDescent="0.25">
      <c r="A229" s="26">
        <v>22</v>
      </c>
      <c r="B229" s="27" t="s">
        <v>1757</v>
      </c>
      <c r="C229" s="28" t="s">
        <v>1758</v>
      </c>
      <c r="D229" s="28" t="s">
        <v>1757</v>
      </c>
      <c r="E229" s="28" t="s">
        <v>1768</v>
      </c>
      <c r="F229" s="28" t="s">
        <v>38</v>
      </c>
      <c r="G229" s="28" t="s">
        <v>1769</v>
      </c>
      <c r="H229" s="28" t="s">
        <v>1770</v>
      </c>
      <c r="I229" s="28" t="s">
        <v>1771</v>
      </c>
      <c r="J229" s="28" t="s">
        <v>30</v>
      </c>
      <c r="K229" s="28" t="s">
        <v>1772</v>
      </c>
      <c r="L229" s="28">
        <v>4</v>
      </c>
      <c r="M229" s="28">
        <v>1.5</v>
      </c>
      <c r="N229" s="25">
        <f t="shared" si="3"/>
        <v>1.75</v>
      </c>
      <c r="O229" s="28" t="s">
        <v>1773</v>
      </c>
      <c r="P229" s="28" t="s">
        <v>1773</v>
      </c>
      <c r="Q229" s="28" t="s">
        <v>419</v>
      </c>
      <c r="R229" s="28" t="s">
        <v>1774</v>
      </c>
      <c r="S229" s="28" t="s">
        <v>1775</v>
      </c>
      <c r="T229" s="28" t="s">
        <v>1776</v>
      </c>
      <c r="U229" s="28" t="s">
        <v>1777</v>
      </c>
      <c r="V229" s="28" t="s">
        <v>1778</v>
      </c>
    </row>
    <row r="230" spans="1:22" ht="34.5" customHeight="1" x14ac:dyDescent="0.25">
      <c r="A230" s="26">
        <v>22</v>
      </c>
      <c r="B230" s="27" t="s">
        <v>1757</v>
      </c>
      <c r="C230" s="28" t="s">
        <v>1758</v>
      </c>
      <c r="D230" s="28" t="s">
        <v>1757</v>
      </c>
      <c r="E230" s="28" t="s">
        <v>1779</v>
      </c>
      <c r="F230" s="28" t="s">
        <v>46</v>
      </c>
      <c r="G230" s="28" t="s">
        <v>1780</v>
      </c>
      <c r="H230" s="28" t="s">
        <v>1781</v>
      </c>
      <c r="I230" s="28" t="s">
        <v>1782</v>
      </c>
      <c r="J230" s="28" t="s">
        <v>30</v>
      </c>
      <c r="K230" s="28" t="s">
        <v>1783</v>
      </c>
      <c r="L230" s="28">
        <v>5</v>
      </c>
      <c r="M230" s="28">
        <v>2</v>
      </c>
      <c r="N230" s="25">
        <f t="shared" si="3"/>
        <v>2.5</v>
      </c>
      <c r="O230" s="28" t="s">
        <v>1784</v>
      </c>
      <c r="P230" s="28" t="s">
        <v>1784</v>
      </c>
      <c r="Q230" s="28" t="s">
        <v>419</v>
      </c>
      <c r="R230" s="28" t="s">
        <v>1026</v>
      </c>
      <c r="S230" s="28" t="s">
        <v>1785</v>
      </c>
      <c r="T230" s="28" t="s">
        <v>1786</v>
      </c>
      <c r="U230" s="28" t="s">
        <v>1787</v>
      </c>
      <c r="V230" s="28" t="s">
        <v>1788</v>
      </c>
    </row>
    <row r="231" spans="1:22" ht="34.5" customHeight="1" x14ac:dyDescent="0.25">
      <c r="A231" s="26">
        <v>22</v>
      </c>
      <c r="B231" s="27" t="s">
        <v>1757</v>
      </c>
      <c r="C231" s="28" t="s">
        <v>1758</v>
      </c>
      <c r="D231" s="28" t="s">
        <v>1757</v>
      </c>
      <c r="E231" s="28" t="s">
        <v>1789</v>
      </c>
      <c r="F231" s="28" t="s">
        <v>53</v>
      </c>
      <c r="G231" s="28" t="s">
        <v>1790</v>
      </c>
      <c r="H231" s="28" t="s">
        <v>1791</v>
      </c>
      <c r="I231" s="28" t="s">
        <v>1792</v>
      </c>
      <c r="J231" s="28" t="s">
        <v>30</v>
      </c>
      <c r="K231" s="28" t="s">
        <v>1793</v>
      </c>
      <c r="L231" s="28">
        <v>5</v>
      </c>
      <c r="M231" s="28">
        <v>2</v>
      </c>
      <c r="N231" s="25">
        <f t="shared" si="3"/>
        <v>2.5</v>
      </c>
      <c r="O231" s="28" t="s">
        <v>1784</v>
      </c>
      <c r="P231" s="28" t="s">
        <v>1784</v>
      </c>
      <c r="Q231" s="28" t="s">
        <v>419</v>
      </c>
      <c r="R231" s="28" t="s">
        <v>1026</v>
      </c>
      <c r="S231" s="28" t="s">
        <v>1785</v>
      </c>
      <c r="T231" s="28" t="s">
        <v>1794</v>
      </c>
      <c r="U231" s="28" t="s">
        <v>1795</v>
      </c>
      <c r="V231" s="28" t="s">
        <v>1796</v>
      </c>
    </row>
    <row r="232" spans="1:22" ht="34.5" customHeight="1" x14ac:dyDescent="0.25">
      <c r="A232" s="26">
        <v>22</v>
      </c>
      <c r="B232" s="27" t="s">
        <v>1757</v>
      </c>
      <c r="C232" s="28" t="s">
        <v>1758</v>
      </c>
      <c r="D232" s="28" t="s">
        <v>1757</v>
      </c>
      <c r="E232" s="28" t="s">
        <v>1797</v>
      </c>
      <c r="F232" s="28" t="s">
        <v>64</v>
      </c>
      <c r="G232" s="28" t="s">
        <v>1798</v>
      </c>
      <c r="H232" s="28" t="s">
        <v>1799</v>
      </c>
      <c r="I232" s="28" t="s">
        <v>1800</v>
      </c>
      <c r="J232" s="28" t="s">
        <v>30</v>
      </c>
      <c r="K232" s="28" t="s">
        <v>1801</v>
      </c>
      <c r="L232" s="28">
        <v>4</v>
      </c>
      <c r="M232" s="28">
        <v>1.5</v>
      </c>
      <c r="N232" s="25">
        <f t="shared" si="3"/>
        <v>1.75</v>
      </c>
      <c r="O232" s="28" t="s">
        <v>1802</v>
      </c>
      <c r="P232" s="28" t="s">
        <v>1802</v>
      </c>
      <c r="Q232" s="28" t="s">
        <v>484</v>
      </c>
      <c r="R232" s="28" t="s">
        <v>1026</v>
      </c>
      <c r="S232" s="28" t="s">
        <v>1803</v>
      </c>
      <c r="T232" s="28" t="s">
        <v>1804</v>
      </c>
      <c r="U232" s="28" t="s">
        <v>1805</v>
      </c>
      <c r="V232" s="28" t="s">
        <v>1806</v>
      </c>
    </row>
    <row r="233" spans="1:22" ht="34.5" customHeight="1" x14ac:dyDescent="0.25">
      <c r="A233" s="26">
        <v>22</v>
      </c>
      <c r="B233" s="27" t="s">
        <v>1757</v>
      </c>
      <c r="C233" s="28" t="s">
        <v>1758</v>
      </c>
      <c r="D233" s="28" t="s">
        <v>1757</v>
      </c>
      <c r="E233" s="28" t="s">
        <v>1807</v>
      </c>
      <c r="F233" s="28" t="s">
        <v>72</v>
      </c>
      <c r="G233" s="28" t="s">
        <v>1808</v>
      </c>
      <c r="H233" s="28" t="s">
        <v>1809</v>
      </c>
      <c r="I233" s="28" t="s">
        <v>1810</v>
      </c>
      <c r="J233" s="28" t="s">
        <v>30</v>
      </c>
      <c r="K233" s="28" t="s">
        <v>1811</v>
      </c>
      <c r="L233" s="28">
        <v>6</v>
      </c>
      <c r="M233" s="28">
        <v>2</v>
      </c>
      <c r="N233" s="25">
        <f t="shared" si="3"/>
        <v>2.5</v>
      </c>
      <c r="O233" s="28" t="s">
        <v>1812</v>
      </c>
      <c r="P233" s="28" t="s">
        <v>1812</v>
      </c>
      <c r="Q233" s="28" t="s">
        <v>1813</v>
      </c>
      <c r="R233" s="28" t="s">
        <v>1026</v>
      </c>
      <c r="S233" s="28" t="s">
        <v>1814</v>
      </c>
      <c r="T233" s="28" t="s">
        <v>1815</v>
      </c>
      <c r="U233" s="28" t="s">
        <v>1816</v>
      </c>
      <c r="V233" s="28" t="s">
        <v>1817</v>
      </c>
    </row>
    <row r="234" spans="1:22" ht="34.5" customHeight="1" x14ac:dyDescent="0.25">
      <c r="A234" s="26">
        <v>22</v>
      </c>
      <c r="B234" s="27" t="s">
        <v>1757</v>
      </c>
      <c r="C234" s="28" t="s">
        <v>1758</v>
      </c>
      <c r="D234" s="28" t="s">
        <v>1757</v>
      </c>
      <c r="E234" s="28" t="s">
        <v>1818</v>
      </c>
      <c r="F234" s="28" t="s">
        <v>80</v>
      </c>
      <c r="G234" s="28" t="s">
        <v>1819</v>
      </c>
      <c r="H234" s="28" t="s">
        <v>1820</v>
      </c>
      <c r="I234" s="28" t="s">
        <v>1821</v>
      </c>
      <c r="J234" s="28" t="s">
        <v>30</v>
      </c>
      <c r="K234" s="28" t="s">
        <v>1822</v>
      </c>
      <c r="L234" s="28">
        <v>5</v>
      </c>
      <c r="M234" s="28">
        <v>2</v>
      </c>
      <c r="N234" s="25">
        <f t="shared" si="3"/>
        <v>2.5</v>
      </c>
      <c r="O234" s="28" t="s">
        <v>1823</v>
      </c>
      <c r="P234" s="28" t="s">
        <v>1823</v>
      </c>
      <c r="Q234" s="28" t="s">
        <v>1813</v>
      </c>
      <c r="R234" s="28" t="s">
        <v>1026</v>
      </c>
      <c r="S234" s="28" t="s">
        <v>1803</v>
      </c>
      <c r="T234" s="28" t="s">
        <v>1824</v>
      </c>
      <c r="U234" s="28" t="s">
        <v>1825</v>
      </c>
      <c r="V234" s="28" t="s">
        <v>1826</v>
      </c>
    </row>
    <row r="235" spans="1:22" ht="34.5" customHeight="1" x14ac:dyDescent="0.25">
      <c r="A235" s="26">
        <v>22</v>
      </c>
      <c r="B235" s="27" t="s">
        <v>1757</v>
      </c>
      <c r="C235" s="28" t="s">
        <v>1758</v>
      </c>
      <c r="D235" s="28" t="s">
        <v>1757</v>
      </c>
      <c r="E235" s="28" t="s">
        <v>1827</v>
      </c>
      <c r="F235" s="28" t="s">
        <v>112</v>
      </c>
      <c r="G235" s="28" t="s">
        <v>1828</v>
      </c>
      <c r="H235" s="28" t="s">
        <v>1829</v>
      </c>
      <c r="I235" s="28" t="s">
        <v>1830</v>
      </c>
      <c r="J235" s="28" t="s">
        <v>116</v>
      </c>
      <c r="K235" s="28" t="s">
        <v>26</v>
      </c>
      <c r="L235" s="28">
        <v>4</v>
      </c>
      <c r="M235" s="28">
        <v>1.5</v>
      </c>
      <c r="N235" s="25">
        <f t="shared" si="3"/>
        <v>1.75</v>
      </c>
      <c r="O235" s="28" t="s">
        <v>1831</v>
      </c>
      <c r="P235" s="28" t="s">
        <v>1831</v>
      </c>
      <c r="Q235" s="28" t="s">
        <v>1832</v>
      </c>
      <c r="R235" s="28" t="s">
        <v>1833</v>
      </c>
      <c r="S235" s="28" t="s">
        <v>1833</v>
      </c>
      <c r="T235" s="28" t="s">
        <v>1833</v>
      </c>
      <c r="U235" s="28" t="s">
        <v>1833</v>
      </c>
      <c r="V235" s="28" t="s">
        <v>1834</v>
      </c>
    </row>
    <row r="236" spans="1:22" ht="34.5" customHeight="1" x14ac:dyDescent="0.25">
      <c r="A236" s="26">
        <v>22</v>
      </c>
      <c r="B236" s="27" t="s">
        <v>1757</v>
      </c>
      <c r="C236" s="28" t="s">
        <v>1758</v>
      </c>
      <c r="D236" s="28" t="s">
        <v>1757</v>
      </c>
      <c r="E236" s="28" t="s">
        <v>1835</v>
      </c>
      <c r="F236" s="28" t="s">
        <v>120</v>
      </c>
      <c r="G236" s="28" t="s">
        <v>1836</v>
      </c>
      <c r="H236" s="28" t="s">
        <v>1837</v>
      </c>
      <c r="I236" s="28" t="s">
        <v>1838</v>
      </c>
      <c r="J236" s="28" t="s">
        <v>116</v>
      </c>
      <c r="K236" s="28" t="s">
        <v>26</v>
      </c>
      <c r="L236" s="28">
        <v>1</v>
      </c>
      <c r="M236" s="28">
        <v>0.5</v>
      </c>
      <c r="N236" s="25">
        <f t="shared" si="3"/>
        <v>0.5</v>
      </c>
      <c r="O236" s="28" t="s">
        <v>1831</v>
      </c>
      <c r="P236" s="28" t="s">
        <v>1831</v>
      </c>
      <c r="Q236" s="28" t="s">
        <v>1832</v>
      </c>
      <c r="R236" s="28" t="s">
        <v>1833</v>
      </c>
      <c r="S236" s="28" t="s">
        <v>1833</v>
      </c>
      <c r="T236" s="28" t="s">
        <v>1833</v>
      </c>
      <c r="U236" s="28" t="s">
        <v>1833</v>
      </c>
      <c r="V236" s="28" t="s">
        <v>1839</v>
      </c>
    </row>
    <row r="237" spans="1:22" ht="34.5" customHeight="1" x14ac:dyDescent="0.25">
      <c r="A237" s="26">
        <v>22</v>
      </c>
      <c r="B237" s="27" t="s">
        <v>1757</v>
      </c>
      <c r="C237" s="28" t="s">
        <v>1758</v>
      </c>
      <c r="D237" s="28" t="s">
        <v>1757</v>
      </c>
      <c r="E237" s="28" t="s">
        <v>1840</v>
      </c>
      <c r="F237" s="28" t="s">
        <v>127</v>
      </c>
      <c r="G237" s="28" t="s">
        <v>1841</v>
      </c>
      <c r="H237" s="28" t="s">
        <v>1842</v>
      </c>
      <c r="I237" s="28" t="s">
        <v>1843</v>
      </c>
      <c r="J237" s="28" t="s">
        <v>116</v>
      </c>
      <c r="K237" s="28" t="s">
        <v>26</v>
      </c>
      <c r="L237" s="28">
        <v>1</v>
      </c>
      <c r="M237" s="28">
        <v>0.5</v>
      </c>
      <c r="N237" s="25">
        <f t="shared" si="3"/>
        <v>0.5</v>
      </c>
      <c r="O237" s="28" t="s">
        <v>1831</v>
      </c>
      <c r="P237" s="28" t="s">
        <v>1831</v>
      </c>
      <c r="Q237" s="28" t="s">
        <v>1832</v>
      </c>
      <c r="R237" s="28" t="s">
        <v>1833</v>
      </c>
      <c r="S237" s="28" t="s">
        <v>1833</v>
      </c>
      <c r="T237" s="28" t="s">
        <v>1833</v>
      </c>
      <c r="U237" s="28" t="s">
        <v>1833</v>
      </c>
      <c r="V237" s="28" t="s">
        <v>1844</v>
      </c>
    </row>
    <row r="238" spans="1:22" ht="34.5" customHeight="1" x14ac:dyDescent="0.25">
      <c r="A238" s="26">
        <v>22</v>
      </c>
      <c r="B238" s="27" t="s">
        <v>1757</v>
      </c>
      <c r="C238" s="28" t="s">
        <v>1758</v>
      </c>
      <c r="D238" s="28" t="s">
        <v>1757</v>
      </c>
      <c r="E238" s="28" t="s">
        <v>1845</v>
      </c>
      <c r="F238" s="28" t="s">
        <v>134</v>
      </c>
      <c r="G238" s="28" t="s">
        <v>1846</v>
      </c>
      <c r="H238" s="28" t="s">
        <v>1847</v>
      </c>
      <c r="I238" s="28" t="s">
        <v>1848</v>
      </c>
      <c r="J238" s="28" t="s">
        <v>116</v>
      </c>
      <c r="K238" s="28" t="s">
        <v>26</v>
      </c>
      <c r="L238" s="28">
        <v>1.5</v>
      </c>
      <c r="M238" s="28">
        <v>0.5</v>
      </c>
      <c r="N238" s="25">
        <f t="shared" si="3"/>
        <v>0.5</v>
      </c>
      <c r="O238" s="28" t="s">
        <v>1831</v>
      </c>
      <c r="P238" s="28" t="s">
        <v>1831</v>
      </c>
      <c r="Q238" s="28" t="s">
        <v>1832</v>
      </c>
      <c r="R238" s="28" t="s">
        <v>1833</v>
      </c>
      <c r="S238" s="28" t="s">
        <v>1833</v>
      </c>
      <c r="T238" s="28" t="s">
        <v>1833</v>
      </c>
      <c r="U238" s="28" t="s">
        <v>1833</v>
      </c>
      <c r="V238" s="28" t="s">
        <v>1849</v>
      </c>
    </row>
    <row r="239" spans="1:22" ht="34.5" customHeight="1" x14ac:dyDescent="0.25">
      <c r="A239" s="26">
        <v>22</v>
      </c>
      <c r="B239" s="27" t="s">
        <v>1757</v>
      </c>
      <c r="C239" s="28" t="s">
        <v>1758</v>
      </c>
      <c r="D239" s="28" t="s">
        <v>1757</v>
      </c>
      <c r="E239" s="28" t="s">
        <v>1850</v>
      </c>
      <c r="F239" s="28" t="s">
        <v>142</v>
      </c>
      <c r="G239" s="28" t="s">
        <v>1851</v>
      </c>
      <c r="H239" s="28" t="s">
        <v>1852</v>
      </c>
      <c r="I239" s="28" t="s">
        <v>1853</v>
      </c>
      <c r="J239" s="28" t="s">
        <v>116</v>
      </c>
      <c r="K239" s="28" t="s">
        <v>26</v>
      </c>
      <c r="L239" s="28">
        <v>1.5</v>
      </c>
      <c r="M239" s="28">
        <v>0.5</v>
      </c>
      <c r="N239" s="25">
        <f t="shared" si="3"/>
        <v>0.5</v>
      </c>
      <c r="O239" s="28" t="s">
        <v>1831</v>
      </c>
      <c r="P239" s="28" t="s">
        <v>1831</v>
      </c>
      <c r="Q239" s="28" t="s">
        <v>1832</v>
      </c>
      <c r="R239" s="28" t="s">
        <v>1833</v>
      </c>
      <c r="S239" s="28" t="s">
        <v>1833</v>
      </c>
      <c r="T239" s="28" t="s">
        <v>1833</v>
      </c>
      <c r="U239" s="28" t="s">
        <v>1833</v>
      </c>
      <c r="V239" s="28" t="s">
        <v>1854</v>
      </c>
    </row>
    <row r="240" spans="1:22" ht="34.5" customHeight="1" x14ac:dyDescent="0.25">
      <c r="A240" s="26">
        <v>22</v>
      </c>
      <c r="B240" s="27" t="s">
        <v>1757</v>
      </c>
      <c r="C240" s="28" t="s">
        <v>1758</v>
      </c>
      <c r="D240" s="28" t="s">
        <v>1757</v>
      </c>
      <c r="E240" s="28" t="s">
        <v>1855</v>
      </c>
      <c r="F240" s="28" t="s">
        <v>150</v>
      </c>
      <c r="G240" s="28" t="s">
        <v>1856</v>
      </c>
      <c r="H240" s="28" t="s">
        <v>1857</v>
      </c>
      <c r="I240" s="28" t="s">
        <v>1858</v>
      </c>
      <c r="J240" s="28" t="s">
        <v>116</v>
      </c>
      <c r="K240" s="28" t="s">
        <v>26</v>
      </c>
      <c r="L240" s="28">
        <v>1.5</v>
      </c>
      <c r="M240" s="28">
        <v>0.5</v>
      </c>
      <c r="N240" s="25">
        <f t="shared" si="3"/>
        <v>0.5</v>
      </c>
      <c r="O240" s="28" t="s">
        <v>1831</v>
      </c>
      <c r="P240" s="28" t="s">
        <v>1831</v>
      </c>
      <c r="Q240" s="28" t="s">
        <v>1832</v>
      </c>
      <c r="R240" s="28" t="s">
        <v>1833</v>
      </c>
      <c r="S240" s="28" t="s">
        <v>1833</v>
      </c>
      <c r="T240" s="28" t="s">
        <v>1833</v>
      </c>
      <c r="U240" s="28" t="s">
        <v>1833</v>
      </c>
      <c r="V240" s="28" t="s">
        <v>1859</v>
      </c>
    </row>
    <row r="241" spans="1:22" ht="34.5" customHeight="1" x14ac:dyDescent="0.25">
      <c r="A241" s="26">
        <v>22</v>
      </c>
      <c r="B241" s="27" t="s">
        <v>1757</v>
      </c>
      <c r="C241" s="28" t="s">
        <v>1758</v>
      </c>
      <c r="D241" s="28" t="s">
        <v>1757</v>
      </c>
      <c r="E241" s="28" t="s">
        <v>1860</v>
      </c>
      <c r="F241" s="28" t="s">
        <v>478</v>
      </c>
      <c r="G241" s="28" t="s">
        <v>1861</v>
      </c>
      <c r="H241" s="28" t="s">
        <v>1862</v>
      </c>
      <c r="I241" s="28" t="s">
        <v>1863</v>
      </c>
      <c r="J241" s="28" t="s">
        <v>116</v>
      </c>
      <c r="K241" s="28" t="s">
        <v>1142</v>
      </c>
      <c r="L241" s="28">
        <v>1</v>
      </c>
      <c r="M241" s="28">
        <v>0.5</v>
      </c>
      <c r="N241" s="25">
        <f t="shared" si="3"/>
        <v>0.5</v>
      </c>
      <c r="O241" s="28" t="s">
        <v>1831</v>
      </c>
      <c r="P241" s="28" t="s">
        <v>1831</v>
      </c>
      <c r="Q241" s="28" t="s">
        <v>1832</v>
      </c>
      <c r="R241" s="28" t="s">
        <v>1833</v>
      </c>
      <c r="S241" s="28" t="s">
        <v>1833</v>
      </c>
      <c r="T241" s="28" t="s">
        <v>1833</v>
      </c>
      <c r="U241" s="28" t="s">
        <v>1833</v>
      </c>
      <c r="V241" s="28" t="s">
        <v>1864</v>
      </c>
    </row>
    <row r="242" spans="1:22" ht="34.5" customHeight="1" x14ac:dyDescent="0.25">
      <c r="A242" s="26">
        <v>22</v>
      </c>
      <c r="B242" s="27" t="s">
        <v>1757</v>
      </c>
      <c r="C242" s="28" t="s">
        <v>1758</v>
      </c>
      <c r="D242" s="28" t="s">
        <v>1757</v>
      </c>
      <c r="E242" s="28" t="s">
        <v>1865</v>
      </c>
      <c r="F242" s="28" t="s">
        <v>487</v>
      </c>
      <c r="G242" s="28" t="s">
        <v>1866</v>
      </c>
      <c r="H242" s="28" t="s">
        <v>1867</v>
      </c>
      <c r="I242" s="28" t="s">
        <v>1868</v>
      </c>
      <c r="J242" s="28" t="s">
        <v>116</v>
      </c>
      <c r="K242" s="28" t="s">
        <v>1869</v>
      </c>
      <c r="L242" s="28">
        <v>4</v>
      </c>
      <c r="M242" s="28">
        <v>1.5</v>
      </c>
      <c r="N242" s="25">
        <f t="shared" si="3"/>
        <v>1.75</v>
      </c>
      <c r="O242" s="28" t="s">
        <v>1831</v>
      </c>
      <c r="P242" s="28" t="s">
        <v>1831</v>
      </c>
      <c r="Q242" s="28" t="s">
        <v>1832</v>
      </c>
      <c r="R242" s="28" t="s">
        <v>1833</v>
      </c>
      <c r="S242" s="28" t="s">
        <v>1833</v>
      </c>
      <c r="T242" s="28" t="s">
        <v>1833</v>
      </c>
      <c r="U242" s="28" t="s">
        <v>1833</v>
      </c>
      <c r="V242" s="28" t="s">
        <v>1870</v>
      </c>
    </row>
    <row r="243" spans="1:22" ht="34.5" customHeight="1" x14ac:dyDescent="0.25">
      <c r="A243" s="26">
        <v>22</v>
      </c>
      <c r="B243" s="27" t="s">
        <v>1757</v>
      </c>
      <c r="C243" s="28" t="s">
        <v>1758</v>
      </c>
      <c r="D243" s="28" t="s">
        <v>1757</v>
      </c>
      <c r="E243" s="28" t="s">
        <v>1871</v>
      </c>
      <c r="F243" s="28" t="s">
        <v>497</v>
      </c>
      <c r="G243" s="28" t="s">
        <v>1872</v>
      </c>
      <c r="H243" s="28" t="s">
        <v>1873</v>
      </c>
      <c r="I243" s="28" t="s">
        <v>1874</v>
      </c>
      <c r="J243" s="28" t="s">
        <v>116</v>
      </c>
      <c r="K243" s="28" t="s">
        <v>1875</v>
      </c>
      <c r="L243" s="28">
        <v>5</v>
      </c>
      <c r="M243" s="28">
        <v>2</v>
      </c>
      <c r="N243" s="25">
        <f t="shared" si="3"/>
        <v>2.5</v>
      </c>
      <c r="O243" s="28" t="s">
        <v>1831</v>
      </c>
      <c r="P243" s="28" t="s">
        <v>1831</v>
      </c>
      <c r="Q243" s="28" t="s">
        <v>1832</v>
      </c>
      <c r="R243" s="28" t="s">
        <v>1833</v>
      </c>
      <c r="S243" s="28" t="s">
        <v>1833</v>
      </c>
      <c r="T243" s="28" t="s">
        <v>1833</v>
      </c>
      <c r="U243" s="28" t="s">
        <v>1833</v>
      </c>
      <c r="V243" s="28" t="s">
        <v>1876</v>
      </c>
    </row>
    <row r="244" spans="1:22" ht="34.5" customHeight="1" x14ac:dyDescent="0.25">
      <c r="A244" s="26">
        <v>22</v>
      </c>
      <c r="B244" s="27" t="s">
        <v>1757</v>
      </c>
      <c r="C244" s="28" t="s">
        <v>1758</v>
      </c>
      <c r="D244" s="28" t="s">
        <v>1757</v>
      </c>
      <c r="E244" s="28" t="s">
        <v>1877</v>
      </c>
      <c r="F244" s="28" t="s">
        <v>1466</v>
      </c>
      <c r="G244" s="28" t="s">
        <v>1878</v>
      </c>
      <c r="H244" s="28" t="s">
        <v>1879</v>
      </c>
      <c r="I244" s="28" t="s">
        <v>1880</v>
      </c>
      <c r="J244" s="28" t="s">
        <v>116</v>
      </c>
      <c r="K244" s="28" t="s">
        <v>53</v>
      </c>
      <c r="L244" s="28">
        <v>3</v>
      </c>
      <c r="M244" s="28">
        <v>1</v>
      </c>
      <c r="N244" s="25">
        <f t="shared" si="3"/>
        <v>1.25</v>
      </c>
      <c r="O244" s="28" t="s">
        <v>1831</v>
      </c>
      <c r="P244" s="28" t="s">
        <v>1831</v>
      </c>
      <c r="Q244" s="28" t="s">
        <v>1832</v>
      </c>
      <c r="R244" s="28" t="s">
        <v>1833</v>
      </c>
      <c r="S244" s="28" t="s">
        <v>1833</v>
      </c>
      <c r="T244" s="28" t="s">
        <v>1833</v>
      </c>
      <c r="U244" s="28" t="s">
        <v>1833</v>
      </c>
      <c r="V244" s="28" t="s">
        <v>1881</v>
      </c>
    </row>
    <row r="245" spans="1:22" ht="34.5" customHeight="1" x14ac:dyDescent="0.25">
      <c r="A245" s="26">
        <v>22</v>
      </c>
      <c r="B245" s="27" t="s">
        <v>1757</v>
      </c>
      <c r="C245" s="28" t="s">
        <v>1758</v>
      </c>
      <c r="D245" s="28" t="s">
        <v>1757</v>
      </c>
      <c r="E245" s="28" t="s">
        <v>1882</v>
      </c>
      <c r="F245" s="28" t="s">
        <v>1643</v>
      </c>
      <c r="G245" s="28" t="s">
        <v>1883</v>
      </c>
      <c r="H245" s="28" t="s">
        <v>1884</v>
      </c>
      <c r="I245" s="28" t="s">
        <v>1885</v>
      </c>
      <c r="J245" s="28" t="s">
        <v>116</v>
      </c>
      <c r="K245" s="28" t="s">
        <v>1886</v>
      </c>
      <c r="L245" s="28">
        <v>2</v>
      </c>
      <c r="M245" s="28">
        <v>0.5</v>
      </c>
      <c r="N245" s="25">
        <f t="shared" si="3"/>
        <v>0.5</v>
      </c>
      <c r="O245" s="28" t="s">
        <v>1831</v>
      </c>
      <c r="P245" s="28" t="s">
        <v>1831</v>
      </c>
      <c r="Q245" s="28" t="s">
        <v>1832</v>
      </c>
      <c r="R245" s="28" t="s">
        <v>1833</v>
      </c>
      <c r="S245" s="28" t="s">
        <v>1833</v>
      </c>
      <c r="T245" s="28" t="s">
        <v>1833</v>
      </c>
      <c r="U245" s="28" t="s">
        <v>1833</v>
      </c>
      <c r="V245" s="28" t="s">
        <v>1887</v>
      </c>
    </row>
    <row r="246" spans="1:22" ht="34.5" customHeight="1" x14ac:dyDescent="0.25">
      <c r="A246" s="26">
        <v>22</v>
      </c>
      <c r="B246" s="27" t="s">
        <v>1757</v>
      </c>
      <c r="C246" s="28" t="s">
        <v>1758</v>
      </c>
      <c r="D246" s="28" t="s">
        <v>1757</v>
      </c>
      <c r="E246" s="28" t="s">
        <v>1888</v>
      </c>
      <c r="F246" s="28" t="s">
        <v>1648</v>
      </c>
      <c r="G246" s="28" t="s">
        <v>1889</v>
      </c>
      <c r="H246" s="28" t="s">
        <v>1890</v>
      </c>
      <c r="I246" s="28" t="s">
        <v>1891</v>
      </c>
      <c r="J246" s="28" t="s">
        <v>116</v>
      </c>
      <c r="K246" s="28" t="s">
        <v>1892</v>
      </c>
      <c r="L246" s="28">
        <v>3</v>
      </c>
      <c r="M246" s="28">
        <v>1</v>
      </c>
      <c r="N246" s="25">
        <f t="shared" si="3"/>
        <v>1.25</v>
      </c>
      <c r="O246" s="28" t="s">
        <v>1893</v>
      </c>
      <c r="P246" s="28" t="s">
        <v>1893</v>
      </c>
      <c r="Q246" s="28" t="s">
        <v>1832</v>
      </c>
      <c r="R246" s="28" t="s">
        <v>1833</v>
      </c>
      <c r="S246" s="28" t="s">
        <v>1833</v>
      </c>
      <c r="T246" s="28" t="s">
        <v>1833</v>
      </c>
      <c r="U246" s="28" t="s">
        <v>1894</v>
      </c>
      <c r="V246" s="28" t="s">
        <v>1895</v>
      </c>
    </row>
    <row r="247" spans="1:22" ht="34.5" customHeight="1" x14ac:dyDescent="0.25">
      <c r="A247" s="26">
        <v>22</v>
      </c>
      <c r="B247" s="27" t="s">
        <v>1757</v>
      </c>
      <c r="C247" s="28" t="s">
        <v>1758</v>
      </c>
      <c r="D247" s="28" t="s">
        <v>1757</v>
      </c>
      <c r="E247" s="28" t="s">
        <v>1896</v>
      </c>
      <c r="F247" s="28" t="s">
        <v>1654</v>
      </c>
      <c r="G247" s="28" t="s">
        <v>1897</v>
      </c>
      <c r="H247" s="28" t="s">
        <v>1898</v>
      </c>
      <c r="I247" s="28" t="s">
        <v>1899</v>
      </c>
      <c r="J247" s="28" t="s">
        <v>116</v>
      </c>
      <c r="K247" s="28" t="s">
        <v>1142</v>
      </c>
      <c r="L247" s="28">
        <v>0.5</v>
      </c>
      <c r="M247" s="28">
        <v>0.25</v>
      </c>
      <c r="N247" s="25">
        <f t="shared" si="3"/>
        <v>0.25</v>
      </c>
      <c r="O247" s="28" t="s">
        <v>1831</v>
      </c>
      <c r="P247" s="28" t="s">
        <v>1831</v>
      </c>
      <c r="Q247" s="28" t="s">
        <v>1832</v>
      </c>
      <c r="R247" s="28" t="s">
        <v>1833</v>
      </c>
      <c r="S247" s="28" t="s">
        <v>1833</v>
      </c>
      <c r="T247" s="28" t="s">
        <v>1833</v>
      </c>
      <c r="U247" s="28" t="s">
        <v>1833</v>
      </c>
      <c r="V247" s="28" t="s">
        <v>1900</v>
      </c>
    </row>
    <row r="248" spans="1:22" ht="34.5" customHeight="1" x14ac:dyDescent="0.25">
      <c r="A248" s="26">
        <v>22</v>
      </c>
      <c r="B248" s="27" t="s">
        <v>1757</v>
      </c>
      <c r="C248" s="28" t="s">
        <v>1758</v>
      </c>
      <c r="D248" s="28" t="s">
        <v>1757</v>
      </c>
      <c r="E248" s="28" t="s">
        <v>1901</v>
      </c>
      <c r="F248" s="28" t="s">
        <v>157</v>
      </c>
      <c r="G248" s="28" t="s">
        <v>1902</v>
      </c>
      <c r="H248" s="28" t="s">
        <v>1903</v>
      </c>
      <c r="I248" s="28" t="s">
        <v>1904</v>
      </c>
      <c r="J248" s="28" t="s">
        <v>161</v>
      </c>
      <c r="K248" s="28" t="s">
        <v>1905</v>
      </c>
      <c r="L248" s="28">
        <v>2</v>
      </c>
      <c r="M248" s="28">
        <v>0.75</v>
      </c>
      <c r="N248" s="25">
        <f t="shared" si="3"/>
        <v>1</v>
      </c>
      <c r="O248" s="28" t="s">
        <v>1906</v>
      </c>
      <c r="P248" s="28" t="s">
        <v>1907</v>
      </c>
      <c r="Q248" s="28" t="s">
        <v>1832</v>
      </c>
      <c r="R248" s="28" t="s">
        <v>1833</v>
      </c>
      <c r="S248" s="28" t="s">
        <v>1833</v>
      </c>
      <c r="T248" s="28" t="s">
        <v>1833</v>
      </c>
      <c r="U248" s="28" t="s">
        <v>1833</v>
      </c>
      <c r="V248" s="28" t="s">
        <v>1908</v>
      </c>
    </row>
    <row r="249" spans="1:22" ht="34.5" customHeight="1" x14ac:dyDescent="0.25">
      <c r="A249" s="26">
        <v>22</v>
      </c>
      <c r="B249" s="27" t="s">
        <v>1757</v>
      </c>
      <c r="C249" s="28" t="s">
        <v>1758</v>
      </c>
      <c r="D249" s="28" t="s">
        <v>1757</v>
      </c>
      <c r="E249" s="28" t="s">
        <v>1909</v>
      </c>
      <c r="F249" s="28" t="s">
        <v>166</v>
      </c>
      <c r="G249" s="28" t="s">
        <v>1910</v>
      </c>
      <c r="H249" s="28" t="s">
        <v>1911</v>
      </c>
      <c r="I249" s="28" t="s">
        <v>1912</v>
      </c>
      <c r="J249" s="28" t="s">
        <v>161</v>
      </c>
      <c r="K249" s="28" t="s">
        <v>1913</v>
      </c>
      <c r="L249" s="28">
        <v>2</v>
      </c>
      <c r="M249" s="28">
        <v>0.75</v>
      </c>
      <c r="N249" s="25">
        <f t="shared" si="3"/>
        <v>1</v>
      </c>
      <c r="O249" s="28" t="s">
        <v>1906</v>
      </c>
      <c r="P249" s="28" t="s">
        <v>1907</v>
      </c>
      <c r="Q249" s="28" t="s">
        <v>1832</v>
      </c>
      <c r="R249" s="28" t="s">
        <v>1833</v>
      </c>
      <c r="S249" s="28" t="s">
        <v>1833</v>
      </c>
      <c r="T249" s="28" t="s">
        <v>1833</v>
      </c>
      <c r="U249" s="28" t="s">
        <v>1833</v>
      </c>
      <c r="V249" s="28" t="s">
        <v>1914</v>
      </c>
    </row>
    <row r="250" spans="1:22" ht="34.5" customHeight="1" x14ac:dyDescent="0.25">
      <c r="A250" s="26">
        <v>22</v>
      </c>
      <c r="B250" s="27" t="s">
        <v>1757</v>
      </c>
      <c r="C250" s="28" t="s">
        <v>1758</v>
      </c>
      <c r="D250" s="28" t="s">
        <v>1757</v>
      </c>
      <c r="E250" s="28" t="s">
        <v>1915</v>
      </c>
      <c r="F250" s="28" t="s">
        <v>1489</v>
      </c>
      <c r="G250" s="28" t="s">
        <v>1916</v>
      </c>
      <c r="H250" s="28" t="s">
        <v>1917</v>
      </c>
      <c r="I250" s="28" t="s">
        <v>1918</v>
      </c>
      <c r="J250" s="28" t="s">
        <v>161</v>
      </c>
      <c r="K250" s="28" t="s">
        <v>1919</v>
      </c>
      <c r="L250" s="28">
        <v>3</v>
      </c>
      <c r="M250" s="28">
        <v>1</v>
      </c>
      <c r="N250" s="25">
        <f t="shared" si="3"/>
        <v>1.25</v>
      </c>
      <c r="O250" s="28" t="s">
        <v>1906</v>
      </c>
      <c r="P250" s="28" t="s">
        <v>1907</v>
      </c>
      <c r="Q250" s="28" t="s">
        <v>1832</v>
      </c>
      <c r="R250" s="28" t="s">
        <v>1833</v>
      </c>
      <c r="S250" s="28" t="s">
        <v>1833</v>
      </c>
      <c r="T250" s="28" t="s">
        <v>1833</v>
      </c>
      <c r="U250" s="28" t="s">
        <v>1833</v>
      </c>
      <c r="V250" s="28" t="s">
        <v>1920</v>
      </c>
    </row>
    <row r="251" spans="1:22" ht="34.5" customHeight="1" x14ac:dyDescent="0.25">
      <c r="A251" s="26">
        <v>22</v>
      </c>
      <c r="B251" s="27" t="s">
        <v>1757</v>
      </c>
      <c r="C251" s="28" t="s">
        <v>1758</v>
      </c>
      <c r="D251" s="28" t="s">
        <v>1757</v>
      </c>
      <c r="E251" s="28" t="s">
        <v>1921</v>
      </c>
      <c r="F251" s="28" t="s">
        <v>1496</v>
      </c>
      <c r="G251" s="28" t="s">
        <v>1922</v>
      </c>
      <c r="H251" s="28" t="s">
        <v>1923</v>
      </c>
      <c r="I251" s="28" t="s">
        <v>1924</v>
      </c>
      <c r="J251" s="28" t="s">
        <v>161</v>
      </c>
      <c r="K251" s="28" t="s">
        <v>1925</v>
      </c>
      <c r="L251" s="28">
        <v>2</v>
      </c>
      <c r="M251" s="28">
        <v>0.75</v>
      </c>
      <c r="N251" s="25">
        <f t="shared" si="3"/>
        <v>1</v>
      </c>
      <c r="O251" s="28" t="s">
        <v>1906</v>
      </c>
      <c r="P251" s="28" t="s">
        <v>1907</v>
      </c>
      <c r="Q251" s="28" t="s">
        <v>1832</v>
      </c>
      <c r="R251" s="28" t="s">
        <v>1833</v>
      </c>
      <c r="S251" s="28" t="s">
        <v>1833</v>
      </c>
      <c r="T251" s="28" t="s">
        <v>1833</v>
      </c>
      <c r="U251" s="28" t="s">
        <v>1833</v>
      </c>
      <c r="V251" s="28" t="s">
        <v>1926</v>
      </c>
    </row>
    <row r="252" spans="1:22" ht="34.5" customHeight="1" x14ac:dyDescent="0.25">
      <c r="A252" s="26">
        <v>22</v>
      </c>
      <c r="B252" s="27" t="s">
        <v>1757</v>
      </c>
      <c r="C252" s="28" t="s">
        <v>1758</v>
      </c>
      <c r="D252" s="28" t="s">
        <v>1757</v>
      </c>
      <c r="E252" s="28" t="s">
        <v>1927</v>
      </c>
      <c r="F252" s="28" t="s">
        <v>1503</v>
      </c>
      <c r="G252" s="28" t="s">
        <v>1928</v>
      </c>
      <c r="H252" s="28" t="s">
        <v>1929</v>
      </c>
      <c r="I252" s="28" t="s">
        <v>1930</v>
      </c>
      <c r="J252" s="28" t="s">
        <v>161</v>
      </c>
      <c r="K252" s="28" t="s">
        <v>1931</v>
      </c>
      <c r="L252" s="28">
        <v>3</v>
      </c>
      <c r="M252" s="28">
        <v>1</v>
      </c>
      <c r="N252" s="25">
        <f t="shared" si="3"/>
        <v>1.25</v>
      </c>
      <c r="O252" s="28" t="s">
        <v>1906</v>
      </c>
      <c r="P252" s="28" t="s">
        <v>1907</v>
      </c>
      <c r="Q252" s="28" t="s">
        <v>1832</v>
      </c>
      <c r="R252" s="28" t="s">
        <v>1833</v>
      </c>
      <c r="S252" s="28" t="s">
        <v>1833</v>
      </c>
      <c r="T252" s="28" t="s">
        <v>1833</v>
      </c>
      <c r="U252" s="28" t="s">
        <v>1894</v>
      </c>
      <c r="V252" s="28" t="s">
        <v>1932</v>
      </c>
    </row>
    <row r="253" spans="1:22" ht="34.5" customHeight="1" x14ac:dyDescent="0.25">
      <c r="A253" s="26">
        <v>23</v>
      </c>
      <c r="B253" s="27" t="s">
        <v>1933</v>
      </c>
      <c r="C253" s="28" t="s">
        <v>1934</v>
      </c>
      <c r="D253" s="28" t="s">
        <v>1935</v>
      </c>
      <c r="E253" s="28" t="s">
        <v>1936</v>
      </c>
      <c r="F253" s="28" t="s">
        <v>26</v>
      </c>
      <c r="G253" s="28" t="s">
        <v>1937</v>
      </c>
      <c r="H253" s="28" t="s">
        <v>1938</v>
      </c>
      <c r="I253" s="28" t="s">
        <v>1939</v>
      </c>
      <c r="J253" s="28" t="s">
        <v>30</v>
      </c>
      <c r="K253" s="28" t="s">
        <v>1940</v>
      </c>
      <c r="L253" s="28">
        <v>3</v>
      </c>
      <c r="M253" s="28">
        <v>1</v>
      </c>
      <c r="N253" s="25">
        <f t="shared" si="3"/>
        <v>1.25</v>
      </c>
      <c r="O253" s="28" t="s">
        <v>1941</v>
      </c>
      <c r="P253" s="28" t="s">
        <v>1942</v>
      </c>
      <c r="Q253" s="28" t="s">
        <v>1832</v>
      </c>
      <c r="R253" s="28" t="s">
        <v>1833</v>
      </c>
      <c r="S253" s="28" t="s">
        <v>1833</v>
      </c>
      <c r="T253" s="28" t="s">
        <v>1833</v>
      </c>
      <c r="U253" s="28" t="s">
        <v>1943</v>
      </c>
      <c r="V253" s="28" t="s">
        <v>1944</v>
      </c>
    </row>
    <row r="254" spans="1:22" ht="34.5" customHeight="1" x14ac:dyDescent="0.25">
      <c r="A254" s="26">
        <v>23</v>
      </c>
      <c r="B254" s="27" t="s">
        <v>1933</v>
      </c>
      <c r="C254" s="28" t="s">
        <v>1934</v>
      </c>
      <c r="D254" s="28" t="s">
        <v>1935</v>
      </c>
      <c r="E254" s="28" t="s">
        <v>1945</v>
      </c>
      <c r="F254" s="28" t="s">
        <v>38</v>
      </c>
      <c r="G254" s="28" t="s">
        <v>1946</v>
      </c>
      <c r="H254" s="28" t="s">
        <v>1947</v>
      </c>
      <c r="I254" s="28" t="s">
        <v>1948</v>
      </c>
      <c r="J254" s="28" t="s">
        <v>30</v>
      </c>
      <c r="K254" s="28" t="s">
        <v>26</v>
      </c>
      <c r="L254" s="28">
        <v>3</v>
      </c>
      <c r="M254" s="28">
        <v>1</v>
      </c>
      <c r="N254" s="25">
        <f t="shared" si="3"/>
        <v>1.25</v>
      </c>
      <c r="O254" s="28" t="s">
        <v>1949</v>
      </c>
      <c r="P254" s="28" t="s">
        <v>1942</v>
      </c>
      <c r="Q254" s="28" t="s">
        <v>1832</v>
      </c>
      <c r="R254" s="28" t="s">
        <v>1833</v>
      </c>
      <c r="S254" s="28" t="s">
        <v>1833</v>
      </c>
      <c r="T254" s="28" t="s">
        <v>1833</v>
      </c>
      <c r="U254" s="28" t="s">
        <v>1950</v>
      </c>
      <c r="V254" s="28" t="s">
        <v>1951</v>
      </c>
    </row>
    <row r="255" spans="1:22" ht="34.5" customHeight="1" x14ac:dyDescent="0.25">
      <c r="A255" s="26">
        <v>23</v>
      </c>
      <c r="B255" s="27" t="s">
        <v>1933</v>
      </c>
      <c r="C255" s="28" t="s">
        <v>1934</v>
      </c>
      <c r="D255" s="28" t="s">
        <v>1935</v>
      </c>
      <c r="E255" s="28" t="s">
        <v>1952</v>
      </c>
      <c r="F255" s="28" t="s">
        <v>46</v>
      </c>
      <c r="G255" s="28" t="s">
        <v>1953</v>
      </c>
      <c r="H255" s="28" t="s">
        <v>1954</v>
      </c>
      <c r="I255" s="28" t="s">
        <v>1955</v>
      </c>
      <c r="J255" s="28" t="s">
        <v>30</v>
      </c>
      <c r="K255" s="28" t="s">
        <v>1956</v>
      </c>
      <c r="L255" s="28">
        <v>2</v>
      </c>
      <c r="M255" s="28">
        <v>0.5</v>
      </c>
      <c r="N255" s="25">
        <f t="shared" si="3"/>
        <v>0.5</v>
      </c>
      <c r="O255" s="28" t="s">
        <v>1957</v>
      </c>
      <c r="P255" s="28" t="s">
        <v>1958</v>
      </c>
      <c r="Q255" s="28" t="s">
        <v>484</v>
      </c>
      <c r="R255" s="28" t="s">
        <v>1026</v>
      </c>
      <c r="S255" s="28" t="s">
        <v>1959</v>
      </c>
      <c r="T255" s="28" t="s">
        <v>1960</v>
      </c>
      <c r="U255" s="28" t="s">
        <v>1961</v>
      </c>
      <c r="V255" s="28" t="s">
        <v>1962</v>
      </c>
    </row>
    <row r="256" spans="1:22" ht="34.5" customHeight="1" x14ac:dyDescent="0.25">
      <c r="A256" s="26">
        <v>23</v>
      </c>
      <c r="B256" s="27" t="s">
        <v>1933</v>
      </c>
      <c r="C256" s="28" t="s">
        <v>1934</v>
      </c>
      <c r="D256" s="28" t="s">
        <v>1935</v>
      </c>
      <c r="E256" s="28" t="s">
        <v>1963</v>
      </c>
      <c r="F256" s="28" t="s">
        <v>53</v>
      </c>
      <c r="G256" s="28" t="s">
        <v>1964</v>
      </c>
      <c r="H256" s="28" t="s">
        <v>1965</v>
      </c>
      <c r="I256" s="28" t="s">
        <v>1966</v>
      </c>
      <c r="J256" s="28" t="s">
        <v>30</v>
      </c>
      <c r="K256" s="28" t="s">
        <v>1967</v>
      </c>
      <c r="L256" s="28">
        <v>3</v>
      </c>
      <c r="M256" s="28">
        <v>1</v>
      </c>
      <c r="N256" s="25">
        <f t="shared" si="3"/>
        <v>1.25</v>
      </c>
      <c r="O256" s="28" t="s">
        <v>1802</v>
      </c>
      <c r="P256" s="28" t="s">
        <v>1802</v>
      </c>
      <c r="Q256" s="28" t="s">
        <v>484</v>
      </c>
      <c r="R256" s="28" t="s">
        <v>1026</v>
      </c>
      <c r="S256" s="28" t="s">
        <v>1959</v>
      </c>
      <c r="T256" s="28" t="s">
        <v>1968</v>
      </c>
      <c r="U256" s="28" t="s">
        <v>1969</v>
      </c>
      <c r="V256" s="28" t="s">
        <v>1970</v>
      </c>
    </row>
    <row r="257" spans="1:22" ht="34.5" customHeight="1" x14ac:dyDescent="0.25">
      <c r="A257" s="26">
        <v>23</v>
      </c>
      <c r="B257" s="27" t="s">
        <v>1933</v>
      </c>
      <c r="C257" s="28" t="s">
        <v>1934</v>
      </c>
      <c r="D257" s="28" t="s">
        <v>1935</v>
      </c>
      <c r="E257" s="28" t="s">
        <v>1971</v>
      </c>
      <c r="F257" s="28" t="s">
        <v>64</v>
      </c>
      <c r="G257" s="28" t="s">
        <v>1972</v>
      </c>
      <c r="H257" s="28" t="s">
        <v>1973</v>
      </c>
      <c r="I257" s="28" t="s">
        <v>1974</v>
      </c>
      <c r="J257" s="28" t="s">
        <v>30</v>
      </c>
      <c r="K257" s="28" t="s">
        <v>1975</v>
      </c>
      <c r="L257" s="28">
        <v>3</v>
      </c>
      <c r="M257" s="28">
        <v>1</v>
      </c>
      <c r="N257" s="25">
        <f t="shared" si="3"/>
        <v>1.25</v>
      </c>
      <c r="O257" s="28" t="s">
        <v>1976</v>
      </c>
      <c r="P257" s="28" t="s">
        <v>1802</v>
      </c>
      <c r="Q257" s="28" t="s">
        <v>484</v>
      </c>
      <c r="R257" s="28" t="s">
        <v>1026</v>
      </c>
      <c r="S257" s="28" t="s">
        <v>1959</v>
      </c>
      <c r="T257" s="28" t="s">
        <v>1977</v>
      </c>
      <c r="U257" s="28" t="s">
        <v>1978</v>
      </c>
      <c r="V257" s="28" t="s">
        <v>1979</v>
      </c>
    </row>
    <row r="258" spans="1:22" ht="34.5" customHeight="1" x14ac:dyDescent="0.25">
      <c r="A258" s="26">
        <v>23</v>
      </c>
      <c r="B258" s="27" t="s">
        <v>1933</v>
      </c>
      <c r="C258" s="28" t="s">
        <v>1934</v>
      </c>
      <c r="D258" s="28" t="s">
        <v>1935</v>
      </c>
      <c r="E258" s="28" t="s">
        <v>1980</v>
      </c>
      <c r="F258" s="28" t="s">
        <v>72</v>
      </c>
      <c r="G258" s="28" t="s">
        <v>1981</v>
      </c>
      <c r="H258" s="28" t="s">
        <v>1982</v>
      </c>
      <c r="I258" s="28" t="s">
        <v>1983</v>
      </c>
      <c r="J258" s="28" t="s">
        <v>30</v>
      </c>
      <c r="K258" s="28" t="s">
        <v>1984</v>
      </c>
      <c r="L258" s="28">
        <v>5</v>
      </c>
      <c r="M258" s="28">
        <v>2</v>
      </c>
      <c r="N258" s="25">
        <f t="shared" ref="N258:N321" si="4">MAX(ROUND(M258*1.2/0.25,0)*0.25,0.25)</f>
        <v>2.5</v>
      </c>
      <c r="O258" s="28" t="s">
        <v>1985</v>
      </c>
      <c r="P258" s="28" t="s">
        <v>1802</v>
      </c>
      <c r="Q258" s="28" t="s">
        <v>1813</v>
      </c>
      <c r="R258" s="28" t="s">
        <v>1026</v>
      </c>
      <c r="S258" s="28" t="s">
        <v>1959</v>
      </c>
      <c r="T258" s="28" t="s">
        <v>1986</v>
      </c>
      <c r="U258" s="28" t="s">
        <v>1987</v>
      </c>
      <c r="V258" s="28" t="s">
        <v>1988</v>
      </c>
    </row>
    <row r="259" spans="1:22" ht="34.5" customHeight="1" x14ac:dyDescent="0.25">
      <c r="A259" s="26">
        <v>23</v>
      </c>
      <c r="B259" s="27" t="s">
        <v>1933</v>
      </c>
      <c r="C259" s="28" t="s">
        <v>1934</v>
      </c>
      <c r="D259" s="28" t="s">
        <v>1935</v>
      </c>
      <c r="E259" s="28" t="s">
        <v>1989</v>
      </c>
      <c r="F259" s="28" t="s">
        <v>112</v>
      </c>
      <c r="G259" s="28" t="s">
        <v>1990</v>
      </c>
      <c r="H259" s="28" t="s">
        <v>1991</v>
      </c>
      <c r="I259" s="28" t="s">
        <v>1992</v>
      </c>
      <c r="J259" s="28" t="s">
        <v>116</v>
      </c>
      <c r="K259" s="28" t="s">
        <v>1993</v>
      </c>
      <c r="L259" s="28">
        <v>2</v>
      </c>
      <c r="M259" s="28">
        <v>0.75</v>
      </c>
      <c r="N259" s="25">
        <f t="shared" si="4"/>
        <v>1</v>
      </c>
      <c r="O259" s="28" t="s">
        <v>1831</v>
      </c>
      <c r="P259" s="28" t="s">
        <v>1831</v>
      </c>
      <c r="Q259" s="28" t="s">
        <v>1832</v>
      </c>
      <c r="R259" s="28" t="s">
        <v>1833</v>
      </c>
      <c r="S259" s="28" t="s">
        <v>1833</v>
      </c>
      <c r="T259" s="28" t="s">
        <v>1833</v>
      </c>
      <c r="U259" s="28" t="s">
        <v>1833</v>
      </c>
      <c r="V259" s="28" t="s">
        <v>1994</v>
      </c>
    </row>
    <row r="260" spans="1:22" ht="34.5" customHeight="1" x14ac:dyDescent="0.25">
      <c r="A260" s="26">
        <v>23</v>
      </c>
      <c r="B260" s="27" t="s">
        <v>1933</v>
      </c>
      <c r="C260" s="28" t="s">
        <v>1934</v>
      </c>
      <c r="D260" s="28" t="s">
        <v>1935</v>
      </c>
      <c r="E260" s="28" t="s">
        <v>1995</v>
      </c>
      <c r="F260" s="28" t="s">
        <v>157</v>
      </c>
      <c r="G260" s="28" t="s">
        <v>1996</v>
      </c>
      <c r="H260" s="28" t="s">
        <v>1997</v>
      </c>
      <c r="I260" s="28" t="s">
        <v>1998</v>
      </c>
      <c r="J260" s="28" t="s">
        <v>161</v>
      </c>
      <c r="K260" s="28" t="s">
        <v>1999</v>
      </c>
      <c r="L260" s="28">
        <v>4</v>
      </c>
      <c r="M260" s="28">
        <v>1.5</v>
      </c>
      <c r="N260" s="25">
        <f t="shared" si="4"/>
        <v>1.75</v>
      </c>
      <c r="O260" s="28" t="s">
        <v>2000</v>
      </c>
      <c r="P260" s="28" t="s">
        <v>2001</v>
      </c>
      <c r="Q260" s="28" t="s">
        <v>1832</v>
      </c>
      <c r="R260" s="28" t="s">
        <v>1833</v>
      </c>
      <c r="S260" s="28" t="s">
        <v>1833</v>
      </c>
      <c r="T260" s="28" t="s">
        <v>1833</v>
      </c>
      <c r="U260" s="28" t="s">
        <v>1833</v>
      </c>
      <c r="V260" s="28" t="s">
        <v>2002</v>
      </c>
    </row>
    <row r="261" spans="1:22" ht="34.5" customHeight="1" x14ac:dyDescent="0.25">
      <c r="A261" s="26">
        <v>23</v>
      </c>
      <c r="B261" s="27" t="s">
        <v>1933</v>
      </c>
      <c r="C261" s="28" t="s">
        <v>1934</v>
      </c>
      <c r="D261" s="28" t="s">
        <v>1935</v>
      </c>
      <c r="E261" s="28" t="s">
        <v>2003</v>
      </c>
      <c r="F261" s="28" t="s">
        <v>166</v>
      </c>
      <c r="G261" s="28" t="s">
        <v>2004</v>
      </c>
      <c r="H261" s="28" t="s">
        <v>2005</v>
      </c>
      <c r="I261" s="28" t="s">
        <v>2006</v>
      </c>
      <c r="J261" s="28" t="s">
        <v>161</v>
      </c>
      <c r="K261" s="28" t="s">
        <v>2007</v>
      </c>
      <c r="L261" s="28">
        <v>5</v>
      </c>
      <c r="M261" s="28">
        <v>2</v>
      </c>
      <c r="N261" s="25">
        <f t="shared" si="4"/>
        <v>2.5</v>
      </c>
      <c r="O261" s="28" t="s">
        <v>1906</v>
      </c>
      <c r="P261" s="28" t="s">
        <v>1907</v>
      </c>
      <c r="Q261" s="28" t="s">
        <v>1832</v>
      </c>
      <c r="R261" s="28" t="s">
        <v>1833</v>
      </c>
      <c r="S261" s="28" t="s">
        <v>1833</v>
      </c>
      <c r="T261" s="28" t="s">
        <v>1833</v>
      </c>
      <c r="U261" s="28" t="s">
        <v>1833</v>
      </c>
      <c r="V261" s="28" t="s">
        <v>2008</v>
      </c>
    </row>
    <row r="262" spans="1:22" ht="34.5" customHeight="1" x14ac:dyDescent="0.25">
      <c r="A262" s="26">
        <v>24</v>
      </c>
      <c r="B262" s="27" t="s">
        <v>2009</v>
      </c>
      <c r="C262" s="28" t="s">
        <v>2010</v>
      </c>
      <c r="D262" s="28" t="s">
        <v>2011</v>
      </c>
      <c r="E262" s="28" t="s">
        <v>2012</v>
      </c>
      <c r="F262" s="28" t="s">
        <v>26</v>
      </c>
      <c r="G262" s="28" t="s">
        <v>2013</v>
      </c>
      <c r="H262" s="28" t="s">
        <v>2014</v>
      </c>
      <c r="I262" s="28" t="s">
        <v>2015</v>
      </c>
      <c r="J262" s="28" t="s">
        <v>30</v>
      </c>
      <c r="K262" s="28" t="s">
        <v>1833</v>
      </c>
      <c r="L262" s="28">
        <v>3</v>
      </c>
      <c r="M262" s="28">
        <v>1</v>
      </c>
      <c r="N262" s="25">
        <f t="shared" si="4"/>
        <v>1.25</v>
      </c>
      <c r="O262" s="28" t="s">
        <v>2016</v>
      </c>
      <c r="P262" s="28" t="s">
        <v>2017</v>
      </c>
      <c r="Q262" s="28" t="s">
        <v>484</v>
      </c>
      <c r="R262" s="28" t="s">
        <v>1026</v>
      </c>
      <c r="S262" s="28" t="s">
        <v>1155</v>
      </c>
      <c r="T262" s="28" t="s">
        <v>2018</v>
      </c>
      <c r="U262" s="28" t="s">
        <v>2019</v>
      </c>
      <c r="V262" s="28" t="s">
        <v>2020</v>
      </c>
    </row>
    <row r="263" spans="1:22" ht="34.5" customHeight="1" x14ac:dyDescent="0.25">
      <c r="A263" s="26">
        <v>24</v>
      </c>
      <c r="B263" s="27" t="s">
        <v>2009</v>
      </c>
      <c r="C263" s="28" t="s">
        <v>2010</v>
      </c>
      <c r="D263" s="28" t="s">
        <v>2011</v>
      </c>
      <c r="E263" s="28" t="s">
        <v>2021</v>
      </c>
      <c r="F263" s="28" t="s">
        <v>38</v>
      </c>
      <c r="G263" s="28" t="s">
        <v>2022</v>
      </c>
      <c r="H263" s="28" t="s">
        <v>2023</v>
      </c>
      <c r="I263" s="28" t="s">
        <v>2024</v>
      </c>
      <c r="J263" s="28" t="s">
        <v>30</v>
      </c>
      <c r="K263" s="28" t="s">
        <v>26</v>
      </c>
      <c r="L263" s="28">
        <v>2</v>
      </c>
      <c r="M263" s="28">
        <v>0.5</v>
      </c>
      <c r="N263" s="25">
        <f t="shared" si="4"/>
        <v>0.5</v>
      </c>
      <c r="O263" s="28" t="s">
        <v>2025</v>
      </c>
      <c r="P263" s="28" t="s">
        <v>2026</v>
      </c>
      <c r="Q263" s="28" t="s">
        <v>429</v>
      </c>
      <c r="R263" s="28" t="s">
        <v>1026</v>
      </c>
      <c r="S263" s="28" t="s">
        <v>1155</v>
      </c>
      <c r="T263" s="28" t="s">
        <v>2027</v>
      </c>
      <c r="U263" s="28" t="s">
        <v>2019</v>
      </c>
      <c r="V263" s="28" t="s">
        <v>2020</v>
      </c>
    </row>
    <row r="264" spans="1:22" ht="34.5" customHeight="1" x14ac:dyDescent="0.25">
      <c r="A264" s="26">
        <v>24</v>
      </c>
      <c r="B264" s="27" t="s">
        <v>2009</v>
      </c>
      <c r="C264" s="28" t="s">
        <v>2010</v>
      </c>
      <c r="D264" s="28" t="s">
        <v>2011</v>
      </c>
      <c r="E264" s="28" t="s">
        <v>2028</v>
      </c>
      <c r="F264" s="28" t="s">
        <v>46</v>
      </c>
      <c r="G264" s="28" t="s">
        <v>2029</v>
      </c>
      <c r="H264" s="28" t="s">
        <v>2030</v>
      </c>
      <c r="I264" s="28" t="s">
        <v>2031</v>
      </c>
      <c r="J264" s="28" t="s">
        <v>30</v>
      </c>
      <c r="K264" s="28" t="s">
        <v>2032</v>
      </c>
      <c r="L264" s="28">
        <v>3</v>
      </c>
      <c r="M264" s="28">
        <v>1</v>
      </c>
      <c r="N264" s="25">
        <f t="shared" si="4"/>
        <v>1.25</v>
      </c>
      <c r="O264" s="28" t="s">
        <v>2033</v>
      </c>
      <c r="P264" s="28" t="s">
        <v>2034</v>
      </c>
      <c r="Q264" s="28" t="s">
        <v>1415</v>
      </c>
      <c r="R264" s="28" t="s">
        <v>1552</v>
      </c>
      <c r="S264" s="28" t="s">
        <v>1155</v>
      </c>
      <c r="T264" s="28" t="s">
        <v>2035</v>
      </c>
      <c r="U264" s="28" t="s">
        <v>2036</v>
      </c>
      <c r="V264" s="28" t="s">
        <v>2020</v>
      </c>
    </row>
    <row r="265" spans="1:22" ht="34.5" customHeight="1" x14ac:dyDescent="0.25">
      <c r="A265" s="26">
        <v>24</v>
      </c>
      <c r="B265" s="27" t="s">
        <v>2009</v>
      </c>
      <c r="C265" s="28" t="s">
        <v>2010</v>
      </c>
      <c r="D265" s="28" t="s">
        <v>2011</v>
      </c>
      <c r="E265" s="28" t="s">
        <v>2037</v>
      </c>
      <c r="F265" s="28" t="s">
        <v>112</v>
      </c>
      <c r="G265" s="28" t="s">
        <v>2038</v>
      </c>
      <c r="H265" s="28" t="s">
        <v>2039</v>
      </c>
      <c r="I265" s="28" t="s">
        <v>2040</v>
      </c>
      <c r="J265" s="28" t="s">
        <v>116</v>
      </c>
      <c r="K265" s="28"/>
      <c r="L265" s="28">
        <v>4</v>
      </c>
      <c r="M265" s="28">
        <v>1.5</v>
      </c>
      <c r="N265" s="25">
        <f t="shared" si="4"/>
        <v>1.75</v>
      </c>
      <c r="O265" s="28" t="s">
        <v>2041</v>
      </c>
      <c r="P265" s="28" t="s">
        <v>280</v>
      </c>
      <c r="Q265" s="28" t="s">
        <v>429</v>
      </c>
      <c r="R265" s="28" t="s">
        <v>1552</v>
      </c>
      <c r="S265" s="28" t="s">
        <v>1155</v>
      </c>
      <c r="T265" s="28" t="s">
        <v>2042</v>
      </c>
      <c r="U265" s="28" t="s">
        <v>2043</v>
      </c>
      <c r="V265" s="28" t="s">
        <v>2020</v>
      </c>
    </row>
    <row r="266" spans="1:22" ht="34.5" customHeight="1" x14ac:dyDescent="0.25">
      <c r="A266" s="26">
        <v>24</v>
      </c>
      <c r="B266" s="27" t="s">
        <v>2009</v>
      </c>
      <c r="C266" s="28" t="s">
        <v>2010</v>
      </c>
      <c r="D266" s="28" t="s">
        <v>2011</v>
      </c>
      <c r="E266" s="28" t="s">
        <v>2044</v>
      </c>
      <c r="F266" s="28" t="s">
        <v>120</v>
      </c>
      <c r="G266" s="28" t="s">
        <v>2045</v>
      </c>
      <c r="H266" s="28" t="s">
        <v>2046</v>
      </c>
      <c r="I266" s="28" t="s">
        <v>2047</v>
      </c>
      <c r="J266" s="28" t="s">
        <v>116</v>
      </c>
      <c r="K266" s="28" t="s">
        <v>2048</v>
      </c>
      <c r="L266" s="28">
        <v>1</v>
      </c>
      <c r="M266" s="28">
        <v>0.5</v>
      </c>
      <c r="N266" s="25">
        <f t="shared" si="4"/>
        <v>0.5</v>
      </c>
      <c r="O266" s="28" t="s">
        <v>774</v>
      </c>
      <c r="P266" s="28" t="s">
        <v>280</v>
      </c>
      <c r="Q266" s="28" t="s">
        <v>419</v>
      </c>
      <c r="R266" s="28" t="s">
        <v>1026</v>
      </c>
      <c r="S266" s="28" t="s">
        <v>1155</v>
      </c>
      <c r="T266" s="28" t="s">
        <v>2049</v>
      </c>
      <c r="U266" s="28"/>
      <c r="V266" s="28" t="s">
        <v>2020</v>
      </c>
    </row>
    <row r="267" spans="1:22" ht="34.5" customHeight="1" x14ac:dyDescent="0.25">
      <c r="A267" s="26">
        <v>24</v>
      </c>
      <c r="B267" s="27" t="s">
        <v>2009</v>
      </c>
      <c r="C267" s="28" t="s">
        <v>2010</v>
      </c>
      <c r="D267" s="28" t="s">
        <v>2011</v>
      </c>
      <c r="E267" s="28" t="s">
        <v>2050</v>
      </c>
      <c r="F267" s="28" t="s">
        <v>127</v>
      </c>
      <c r="G267" s="28" t="s">
        <v>2051</v>
      </c>
      <c r="H267" s="28" t="s">
        <v>2052</v>
      </c>
      <c r="I267" s="28" t="s">
        <v>2053</v>
      </c>
      <c r="J267" s="28" t="s">
        <v>116</v>
      </c>
      <c r="K267" s="28" t="s">
        <v>2048</v>
      </c>
      <c r="L267" s="28">
        <v>1</v>
      </c>
      <c r="M267" s="28">
        <v>0.5</v>
      </c>
      <c r="N267" s="25">
        <f t="shared" si="4"/>
        <v>0.5</v>
      </c>
      <c r="O267" s="28" t="s">
        <v>774</v>
      </c>
      <c r="P267" s="28" t="s">
        <v>280</v>
      </c>
      <c r="Q267" s="28" t="s">
        <v>419</v>
      </c>
      <c r="R267" s="28" t="s">
        <v>1026</v>
      </c>
      <c r="S267" s="28" t="s">
        <v>1155</v>
      </c>
      <c r="T267" s="28" t="s">
        <v>2049</v>
      </c>
      <c r="U267" s="28"/>
      <c r="V267" s="28" t="s">
        <v>2020</v>
      </c>
    </row>
    <row r="268" spans="1:22" ht="34.5" customHeight="1" x14ac:dyDescent="0.25">
      <c r="A268" s="26">
        <v>24</v>
      </c>
      <c r="B268" s="27" t="s">
        <v>2009</v>
      </c>
      <c r="C268" s="28" t="s">
        <v>2010</v>
      </c>
      <c r="D268" s="28" t="s">
        <v>2011</v>
      </c>
      <c r="E268" s="28" t="s">
        <v>2054</v>
      </c>
      <c r="F268" s="28" t="s">
        <v>134</v>
      </c>
      <c r="G268" s="28" t="s">
        <v>2055</v>
      </c>
      <c r="H268" s="28" t="s">
        <v>2056</v>
      </c>
      <c r="I268" s="28" t="s">
        <v>2057</v>
      </c>
      <c r="J268" s="28" t="s">
        <v>116</v>
      </c>
      <c r="K268" s="28" t="s">
        <v>2048</v>
      </c>
      <c r="L268" s="28">
        <v>1</v>
      </c>
      <c r="M268" s="28">
        <v>0.5</v>
      </c>
      <c r="N268" s="25">
        <f t="shared" si="4"/>
        <v>0.5</v>
      </c>
      <c r="O268" s="28" t="s">
        <v>774</v>
      </c>
      <c r="P268" s="28" t="s">
        <v>280</v>
      </c>
      <c r="Q268" s="28" t="s">
        <v>419</v>
      </c>
      <c r="R268" s="28" t="s">
        <v>1026</v>
      </c>
      <c r="S268" s="28" t="s">
        <v>1155</v>
      </c>
      <c r="T268" s="28" t="s">
        <v>2049</v>
      </c>
      <c r="U268" s="28"/>
      <c r="V268" s="28" t="s">
        <v>2020</v>
      </c>
    </row>
    <row r="269" spans="1:22" ht="34.5" customHeight="1" x14ac:dyDescent="0.25">
      <c r="A269" s="26">
        <v>24</v>
      </c>
      <c r="B269" s="27" t="s">
        <v>2009</v>
      </c>
      <c r="C269" s="28" t="s">
        <v>2010</v>
      </c>
      <c r="D269" s="28" t="s">
        <v>2011</v>
      </c>
      <c r="E269" s="28" t="s">
        <v>2058</v>
      </c>
      <c r="F269" s="28" t="s">
        <v>142</v>
      </c>
      <c r="G269" s="28" t="s">
        <v>2059</v>
      </c>
      <c r="H269" s="28" t="s">
        <v>2060</v>
      </c>
      <c r="I269" s="28" t="s">
        <v>2061</v>
      </c>
      <c r="J269" s="28" t="s">
        <v>116</v>
      </c>
      <c r="K269" s="28" t="s">
        <v>2062</v>
      </c>
      <c r="L269" s="28">
        <v>1</v>
      </c>
      <c r="M269" s="28">
        <v>0.5</v>
      </c>
      <c r="N269" s="25">
        <f t="shared" si="4"/>
        <v>0.5</v>
      </c>
      <c r="O269" s="28" t="s">
        <v>774</v>
      </c>
      <c r="P269" s="28" t="s">
        <v>280</v>
      </c>
      <c r="Q269" s="28" t="s">
        <v>419</v>
      </c>
      <c r="R269" s="28" t="s">
        <v>1026</v>
      </c>
      <c r="S269" s="28" t="s">
        <v>1155</v>
      </c>
      <c r="T269" s="28" t="s">
        <v>2049</v>
      </c>
      <c r="U269" s="28"/>
      <c r="V269" s="28" t="s">
        <v>2020</v>
      </c>
    </row>
    <row r="270" spans="1:22" ht="34.5" customHeight="1" x14ac:dyDescent="0.25">
      <c r="A270" s="26">
        <v>24</v>
      </c>
      <c r="B270" s="27" t="s">
        <v>2009</v>
      </c>
      <c r="C270" s="28" t="s">
        <v>2010</v>
      </c>
      <c r="D270" s="28" t="s">
        <v>2011</v>
      </c>
      <c r="E270" s="28" t="s">
        <v>2063</v>
      </c>
      <c r="F270" s="28" t="s">
        <v>150</v>
      </c>
      <c r="G270" s="28" t="s">
        <v>2064</v>
      </c>
      <c r="H270" s="28" t="s">
        <v>2065</v>
      </c>
      <c r="I270" s="28" t="s">
        <v>2066</v>
      </c>
      <c r="J270" s="28" t="s">
        <v>116</v>
      </c>
      <c r="K270" s="28" t="s">
        <v>2067</v>
      </c>
      <c r="L270" s="28">
        <v>1</v>
      </c>
      <c r="M270" s="28">
        <v>0.5</v>
      </c>
      <c r="N270" s="25">
        <f t="shared" si="4"/>
        <v>0.5</v>
      </c>
      <c r="O270" s="28" t="s">
        <v>774</v>
      </c>
      <c r="P270" s="28" t="s">
        <v>280</v>
      </c>
      <c r="Q270" s="28" t="s">
        <v>419</v>
      </c>
      <c r="R270" s="28" t="s">
        <v>1026</v>
      </c>
      <c r="S270" s="28" t="s">
        <v>1155</v>
      </c>
      <c r="T270" s="28" t="s">
        <v>2049</v>
      </c>
      <c r="U270" s="28"/>
      <c r="V270" s="28" t="s">
        <v>2020</v>
      </c>
    </row>
    <row r="271" spans="1:22" ht="34.5" customHeight="1" x14ac:dyDescent="0.25">
      <c r="A271" s="26">
        <v>24</v>
      </c>
      <c r="B271" s="27" t="s">
        <v>2009</v>
      </c>
      <c r="C271" s="28" t="s">
        <v>2010</v>
      </c>
      <c r="D271" s="28" t="s">
        <v>2011</v>
      </c>
      <c r="E271" s="28" t="s">
        <v>2068</v>
      </c>
      <c r="F271" s="28" t="s">
        <v>157</v>
      </c>
      <c r="G271" s="28" t="s">
        <v>2069</v>
      </c>
      <c r="H271" s="28" t="s">
        <v>2070</v>
      </c>
      <c r="I271" s="28" t="s">
        <v>2071</v>
      </c>
      <c r="J271" s="28" t="s">
        <v>161</v>
      </c>
      <c r="K271" s="28" t="s">
        <v>2072</v>
      </c>
      <c r="L271" s="28">
        <v>3</v>
      </c>
      <c r="M271" s="28">
        <v>1</v>
      </c>
      <c r="N271" s="25">
        <f t="shared" si="4"/>
        <v>1.25</v>
      </c>
      <c r="O271" s="28" t="s">
        <v>2073</v>
      </c>
      <c r="P271" s="28" t="s">
        <v>1485</v>
      </c>
      <c r="Q271" s="28" t="s">
        <v>429</v>
      </c>
      <c r="R271" s="28" t="s">
        <v>1552</v>
      </c>
      <c r="S271" s="28" t="s">
        <v>1155</v>
      </c>
      <c r="T271" s="28" t="s">
        <v>2074</v>
      </c>
      <c r="U271" s="28" t="s">
        <v>2075</v>
      </c>
      <c r="V271" s="28" t="s">
        <v>2020</v>
      </c>
    </row>
    <row r="272" spans="1:22" ht="34.5" customHeight="1" x14ac:dyDescent="0.25">
      <c r="A272" s="26">
        <v>25</v>
      </c>
      <c r="B272" s="27" t="s">
        <v>2076</v>
      </c>
      <c r="C272" s="28" t="s">
        <v>2077</v>
      </c>
      <c r="D272" s="28" t="s">
        <v>2078</v>
      </c>
      <c r="E272" s="28" t="s">
        <v>2079</v>
      </c>
      <c r="F272" s="28" t="s">
        <v>26</v>
      </c>
      <c r="G272" s="28" t="s">
        <v>2080</v>
      </c>
      <c r="H272" s="28" t="s">
        <v>2081</v>
      </c>
      <c r="I272" s="28" t="s">
        <v>2082</v>
      </c>
      <c r="J272" s="28" t="s">
        <v>30</v>
      </c>
      <c r="K272" s="28"/>
      <c r="L272" s="28">
        <v>3</v>
      </c>
      <c r="M272" s="28">
        <v>1</v>
      </c>
      <c r="N272" s="25">
        <f t="shared" si="4"/>
        <v>1.25</v>
      </c>
      <c r="O272" s="28" t="s">
        <v>1535</v>
      </c>
      <c r="P272" s="28" t="s">
        <v>737</v>
      </c>
      <c r="Q272" s="28" t="s">
        <v>429</v>
      </c>
      <c r="R272" s="28" t="s">
        <v>1026</v>
      </c>
      <c r="S272" s="28" t="s">
        <v>2083</v>
      </c>
      <c r="T272" s="28" t="s">
        <v>2084</v>
      </c>
      <c r="U272" s="28" t="s">
        <v>2085</v>
      </c>
      <c r="V272" s="28" t="s">
        <v>2086</v>
      </c>
    </row>
    <row r="273" spans="1:22" ht="34.5" customHeight="1" x14ac:dyDescent="0.25">
      <c r="A273" s="26">
        <v>25</v>
      </c>
      <c r="B273" s="27" t="s">
        <v>2076</v>
      </c>
      <c r="C273" s="28" t="s">
        <v>2077</v>
      </c>
      <c r="D273" s="28" t="s">
        <v>2078</v>
      </c>
      <c r="E273" s="28" t="s">
        <v>2087</v>
      </c>
      <c r="F273" s="28" t="s">
        <v>38</v>
      </c>
      <c r="G273" s="28" t="s">
        <v>2088</v>
      </c>
      <c r="H273" s="28" t="s">
        <v>2089</v>
      </c>
      <c r="I273" s="28" t="s">
        <v>2090</v>
      </c>
      <c r="J273" s="28" t="s">
        <v>30</v>
      </c>
      <c r="K273" s="28" t="s">
        <v>2091</v>
      </c>
      <c r="L273" s="28">
        <v>1</v>
      </c>
      <c r="M273" s="28">
        <v>0.5</v>
      </c>
      <c r="N273" s="25">
        <f t="shared" si="4"/>
        <v>0.5</v>
      </c>
      <c r="O273" s="28" t="s">
        <v>1535</v>
      </c>
      <c r="P273" s="28" t="s">
        <v>2092</v>
      </c>
      <c r="Q273" s="28" t="s">
        <v>419</v>
      </c>
      <c r="R273" s="28" t="s">
        <v>1026</v>
      </c>
      <c r="S273" s="28" t="s">
        <v>2083</v>
      </c>
      <c r="T273" s="28" t="s">
        <v>2093</v>
      </c>
      <c r="U273" s="28" t="s">
        <v>2094</v>
      </c>
      <c r="V273" s="28" t="s">
        <v>2086</v>
      </c>
    </row>
    <row r="274" spans="1:22" ht="34.5" customHeight="1" x14ac:dyDescent="0.25">
      <c r="A274" s="26">
        <v>25</v>
      </c>
      <c r="B274" s="27" t="s">
        <v>2076</v>
      </c>
      <c r="C274" s="28" t="s">
        <v>2077</v>
      </c>
      <c r="D274" s="28" t="s">
        <v>2078</v>
      </c>
      <c r="E274" s="28" t="s">
        <v>2095</v>
      </c>
      <c r="F274" s="28" t="s">
        <v>46</v>
      </c>
      <c r="G274" s="28" t="s">
        <v>2096</v>
      </c>
      <c r="H274" s="28" t="s">
        <v>2097</v>
      </c>
      <c r="I274" s="28" t="s">
        <v>2098</v>
      </c>
      <c r="J274" s="28" t="s">
        <v>30</v>
      </c>
      <c r="K274" s="28" t="s">
        <v>2091</v>
      </c>
      <c r="L274" s="28">
        <v>1</v>
      </c>
      <c r="M274" s="28">
        <v>0.5</v>
      </c>
      <c r="N274" s="25">
        <f t="shared" si="4"/>
        <v>0.5</v>
      </c>
      <c r="O274" s="28" t="s">
        <v>1535</v>
      </c>
      <c r="P274" s="28" t="s">
        <v>1802</v>
      </c>
      <c r="Q274" s="28" t="s">
        <v>419</v>
      </c>
      <c r="R274" s="28" t="s">
        <v>1026</v>
      </c>
      <c r="S274" s="28" t="s">
        <v>2083</v>
      </c>
      <c r="T274" s="28" t="s">
        <v>2099</v>
      </c>
      <c r="U274" s="28" t="s">
        <v>2100</v>
      </c>
      <c r="V274" s="28" t="s">
        <v>2086</v>
      </c>
    </row>
    <row r="275" spans="1:22" ht="34.5" customHeight="1" x14ac:dyDescent="0.25">
      <c r="A275" s="26">
        <v>25</v>
      </c>
      <c r="B275" s="27" t="s">
        <v>2076</v>
      </c>
      <c r="C275" s="28" t="s">
        <v>2077</v>
      </c>
      <c r="D275" s="28" t="s">
        <v>2078</v>
      </c>
      <c r="E275" s="28" t="s">
        <v>2101</v>
      </c>
      <c r="F275" s="28" t="s">
        <v>112</v>
      </c>
      <c r="G275" s="28" t="s">
        <v>2102</v>
      </c>
      <c r="H275" s="28" t="s">
        <v>2103</v>
      </c>
      <c r="I275" s="28" t="s">
        <v>2104</v>
      </c>
      <c r="J275" s="28" t="s">
        <v>116</v>
      </c>
      <c r="K275" s="28"/>
      <c r="L275" s="28">
        <v>2</v>
      </c>
      <c r="M275" s="28">
        <v>1</v>
      </c>
      <c r="N275" s="25">
        <f t="shared" si="4"/>
        <v>1.25</v>
      </c>
      <c r="O275" s="28" t="s">
        <v>774</v>
      </c>
      <c r="P275" s="28" t="s">
        <v>280</v>
      </c>
      <c r="Q275" s="28" t="s">
        <v>419</v>
      </c>
      <c r="R275" s="28" t="s">
        <v>1026</v>
      </c>
      <c r="S275" s="28" t="s">
        <v>2083</v>
      </c>
      <c r="T275" s="28" t="s">
        <v>2084</v>
      </c>
      <c r="U275" s="28"/>
      <c r="V275" s="28" t="s">
        <v>2086</v>
      </c>
    </row>
    <row r="276" spans="1:22" ht="34.5" customHeight="1" x14ac:dyDescent="0.25">
      <c r="A276" s="26">
        <v>25</v>
      </c>
      <c r="B276" s="27" t="s">
        <v>2076</v>
      </c>
      <c r="C276" s="28" t="s">
        <v>2077</v>
      </c>
      <c r="D276" s="28" t="s">
        <v>2078</v>
      </c>
      <c r="E276" s="28" t="s">
        <v>2105</v>
      </c>
      <c r="F276" s="28" t="s">
        <v>120</v>
      </c>
      <c r="G276" s="28" t="s">
        <v>2106</v>
      </c>
      <c r="H276" s="28" t="s">
        <v>2107</v>
      </c>
      <c r="I276" s="28" t="s">
        <v>2108</v>
      </c>
      <c r="J276" s="28" t="s">
        <v>116</v>
      </c>
      <c r="K276" s="28" t="s">
        <v>2109</v>
      </c>
      <c r="L276" s="28">
        <v>1</v>
      </c>
      <c r="M276" s="28">
        <v>0.5</v>
      </c>
      <c r="N276" s="25">
        <f t="shared" si="4"/>
        <v>0.5</v>
      </c>
      <c r="O276" s="28" t="s">
        <v>774</v>
      </c>
      <c r="P276" s="28" t="s">
        <v>280</v>
      </c>
      <c r="Q276" s="28" t="s">
        <v>419</v>
      </c>
      <c r="R276" s="28" t="s">
        <v>1026</v>
      </c>
      <c r="S276" s="28" t="s">
        <v>2083</v>
      </c>
      <c r="T276" s="28" t="s">
        <v>2093</v>
      </c>
      <c r="U276" s="28"/>
      <c r="V276" s="28" t="s">
        <v>2086</v>
      </c>
    </row>
    <row r="277" spans="1:22" ht="34.5" customHeight="1" x14ac:dyDescent="0.25">
      <c r="A277" s="26">
        <v>25</v>
      </c>
      <c r="B277" s="27" t="s">
        <v>2076</v>
      </c>
      <c r="C277" s="28" t="s">
        <v>2077</v>
      </c>
      <c r="D277" s="28" t="s">
        <v>2078</v>
      </c>
      <c r="E277" s="28" t="s">
        <v>2110</v>
      </c>
      <c r="F277" s="28" t="s">
        <v>127</v>
      </c>
      <c r="G277" s="28" t="s">
        <v>2111</v>
      </c>
      <c r="H277" s="28" t="s">
        <v>2112</v>
      </c>
      <c r="I277" s="28" t="s">
        <v>2113</v>
      </c>
      <c r="J277" s="28" t="s">
        <v>116</v>
      </c>
      <c r="K277" s="28" t="s">
        <v>2114</v>
      </c>
      <c r="L277" s="28">
        <v>1</v>
      </c>
      <c r="M277" s="28">
        <v>0.5</v>
      </c>
      <c r="N277" s="25">
        <f t="shared" si="4"/>
        <v>0.5</v>
      </c>
      <c r="O277" s="28" t="s">
        <v>774</v>
      </c>
      <c r="P277" s="28" t="s">
        <v>280</v>
      </c>
      <c r="Q277" s="28" t="s">
        <v>419</v>
      </c>
      <c r="R277" s="28" t="s">
        <v>1026</v>
      </c>
      <c r="S277" s="28" t="s">
        <v>2083</v>
      </c>
      <c r="T277" s="28" t="s">
        <v>2093</v>
      </c>
      <c r="U277" s="28"/>
      <c r="V277" s="28" t="s">
        <v>2086</v>
      </c>
    </row>
    <row r="278" spans="1:22" ht="34.5" customHeight="1" x14ac:dyDescent="0.25">
      <c r="A278" s="26">
        <v>25</v>
      </c>
      <c r="B278" s="27" t="s">
        <v>2076</v>
      </c>
      <c r="C278" s="28" t="s">
        <v>2077</v>
      </c>
      <c r="D278" s="28" t="s">
        <v>2078</v>
      </c>
      <c r="E278" s="28" t="s">
        <v>2115</v>
      </c>
      <c r="F278" s="28" t="s">
        <v>134</v>
      </c>
      <c r="G278" s="28" t="s">
        <v>2116</v>
      </c>
      <c r="H278" s="28" t="s">
        <v>2117</v>
      </c>
      <c r="I278" s="28" t="s">
        <v>2118</v>
      </c>
      <c r="J278" s="28" t="s">
        <v>116</v>
      </c>
      <c r="K278" s="28" t="s">
        <v>2119</v>
      </c>
      <c r="L278" s="28">
        <v>1</v>
      </c>
      <c r="M278" s="28">
        <v>0.5</v>
      </c>
      <c r="N278" s="25">
        <f t="shared" si="4"/>
        <v>0.5</v>
      </c>
      <c r="O278" s="28" t="s">
        <v>774</v>
      </c>
      <c r="P278" s="28" t="s">
        <v>280</v>
      </c>
      <c r="Q278" s="28" t="s">
        <v>419</v>
      </c>
      <c r="R278" s="28" t="s">
        <v>1026</v>
      </c>
      <c r="S278" s="28" t="s">
        <v>2083</v>
      </c>
      <c r="T278" s="28" t="s">
        <v>2120</v>
      </c>
      <c r="U278" s="28"/>
      <c r="V278" s="28" t="s">
        <v>2086</v>
      </c>
    </row>
    <row r="279" spans="1:22" ht="34.5" customHeight="1" x14ac:dyDescent="0.25">
      <c r="A279" s="26">
        <v>25</v>
      </c>
      <c r="B279" s="27" t="s">
        <v>2076</v>
      </c>
      <c r="C279" s="28" t="s">
        <v>2077</v>
      </c>
      <c r="D279" s="28" t="s">
        <v>2078</v>
      </c>
      <c r="E279" s="28" t="s">
        <v>2121</v>
      </c>
      <c r="F279" s="28" t="s">
        <v>142</v>
      </c>
      <c r="G279" s="28" t="s">
        <v>2122</v>
      </c>
      <c r="H279" s="28" t="s">
        <v>2123</v>
      </c>
      <c r="I279" s="28" t="s">
        <v>2124</v>
      </c>
      <c r="J279" s="28" t="s">
        <v>116</v>
      </c>
      <c r="K279" s="28" t="s">
        <v>2119</v>
      </c>
      <c r="L279" s="28">
        <v>1</v>
      </c>
      <c r="M279" s="28">
        <v>0.5</v>
      </c>
      <c r="N279" s="25">
        <f t="shared" si="4"/>
        <v>0.5</v>
      </c>
      <c r="O279" s="28" t="s">
        <v>774</v>
      </c>
      <c r="P279" s="28" t="s">
        <v>280</v>
      </c>
      <c r="Q279" s="28" t="s">
        <v>419</v>
      </c>
      <c r="R279" s="28" t="s">
        <v>1026</v>
      </c>
      <c r="S279" s="28" t="s">
        <v>2083</v>
      </c>
      <c r="T279" s="28" t="s">
        <v>2125</v>
      </c>
      <c r="U279" s="28"/>
      <c r="V279" s="28" t="s">
        <v>2086</v>
      </c>
    </row>
    <row r="280" spans="1:22" ht="34.5" customHeight="1" x14ac:dyDescent="0.25">
      <c r="A280" s="26">
        <v>25</v>
      </c>
      <c r="B280" s="27" t="s">
        <v>2076</v>
      </c>
      <c r="C280" s="28" t="s">
        <v>2077</v>
      </c>
      <c r="D280" s="28" t="s">
        <v>2078</v>
      </c>
      <c r="E280" s="28" t="s">
        <v>2058</v>
      </c>
      <c r="F280" s="28" t="s">
        <v>150</v>
      </c>
      <c r="G280" s="28" t="s">
        <v>2126</v>
      </c>
      <c r="H280" s="28" t="s">
        <v>2127</v>
      </c>
      <c r="I280" s="28" t="s">
        <v>2128</v>
      </c>
      <c r="J280" s="28" t="s">
        <v>116</v>
      </c>
      <c r="K280" s="28" t="s">
        <v>2129</v>
      </c>
      <c r="L280" s="28">
        <v>1</v>
      </c>
      <c r="M280" s="28">
        <v>0.5</v>
      </c>
      <c r="N280" s="25">
        <f t="shared" si="4"/>
        <v>0.5</v>
      </c>
      <c r="O280" s="28" t="s">
        <v>774</v>
      </c>
      <c r="P280" s="28" t="s">
        <v>280</v>
      </c>
      <c r="Q280" s="28" t="s">
        <v>484</v>
      </c>
      <c r="R280" s="28" t="s">
        <v>1026</v>
      </c>
      <c r="S280" s="28" t="s">
        <v>2083</v>
      </c>
      <c r="T280" s="28" t="s">
        <v>2084</v>
      </c>
      <c r="U280" s="28"/>
      <c r="V280" s="28" t="s">
        <v>2086</v>
      </c>
    </row>
    <row r="281" spans="1:22" ht="34.5" customHeight="1" x14ac:dyDescent="0.25">
      <c r="A281" s="26">
        <v>25</v>
      </c>
      <c r="B281" s="27" t="s">
        <v>2076</v>
      </c>
      <c r="C281" s="28" t="s">
        <v>2077</v>
      </c>
      <c r="D281" s="28" t="s">
        <v>2078</v>
      </c>
      <c r="E281" s="28" t="s">
        <v>2130</v>
      </c>
      <c r="F281" s="28" t="s">
        <v>157</v>
      </c>
      <c r="G281" s="28" t="s">
        <v>2131</v>
      </c>
      <c r="H281" s="28" t="s">
        <v>2132</v>
      </c>
      <c r="I281" s="28" t="s">
        <v>2133</v>
      </c>
      <c r="J281" s="28" t="s">
        <v>161</v>
      </c>
      <c r="K281" s="28" t="s">
        <v>2134</v>
      </c>
      <c r="L281" s="28">
        <v>2</v>
      </c>
      <c r="M281" s="28">
        <v>1</v>
      </c>
      <c r="N281" s="25">
        <f t="shared" si="4"/>
        <v>1.25</v>
      </c>
      <c r="O281" s="28" t="s">
        <v>1907</v>
      </c>
      <c r="P281" s="28" t="s">
        <v>2135</v>
      </c>
      <c r="Q281" s="28" t="s">
        <v>429</v>
      </c>
      <c r="R281" s="28" t="s">
        <v>1026</v>
      </c>
      <c r="S281" s="28" t="s">
        <v>2083</v>
      </c>
      <c r="T281" s="28" t="s">
        <v>2084</v>
      </c>
      <c r="U281" s="28"/>
      <c r="V281" s="28" t="s">
        <v>2086</v>
      </c>
    </row>
    <row r="282" spans="1:22" ht="34.5" customHeight="1" x14ac:dyDescent="0.25">
      <c r="A282" s="26">
        <v>26</v>
      </c>
      <c r="B282" s="27" t="s">
        <v>2136</v>
      </c>
      <c r="C282" s="28" t="s">
        <v>2137</v>
      </c>
      <c r="D282" s="28" t="s">
        <v>2138</v>
      </c>
      <c r="E282" s="28" t="s">
        <v>2139</v>
      </c>
      <c r="F282" s="28" t="s">
        <v>26</v>
      </c>
      <c r="G282" s="28" t="s">
        <v>2140</v>
      </c>
      <c r="H282" s="28" t="s">
        <v>2141</v>
      </c>
      <c r="I282" s="28" t="s">
        <v>2142</v>
      </c>
      <c r="J282" s="28" t="s">
        <v>30</v>
      </c>
      <c r="K282" s="28"/>
      <c r="L282" s="28">
        <v>3</v>
      </c>
      <c r="M282" s="28">
        <v>1</v>
      </c>
      <c r="N282" s="25">
        <f t="shared" si="4"/>
        <v>1.25</v>
      </c>
      <c r="O282" s="28" t="s">
        <v>1535</v>
      </c>
      <c r="P282" s="28" t="s">
        <v>2143</v>
      </c>
      <c r="Q282" s="28" t="s">
        <v>484</v>
      </c>
      <c r="R282" s="28" t="s">
        <v>1026</v>
      </c>
      <c r="S282" s="28" t="s">
        <v>2144</v>
      </c>
      <c r="T282" s="28" t="s">
        <v>2145</v>
      </c>
      <c r="U282" s="28" t="s">
        <v>2146</v>
      </c>
      <c r="V282" s="28" t="s">
        <v>2147</v>
      </c>
    </row>
    <row r="283" spans="1:22" ht="34.5" customHeight="1" x14ac:dyDescent="0.25">
      <c r="A283" s="26">
        <v>26</v>
      </c>
      <c r="B283" s="27" t="s">
        <v>2136</v>
      </c>
      <c r="C283" s="28" t="s">
        <v>2137</v>
      </c>
      <c r="D283" s="28" t="s">
        <v>2138</v>
      </c>
      <c r="E283" s="28" t="s">
        <v>2148</v>
      </c>
      <c r="F283" s="28" t="s">
        <v>38</v>
      </c>
      <c r="G283" s="28" t="s">
        <v>2149</v>
      </c>
      <c r="H283" s="28" t="s">
        <v>2150</v>
      </c>
      <c r="I283" s="28" t="s">
        <v>2151</v>
      </c>
      <c r="J283" s="28" t="s">
        <v>30</v>
      </c>
      <c r="K283" s="28" t="s">
        <v>2152</v>
      </c>
      <c r="L283" s="28">
        <v>3</v>
      </c>
      <c r="M283" s="28">
        <v>1</v>
      </c>
      <c r="N283" s="25">
        <f t="shared" si="4"/>
        <v>1.25</v>
      </c>
      <c r="O283" s="28" t="s">
        <v>1535</v>
      </c>
      <c r="P283" s="28" t="s">
        <v>2153</v>
      </c>
      <c r="Q283" s="28" t="s">
        <v>429</v>
      </c>
      <c r="R283" s="28" t="s">
        <v>1026</v>
      </c>
      <c r="S283" s="28" t="s">
        <v>2144</v>
      </c>
      <c r="T283" s="28" t="s">
        <v>2154</v>
      </c>
      <c r="U283" s="28" t="s">
        <v>2155</v>
      </c>
      <c r="V283" s="28" t="s">
        <v>2147</v>
      </c>
    </row>
    <row r="284" spans="1:22" ht="34.5" customHeight="1" x14ac:dyDescent="0.25">
      <c r="A284" s="26">
        <v>26</v>
      </c>
      <c r="B284" s="27" t="s">
        <v>2136</v>
      </c>
      <c r="C284" s="28" t="s">
        <v>2137</v>
      </c>
      <c r="D284" s="28" t="s">
        <v>2138</v>
      </c>
      <c r="E284" s="28" t="s">
        <v>2156</v>
      </c>
      <c r="F284" s="28" t="s">
        <v>46</v>
      </c>
      <c r="G284" s="28" t="s">
        <v>2157</v>
      </c>
      <c r="H284" s="28" t="s">
        <v>2158</v>
      </c>
      <c r="I284" s="28" t="s">
        <v>2159</v>
      </c>
      <c r="J284" s="28" t="s">
        <v>30</v>
      </c>
      <c r="K284" s="28" t="s">
        <v>2160</v>
      </c>
      <c r="L284" s="28">
        <v>3</v>
      </c>
      <c r="M284" s="28">
        <v>1</v>
      </c>
      <c r="N284" s="25">
        <f t="shared" si="4"/>
        <v>1.25</v>
      </c>
      <c r="O284" s="28" t="s">
        <v>1535</v>
      </c>
      <c r="P284" s="28" t="s">
        <v>2161</v>
      </c>
      <c r="Q284" s="28" t="s">
        <v>484</v>
      </c>
      <c r="R284" s="28" t="s">
        <v>1026</v>
      </c>
      <c r="S284" s="28" t="s">
        <v>2162</v>
      </c>
      <c r="T284" s="28" t="s">
        <v>2163</v>
      </c>
      <c r="U284" s="28" t="s">
        <v>2164</v>
      </c>
      <c r="V284" s="28" t="s">
        <v>2147</v>
      </c>
    </row>
    <row r="285" spans="1:22" ht="34.5" customHeight="1" x14ac:dyDescent="0.25">
      <c r="A285" s="26">
        <v>26</v>
      </c>
      <c r="B285" s="27" t="s">
        <v>2136</v>
      </c>
      <c r="C285" s="28" t="s">
        <v>2137</v>
      </c>
      <c r="D285" s="28" t="s">
        <v>2138</v>
      </c>
      <c r="E285" s="28" t="s">
        <v>2165</v>
      </c>
      <c r="F285" s="28" t="s">
        <v>53</v>
      </c>
      <c r="G285" s="28" t="s">
        <v>2166</v>
      </c>
      <c r="H285" s="28" t="s">
        <v>2167</v>
      </c>
      <c r="I285" s="28" t="s">
        <v>2168</v>
      </c>
      <c r="J285" s="28" t="s">
        <v>30</v>
      </c>
      <c r="K285" s="28" t="s">
        <v>2160</v>
      </c>
      <c r="L285" s="28">
        <v>2</v>
      </c>
      <c r="M285" s="28">
        <v>0.75</v>
      </c>
      <c r="N285" s="25">
        <f t="shared" si="4"/>
        <v>1</v>
      </c>
      <c r="O285" s="28" t="s">
        <v>1535</v>
      </c>
      <c r="P285" s="28" t="s">
        <v>2169</v>
      </c>
      <c r="Q285" s="28" t="s">
        <v>419</v>
      </c>
      <c r="R285" s="28" t="s">
        <v>2170</v>
      </c>
      <c r="S285" s="28" t="s">
        <v>2144</v>
      </c>
      <c r="T285" s="28" t="s">
        <v>2171</v>
      </c>
      <c r="U285" s="28" t="s">
        <v>2172</v>
      </c>
      <c r="V285" s="28" t="s">
        <v>2147</v>
      </c>
    </row>
    <row r="286" spans="1:22" ht="34.5" customHeight="1" x14ac:dyDescent="0.25">
      <c r="A286" s="26">
        <v>26</v>
      </c>
      <c r="B286" s="27" t="s">
        <v>2136</v>
      </c>
      <c r="C286" s="28" t="s">
        <v>2137</v>
      </c>
      <c r="D286" s="28" t="s">
        <v>2138</v>
      </c>
      <c r="E286" s="28" t="s">
        <v>2173</v>
      </c>
      <c r="F286" s="28" t="s">
        <v>112</v>
      </c>
      <c r="G286" s="28" t="s">
        <v>2174</v>
      </c>
      <c r="H286" s="28" t="s">
        <v>2175</v>
      </c>
      <c r="I286" s="28" t="s">
        <v>2176</v>
      </c>
      <c r="J286" s="28" t="s">
        <v>116</v>
      </c>
      <c r="K286" s="28"/>
      <c r="L286" s="28">
        <v>2</v>
      </c>
      <c r="M286" s="28">
        <v>1</v>
      </c>
      <c r="N286" s="25">
        <f t="shared" si="4"/>
        <v>1.25</v>
      </c>
      <c r="O286" s="28" t="s">
        <v>774</v>
      </c>
      <c r="P286" s="28" t="s">
        <v>280</v>
      </c>
      <c r="Q286" s="28" t="s">
        <v>419</v>
      </c>
      <c r="R286" s="28" t="s">
        <v>1026</v>
      </c>
      <c r="S286" s="28" t="s">
        <v>2144</v>
      </c>
      <c r="T286" s="28" t="s">
        <v>2177</v>
      </c>
      <c r="U286" s="28"/>
      <c r="V286" s="28" t="s">
        <v>2147</v>
      </c>
    </row>
    <row r="287" spans="1:22" ht="34.5" customHeight="1" x14ac:dyDescent="0.25">
      <c r="A287" s="26">
        <v>26</v>
      </c>
      <c r="B287" s="27" t="s">
        <v>2136</v>
      </c>
      <c r="C287" s="28" t="s">
        <v>2137</v>
      </c>
      <c r="D287" s="28" t="s">
        <v>2138</v>
      </c>
      <c r="E287" s="28" t="s">
        <v>2178</v>
      </c>
      <c r="F287" s="28" t="s">
        <v>120</v>
      </c>
      <c r="G287" s="28" t="s">
        <v>2179</v>
      </c>
      <c r="H287" s="28" t="s">
        <v>2180</v>
      </c>
      <c r="I287" s="28" t="s">
        <v>2181</v>
      </c>
      <c r="J287" s="28" t="s">
        <v>116</v>
      </c>
      <c r="K287" s="28" t="s">
        <v>2182</v>
      </c>
      <c r="L287" s="28">
        <v>1</v>
      </c>
      <c r="M287" s="28">
        <v>0.5</v>
      </c>
      <c r="N287" s="25">
        <f t="shared" si="4"/>
        <v>0.5</v>
      </c>
      <c r="O287" s="28" t="s">
        <v>774</v>
      </c>
      <c r="P287" s="28" t="s">
        <v>280</v>
      </c>
      <c r="Q287" s="28" t="s">
        <v>419</v>
      </c>
      <c r="R287" s="28" t="s">
        <v>1026</v>
      </c>
      <c r="S287" s="28" t="s">
        <v>2144</v>
      </c>
      <c r="T287" s="28" t="s">
        <v>2183</v>
      </c>
      <c r="U287" s="28"/>
      <c r="V287" s="28" t="s">
        <v>2147</v>
      </c>
    </row>
    <row r="288" spans="1:22" ht="34.5" customHeight="1" x14ac:dyDescent="0.25">
      <c r="A288" s="26">
        <v>26</v>
      </c>
      <c r="B288" s="27" t="s">
        <v>2136</v>
      </c>
      <c r="C288" s="28" t="s">
        <v>2137</v>
      </c>
      <c r="D288" s="28" t="s">
        <v>2138</v>
      </c>
      <c r="E288" s="28" t="s">
        <v>2184</v>
      </c>
      <c r="F288" s="28" t="s">
        <v>127</v>
      </c>
      <c r="G288" s="28" t="s">
        <v>2185</v>
      </c>
      <c r="H288" s="28" t="s">
        <v>2186</v>
      </c>
      <c r="I288" s="28" t="s">
        <v>2187</v>
      </c>
      <c r="J288" s="28" t="s">
        <v>116</v>
      </c>
      <c r="K288" s="28" t="s">
        <v>2188</v>
      </c>
      <c r="L288" s="28">
        <v>1</v>
      </c>
      <c r="M288" s="28">
        <v>0.5</v>
      </c>
      <c r="N288" s="25">
        <f t="shared" si="4"/>
        <v>0.5</v>
      </c>
      <c r="O288" s="28" t="s">
        <v>774</v>
      </c>
      <c r="P288" s="28" t="s">
        <v>280</v>
      </c>
      <c r="Q288" s="28" t="s">
        <v>419</v>
      </c>
      <c r="R288" s="28" t="s">
        <v>1026</v>
      </c>
      <c r="S288" s="28" t="s">
        <v>2144</v>
      </c>
      <c r="T288" s="28" t="s">
        <v>2189</v>
      </c>
      <c r="U288" s="28"/>
      <c r="V288" s="28" t="s">
        <v>2147</v>
      </c>
    </row>
    <row r="289" spans="1:22" ht="34.5" customHeight="1" x14ac:dyDescent="0.25">
      <c r="A289" s="26">
        <v>26</v>
      </c>
      <c r="B289" s="27" t="s">
        <v>2136</v>
      </c>
      <c r="C289" s="28" t="s">
        <v>2137</v>
      </c>
      <c r="D289" s="28" t="s">
        <v>2138</v>
      </c>
      <c r="E289" s="28" t="s">
        <v>2190</v>
      </c>
      <c r="F289" s="28" t="s">
        <v>134</v>
      </c>
      <c r="G289" s="28" t="s">
        <v>2191</v>
      </c>
      <c r="H289" s="28" t="s">
        <v>2192</v>
      </c>
      <c r="I289" s="28" t="s">
        <v>2193</v>
      </c>
      <c r="J289" s="28" t="s">
        <v>116</v>
      </c>
      <c r="K289" s="28" t="s">
        <v>2188</v>
      </c>
      <c r="L289" s="28">
        <v>1</v>
      </c>
      <c r="M289" s="28">
        <v>0.5</v>
      </c>
      <c r="N289" s="25">
        <f t="shared" si="4"/>
        <v>0.5</v>
      </c>
      <c r="O289" s="28" t="s">
        <v>774</v>
      </c>
      <c r="P289" s="28" t="s">
        <v>280</v>
      </c>
      <c r="Q289" s="28" t="s">
        <v>419</v>
      </c>
      <c r="R289" s="28" t="s">
        <v>1026</v>
      </c>
      <c r="S289" s="28" t="s">
        <v>2144</v>
      </c>
      <c r="T289" s="28" t="s">
        <v>2194</v>
      </c>
      <c r="U289" s="28"/>
      <c r="V289" s="28" t="s">
        <v>2147</v>
      </c>
    </row>
    <row r="290" spans="1:22" ht="34.5" customHeight="1" x14ac:dyDescent="0.25">
      <c r="A290" s="26">
        <v>26</v>
      </c>
      <c r="B290" s="27" t="s">
        <v>2136</v>
      </c>
      <c r="C290" s="28" t="s">
        <v>2137</v>
      </c>
      <c r="D290" s="28" t="s">
        <v>2138</v>
      </c>
      <c r="E290" s="28" t="s">
        <v>2195</v>
      </c>
      <c r="F290" s="28" t="s">
        <v>142</v>
      </c>
      <c r="G290" s="28" t="s">
        <v>2196</v>
      </c>
      <c r="H290" s="28" t="s">
        <v>2197</v>
      </c>
      <c r="I290" s="28" t="s">
        <v>2198</v>
      </c>
      <c r="J290" s="28" t="s">
        <v>116</v>
      </c>
      <c r="K290" s="28" t="s">
        <v>2188</v>
      </c>
      <c r="L290" s="28">
        <v>1</v>
      </c>
      <c r="M290" s="28">
        <v>0.5</v>
      </c>
      <c r="N290" s="25">
        <f t="shared" si="4"/>
        <v>0.5</v>
      </c>
      <c r="O290" s="28" t="s">
        <v>774</v>
      </c>
      <c r="P290" s="28" t="s">
        <v>280</v>
      </c>
      <c r="Q290" s="28" t="s">
        <v>419</v>
      </c>
      <c r="R290" s="28" t="s">
        <v>1026</v>
      </c>
      <c r="S290" s="28" t="s">
        <v>2144</v>
      </c>
      <c r="T290" s="28" t="s">
        <v>2199</v>
      </c>
      <c r="U290" s="28"/>
      <c r="V290" s="28" t="s">
        <v>2147</v>
      </c>
    </row>
    <row r="291" spans="1:22" ht="34.5" customHeight="1" x14ac:dyDescent="0.25">
      <c r="A291" s="26">
        <v>26</v>
      </c>
      <c r="B291" s="27" t="s">
        <v>2136</v>
      </c>
      <c r="C291" s="28" t="s">
        <v>2137</v>
      </c>
      <c r="D291" s="28" t="s">
        <v>2138</v>
      </c>
      <c r="E291" s="28" t="s">
        <v>2200</v>
      </c>
      <c r="F291" s="28" t="s">
        <v>150</v>
      </c>
      <c r="G291" s="28" t="s">
        <v>2201</v>
      </c>
      <c r="H291" s="28" t="s">
        <v>2202</v>
      </c>
      <c r="I291" s="28" t="s">
        <v>2203</v>
      </c>
      <c r="J291" s="28" t="s">
        <v>116</v>
      </c>
      <c r="K291" s="28" t="s">
        <v>2188</v>
      </c>
      <c r="L291" s="28">
        <v>1</v>
      </c>
      <c r="M291" s="28">
        <v>0.5</v>
      </c>
      <c r="N291" s="25">
        <f t="shared" si="4"/>
        <v>0.5</v>
      </c>
      <c r="O291" s="28" t="s">
        <v>774</v>
      </c>
      <c r="P291" s="28" t="s">
        <v>280</v>
      </c>
      <c r="Q291" s="28" t="s">
        <v>419</v>
      </c>
      <c r="R291" s="28" t="s">
        <v>1026</v>
      </c>
      <c r="S291" s="28" t="s">
        <v>2144</v>
      </c>
      <c r="T291" s="28" t="s">
        <v>2204</v>
      </c>
      <c r="U291" s="28"/>
      <c r="V291" s="28" t="s">
        <v>2147</v>
      </c>
    </row>
    <row r="292" spans="1:22" ht="34.5" customHeight="1" x14ac:dyDescent="0.25">
      <c r="A292" s="26">
        <v>26</v>
      </c>
      <c r="B292" s="27" t="s">
        <v>2136</v>
      </c>
      <c r="C292" s="28" t="s">
        <v>2137</v>
      </c>
      <c r="D292" s="28" t="s">
        <v>2138</v>
      </c>
      <c r="E292" s="28" t="s">
        <v>2205</v>
      </c>
      <c r="F292" s="28" t="s">
        <v>478</v>
      </c>
      <c r="G292" s="28" t="s">
        <v>2206</v>
      </c>
      <c r="H292" s="28" t="s">
        <v>2207</v>
      </c>
      <c r="I292" s="28" t="s">
        <v>2208</v>
      </c>
      <c r="J292" s="28" t="s">
        <v>116</v>
      </c>
      <c r="K292" s="28" t="s">
        <v>2209</v>
      </c>
      <c r="L292" s="28">
        <v>2</v>
      </c>
      <c r="M292" s="28">
        <v>0.75</v>
      </c>
      <c r="N292" s="25">
        <f t="shared" si="4"/>
        <v>1</v>
      </c>
      <c r="O292" s="28" t="s">
        <v>774</v>
      </c>
      <c r="P292" s="28" t="s">
        <v>280</v>
      </c>
      <c r="Q292" s="28" t="s">
        <v>419</v>
      </c>
      <c r="R292" s="28" t="s">
        <v>2170</v>
      </c>
      <c r="S292" s="28" t="s">
        <v>2144</v>
      </c>
      <c r="T292" s="28" t="s">
        <v>2171</v>
      </c>
      <c r="U292" s="28"/>
      <c r="V292" s="28" t="s">
        <v>2147</v>
      </c>
    </row>
    <row r="293" spans="1:22" ht="34.5" customHeight="1" x14ac:dyDescent="0.25">
      <c r="A293" s="26">
        <v>26</v>
      </c>
      <c r="B293" s="27" t="s">
        <v>2136</v>
      </c>
      <c r="C293" s="28" t="s">
        <v>2137</v>
      </c>
      <c r="D293" s="28" t="s">
        <v>2138</v>
      </c>
      <c r="E293" s="28" t="s">
        <v>2058</v>
      </c>
      <c r="F293" s="28" t="s">
        <v>487</v>
      </c>
      <c r="G293" s="28" t="s">
        <v>2210</v>
      </c>
      <c r="H293" s="28" t="s">
        <v>2211</v>
      </c>
      <c r="I293" s="28" t="s">
        <v>2212</v>
      </c>
      <c r="J293" s="28" t="s">
        <v>116</v>
      </c>
      <c r="K293" s="28" t="s">
        <v>2160</v>
      </c>
      <c r="L293" s="28">
        <v>1</v>
      </c>
      <c r="M293" s="28">
        <v>0.5</v>
      </c>
      <c r="N293" s="25">
        <f t="shared" si="4"/>
        <v>0.5</v>
      </c>
      <c r="O293" s="28" t="s">
        <v>774</v>
      </c>
      <c r="P293" s="28" t="s">
        <v>280</v>
      </c>
      <c r="Q293" s="28" t="s">
        <v>484</v>
      </c>
      <c r="R293" s="28" t="s">
        <v>1026</v>
      </c>
      <c r="S293" s="28" t="s">
        <v>2144</v>
      </c>
      <c r="T293" s="28" t="s">
        <v>2154</v>
      </c>
      <c r="U293" s="28"/>
      <c r="V293" s="28" t="s">
        <v>2147</v>
      </c>
    </row>
    <row r="294" spans="1:22" ht="34.5" customHeight="1" x14ac:dyDescent="0.25">
      <c r="A294" s="26">
        <v>26</v>
      </c>
      <c r="B294" s="27" t="s">
        <v>2136</v>
      </c>
      <c r="C294" s="28" t="s">
        <v>2137</v>
      </c>
      <c r="D294" s="28" t="s">
        <v>2138</v>
      </c>
      <c r="E294" s="28" t="s">
        <v>2213</v>
      </c>
      <c r="F294" s="28" t="s">
        <v>157</v>
      </c>
      <c r="G294" s="28" t="s">
        <v>2214</v>
      </c>
      <c r="H294" s="28" t="s">
        <v>2215</v>
      </c>
      <c r="I294" s="28" t="s">
        <v>2216</v>
      </c>
      <c r="J294" s="28" t="s">
        <v>161</v>
      </c>
      <c r="K294" s="28" t="s">
        <v>2217</v>
      </c>
      <c r="L294" s="28">
        <v>3</v>
      </c>
      <c r="M294" s="28">
        <v>1</v>
      </c>
      <c r="N294" s="25">
        <f t="shared" si="4"/>
        <v>1.25</v>
      </c>
      <c r="O294" s="28" t="s">
        <v>1907</v>
      </c>
      <c r="P294" s="28" t="s">
        <v>2135</v>
      </c>
      <c r="Q294" s="28" t="s">
        <v>429</v>
      </c>
      <c r="R294" s="28" t="s">
        <v>2218</v>
      </c>
      <c r="S294" s="28" t="s">
        <v>2219</v>
      </c>
      <c r="T294" s="28" t="s">
        <v>2220</v>
      </c>
      <c r="U294" s="28"/>
      <c r="V294" s="28" t="s">
        <v>2147</v>
      </c>
    </row>
    <row r="295" spans="1:22" ht="34.5" customHeight="1" x14ac:dyDescent="0.25">
      <c r="A295" s="26">
        <v>27</v>
      </c>
      <c r="B295" s="27" t="s">
        <v>2221</v>
      </c>
      <c r="C295" s="28" t="s">
        <v>2222</v>
      </c>
      <c r="D295" s="28" t="s">
        <v>2223</v>
      </c>
      <c r="E295" s="28" t="s">
        <v>2224</v>
      </c>
      <c r="F295" s="28" t="s">
        <v>26</v>
      </c>
      <c r="G295" s="28" t="s">
        <v>2225</v>
      </c>
      <c r="H295" s="28" t="s">
        <v>2226</v>
      </c>
      <c r="I295" s="28" t="s">
        <v>2227</v>
      </c>
      <c r="J295" s="28" t="s">
        <v>30</v>
      </c>
      <c r="K295" s="28"/>
      <c r="L295" s="28">
        <v>3</v>
      </c>
      <c r="M295" s="28">
        <v>1</v>
      </c>
      <c r="N295" s="25">
        <f t="shared" si="4"/>
        <v>1.25</v>
      </c>
      <c r="O295" s="28" t="s">
        <v>1535</v>
      </c>
      <c r="P295" s="28" t="s">
        <v>2143</v>
      </c>
      <c r="Q295" s="28" t="s">
        <v>484</v>
      </c>
      <c r="R295" s="28" t="s">
        <v>1026</v>
      </c>
      <c r="S295" s="28" t="s">
        <v>2228</v>
      </c>
      <c r="T295" s="28" t="s">
        <v>2229</v>
      </c>
      <c r="U295" s="28" t="s">
        <v>2230</v>
      </c>
      <c r="V295" s="28" t="s">
        <v>2231</v>
      </c>
    </row>
    <row r="296" spans="1:22" ht="34.5" customHeight="1" x14ac:dyDescent="0.25">
      <c r="A296" s="26">
        <v>27</v>
      </c>
      <c r="B296" s="27" t="s">
        <v>2221</v>
      </c>
      <c r="C296" s="28" t="s">
        <v>2222</v>
      </c>
      <c r="D296" s="28" t="s">
        <v>2223</v>
      </c>
      <c r="E296" s="28" t="s">
        <v>2232</v>
      </c>
      <c r="F296" s="28" t="s">
        <v>38</v>
      </c>
      <c r="G296" s="28" t="s">
        <v>2233</v>
      </c>
      <c r="H296" s="28" t="s">
        <v>2234</v>
      </c>
      <c r="I296" s="28" t="s">
        <v>2235</v>
      </c>
      <c r="J296" s="28" t="s">
        <v>30</v>
      </c>
      <c r="K296" s="28" t="s">
        <v>2236</v>
      </c>
      <c r="L296" s="28">
        <v>3</v>
      </c>
      <c r="M296" s="28">
        <v>1</v>
      </c>
      <c r="N296" s="25">
        <f t="shared" si="4"/>
        <v>1.25</v>
      </c>
      <c r="O296" s="28" t="s">
        <v>1535</v>
      </c>
      <c r="P296" s="28" t="s">
        <v>2237</v>
      </c>
      <c r="Q296" s="28" t="s">
        <v>429</v>
      </c>
      <c r="R296" s="28" t="s">
        <v>1026</v>
      </c>
      <c r="S296" s="28" t="s">
        <v>2228</v>
      </c>
      <c r="T296" s="28" t="s">
        <v>2238</v>
      </c>
      <c r="U296" s="28" t="s">
        <v>2239</v>
      </c>
      <c r="V296" s="28" t="s">
        <v>2231</v>
      </c>
    </row>
    <row r="297" spans="1:22" ht="34.5" customHeight="1" x14ac:dyDescent="0.25">
      <c r="A297" s="26">
        <v>27</v>
      </c>
      <c r="B297" s="27" t="s">
        <v>2221</v>
      </c>
      <c r="C297" s="28" t="s">
        <v>2222</v>
      </c>
      <c r="D297" s="28" t="s">
        <v>2223</v>
      </c>
      <c r="E297" s="28" t="s">
        <v>2240</v>
      </c>
      <c r="F297" s="28" t="s">
        <v>46</v>
      </c>
      <c r="G297" s="28" t="s">
        <v>2241</v>
      </c>
      <c r="H297" s="28" t="s">
        <v>2242</v>
      </c>
      <c r="I297" s="28" t="s">
        <v>2243</v>
      </c>
      <c r="J297" s="28" t="s">
        <v>30</v>
      </c>
      <c r="K297" s="28" t="s">
        <v>2244</v>
      </c>
      <c r="L297" s="28">
        <v>2</v>
      </c>
      <c r="M297" s="28">
        <v>0.75</v>
      </c>
      <c r="N297" s="25">
        <f t="shared" si="4"/>
        <v>1</v>
      </c>
      <c r="O297" s="28" t="s">
        <v>1535</v>
      </c>
      <c r="P297" s="28" t="s">
        <v>2245</v>
      </c>
      <c r="Q297" s="28" t="s">
        <v>419</v>
      </c>
      <c r="R297" s="28" t="s">
        <v>2246</v>
      </c>
      <c r="S297" s="28" t="s">
        <v>2228</v>
      </c>
      <c r="T297" s="28" t="s">
        <v>2238</v>
      </c>
      <c r="U297" s="28" t="s">
        <v>2247</v>
      </c>
      <c r="V297" s="28" t="s">
        <v>2231</v>
      </c>
    </row>
    <row r="298" spans="1:22" ht="34.5" customHeight="1" x14ac:dyDescent="0.25">
      <c r="A298" s="26">
        <v>27</v>
      </c>
      <c r="B298" s="27" t="s">
        <v>2221</v>
      </c>
      <c r="C298" s="28" t="s">
        <v>2222</v>
      </c>
      <c r="D298" s="28" t="s">
        <v>2223</v>
      </c>
      <c r="E298" s="28" t="s">
        <v>2248</v>
      </c>
      <c r="F298" s="28" t="s">
        <v>112</v>
      </c>
      <c r="G298" s="28" t="s">
        <v>2249</v>
      </c>
      <c r="H298" s="28" t="s">
        <v>2250</v>
      </c>
      <c r="I298" s="28" t="s">
        <v>2251</v>
      </c>
      <c r="J298" s="28" t="s">
        <v>116</v>
      </c>
      <c r="K298" s="28"/>
      <c r="L298" s="28">
        <v>2</v>
      </c>
      <c r="M298" s="28">
        <v>1</v>
      </c>
      <c r="N298" s="25">
        <f t="shared" si="4"/>
        <v>1.25</v>
      </c>
      <c r="O298" s="28" t="s">
        <v>774</v>
      </c>
      <c r="P298" s="28" t="s">
        <v>280</v>
      </c>
      <c r="Q298" s="28" t="s">
        <v>419</v>
      </c>
      <c r="R298" s="28" t="s">
        <v>1026</v>
      </c>
      <c r="S298" s="28" t="s">
        <v>2228</v>
      </c>
      <c r="T298" s="28" t="s">
        <v>2238</v>
      </c>
      <c r="U298" s="28"/>
      <c r="V298" s="28" t="s">
        <v>2231</v>
      </c>
    </row>
    <row r="299" spans="1:22" ht="34.5" customHeight="1" x14ac:dyDescent="0.25">
      <c r="A299" s="26">
        <v>27</v>
      </c>
      <c r="B299" s="27" t="s">
        <v>2221</v>
      </c>
      <c r="C299" s="28" t="s">
        <v>2222</v>
      </c>
      <c r="D299" s="28" t="s">
        <v>2223</v>
      </c>
      <c r="E299" s="28" t="s">
        <v>2252</v>
      </c>
      <c r="F299" s="28" t="s">
        <v>120</v>
      </c>
      <c r="G299" s="28" t="s">
        <v>2253</v>
      </c>
      <c r="H299" s="28" t="s">
        <v>2254</v>
      </c>
      <c r="I299" s="28" t="s">
        <v>2255</v>
      </c>
      <c r="J299" s="28" t="s">
        <v>116</v>
      </c>
      <c r="K299" s="28" t="s">
        <v>2256</v>
      </c>
      <c r="L299" s="28">
        <v>1</v>
      </c>
      <c r="M299" s="28">
        <v>0.5</v>
      </c>
      <c r="N299" s="25">
        <f t="shared" si="4"/>
        <v>0.5</v>
      </c>
      <c r="O299" s="28" t="s">
        <v>774</v>
      </c>
      <c r="P299" s="28" t="s">
        <v>280</v>
      </c>
      <c r="Q299" s="28" t="s">
        <v>419</v>
      </c>
      <c r="R299" s="28" t="s">
        <v>1026</v>
      </c>
      <c r="S299" s="28" t="s">
        <v>2228</v>
      </c>
      <c r="T299" s="28" t="s">
        <v>2257</v>
      </c>
      <c r="U299" s="28"/>
      <c r="V299" s="28" t="s">
        <v>2231</v>
      </c>
    </row>
    <row r="300" spans="1:22" ht="34.5" customHeight="1" x14ac:dyDescent="0.25">
      <c r="A300" s="26">
        <v>27</v>
      </c>
      <c r="B300" s="27" t="s">
        <v>2221</v>
      </c>
      <c r="C300" s="28" t="s">
        <v>2222</v>
      </c>
      <c r="D300" s="28" t="s">
        <v>2223</v>
      </c>
      <c r="E300" s="28" t="s">
        <v>2258</v>
      </c>
      <c r="F300" s="28" t="s">
        <v>127</v>
      </c>
      <c r="G300" s="28" t="s">
        <v>2259</v>
      </c>
      <c r="H300" s="28" t="s">
        <v>2260</v>
      </c>
      <c r="I300" s="28" t="s">
        <v>2261</v>
      </c>
      <c r="J300" s="28" t="s">
        <v>116</v>
      </c>
      <c r="K300" s="28" t="s">
        <v>2256</v>
      </c>
      <c r="L300" s="28">
        <v>1</v>
      </c>
      <c r="M300" s="28">
        <v>0.5</v>
      </c>
      <c r="N300" s="25">
        <f t="shared" si="4"/>
        <v>0.5</v>
      </c>
      <c r="O300" s="28" t="s">
        <v>774</v>
      </c>
      <c r="P300" s="28" t="s">
        <v>280</v>
      </c>
      <c r="Q300" s="28" t="s">
        <v>419</v>
      </c>
      <c r="R300" s="28" t="s">
        <v>1026</v>
      </c>
      <c r="S300" s="28" t="s">
        <v>2228</v>
      </c>
      <c r="T300" s="28" t="s">
        <v>2262</v>
      </c>
      <c r="U300" s="28"/>
      <c r="V300" s="28" t="s">
        <v>2231</v>
      </c>
    </row>
    <row r="301" spans="1:22" ht="34.5" customHeight="1" x14ac:dyDescent="0.25">
      <c r="A301" s="26">
        <v>27</v>
      </c>
      <c r="B301" s="27" t="s">
        <v>2221</v>
      </c>
      <c r="C301" s="28" t="s">
        <v>2222</v>
      </c>
      <c r="D301" s="28" t="s">
        <v>2223</v>
      </c>
      <c r="E301" s="28" t="s">
        <v>2263</v>
      </c>
      <c r="F301" s="28" t="s">
        <v>134</v>
      </c>
      <c r="G301" s="28" t="s">
        <v>2264</v>
      </c>
      <c r="H301" s="28" t="s">
        <v>2265</v>
      </c>
      <c r="I301" s="28" t="s">
        <v>2266</v>
      </c>
      <c r="J301" s="28" t="s">
        <v>116</v>
      </c>
      <c r="K301" s="28" t="s">
        <v>2267</v>
      </c>
      <c r="L301" s="28">
        <v>1</v>
      </c>
      <c r="M301" s="28">
        <v>0.5</v>
      </c>
      <c r="N301" s="25">
        <f t="shared" si="4"/>
        <v>0.5</v>
      </c>
      <c r="O301" s="28" t="s">
        <v>774</v>
      </c>
      <c r="P301" s="28" t="s">
        <v>280</v>
      </c>
      <c r="Q301" s="28" t="s">
        <v>419</v>
      </c>
      <c r="R301" s="28" t="s">
        <v>1026</v>
      </c>
      <c r="S301" s="28" t="s">
        <v>2228</v>
      </c>
      <c r="T301" s="28" t="s">
        <v>2268</v>
      </c>
      <c r="U301" s="28"/>
      <c r="V301" s="28" t="s">
        <v>2231</v>
      </c>
    </row>
    <row r="302" spans="1:22" ht="34.5" customHeight="1" x14ac:dyDescent="0.25">
      <c r="A302" s="26">
        <v>27</v>
      </c>
      <c r="B302" s="27" t="s">
        <v>2221</v>
      </c>
      <c r="C302" s="28" t="s">
        <v>2222</v>
      </c>
      <c r="D302" s="28" t="s">
        <v>2223</v>
      </c>
      <c r="E302" s="28" t="s">
        <v>2269</v>
      </c>
      <c r="F302" s="28" t="s">
        <v>142</v>
      </c>
      <c r="G302" s="28" t="s">
        <v>2270</v>
      </c>
      <c r="H302" s="28" t="s">
        <v>2271</v>
      </c>
      <c r="I302" s="28" t="s">
        <v>2272</v>
      </c>
      <c r="J302" s="28" t="s">
        <v>116</v>
      </c>
      <c r="K302" s="28" t="s">
        <v>2256</v>
      </c>
      <c r="L302" s="28">
        <v>1</v>
      </c>
      <c r="M302" s="28">
        <v>0.5</v>
      </c>
      <c r="N302" s="25">
        <f t="shared" si="4"/>
        <v>0.5</v>
      </c>
      <c r="O302" s="28" t="s">
        <v>774</v>
      </c>
      <c r="P302" s="28" t="s">
        <v>280</v>
      </c>
      <c r="Q302" s="28" t="s">
        <v>419</v>
      </c>
      <c r="R302" s="28" t="s">
        <v>1026</v>
      </c>
      <c r="S302" s="28" t="s">
        <v>2228</v>
      </c>
      <c r="T302" s="28" t="s">
        <v>2273</v>
      </c>
      <c r="U302" s="28"/>
      <c r="V302" s="28" t="s">
        <v>2231</v>
      </c>
    </row>
    <row r="303" spans="1:22" ht="34.5" customHeight="1" x14ac:dyDescent="0.25">
      <c r="A303" s="26">
        <v>27</v>
      </c>
      <c r="B303" s="27" t="s">
        <v>2221</v>
      </c>
      <c r="C303" s="28" t="s">
        <v>2222</v>
      </c>
      <c r="D303" s="28" t="s">
        <v>2223</v>
      </c>
      <c r="E303" s="28" t="s">
        <v>2063</v>
      </c>
      <c r="F303" s="28" t="s">
        <v>150</v>
      </c>
      <c r="G303" s="28" t="s">
        <v>2274</v>
      </c>
      <c r="H303" s="28" t="s">
        <v>2275</v>
      </c>
      <c r="I303" s="28" t="s">
        <v>2276</v>
      </c>
      <c r="J303" s="28" t="s">
        <v>116</v>
      </c>
      <c r="K303" s="28" t="s">
        <v>2277</v>
      </c>
      <c r="L303" s="28">
        <v>1</v>
      </c>
      <c r="M303" s="28">
        <v>0.5</v>
      </c>
      <c r="N303" s="25">
        <f t="shared" si="4"/>
        <v>0.5</v>
      </c>
      <c r="O303" s="28" t="s">
        <v>774</v>
      </c>
      <c r="P303" s="28" t="s">
        <v>280</v>
      </c>
      <c r="Q303" s="28" t="s">
        <v>419</v>
      </c>
      <c r="R303" s="28" t="s">
        <v>2278</v>
      </c>
      <c r="S303" s="28" t="s">
        <v>2228</v>
      </c>
      <c r="T303" s="28" t="s">
        <v>2238</v>
      </c>
      <c r="U303" s="28"/>
      <c r="V303" s="28" t="s">
        <v>2231</v>
      </c>
    </row>
    <row r="304" spans="1:22" ht="34.5" customHeight="1" x14ac:dyDescent="0.25">
      <c r="A304" s="26">
        <v>27</v>
      </c>
      <c r="B304" s="27" t="s">
        <v>2221</v>
      </c>
      <c r="C304" s="28" t="s">
        <v>2222</v>
      </c>
      <c r="D304" s="28" t="s">
        <v>2223</v>
      </c>
      <c r="E304" s="28" t="s">
        <v>2058</v>
      </c>
      <c r="F304" s="28" t="s">
        <v>478</v>
      </c>
      <c r="G304" s="28" t="s">
        <v>2279</v>
      </c>
      <c r="H304" s="28" t="s">
        <v>2280</v>
      </c>
      <c r="I304" s="28" t="s">
        <v>2281</v>
      </c>
      <c r="J304" s="28" t="s">
        <v>116</v>
      </c>
      <c r="K304" s="28" t="s">
        <v>2244</v>
      </c>
      <c r="L304" s="28">
        <v>1</v>
      </c>
      <c r="M304" s="28">
        <v>0.5</v>
      </c>
      <c r="N304" s="25">
        <f t="shared" si="4"/>
        <v>0.5</v>
      </c>
      <c r="O304" s="28" t="s">
        <v>774</v>
      </c>
      <c r="P304" s="28" t="s">
        <v>280</v>
      </c>
      <c r="Q304" s="28" t="s">
        <v>484</v>
      </c>
      <c r="R304" s="28" t="s">
        <v>1026</v>
      </c>
      <c r="S304" s="28" t="s">
        <v>2228</v>
      </c>
      <c r="T304" s="28" t="s">
        <v>2238</v>
      </c>
      <c r="U304" s="28"/>
      <c r="V304" s="28" t="s">
        <v>2231</v>
      </c>
    </row>
    <row r="305" spans="1:22" ht="34.5" customHeight="1" x14ac:dyDescent="0.25">
      <c r="A305" s="26">
        <v>27</v>
      </c>
      <c r="B305" s="27" t="s">
        <v>2221</v>
      </c>
      <c r="C305" s="28" t="s">
        <v>2222</v>
      </c>
      <c r="D305" s="28" t="s">
        <v>2223</v>
      </c>
      <c r="E305" s="28" t="s">
        <v>2282</v>
      </c>
      <c r="F305" s="28" t="s">
        <v>157</v>
      </c>
      <c r="G305" s="28" t="s">
        <v>2283</v>
      </c>
      <c r="H305" s="28" t="s">
        <v>2284</v>
      </c>
      <c r="I305" s="28" t="s">
        <v>2285</v>
      </c>
      <c r="J305" s="28" t="s">
        <v>161</v>
      </c>
      <c r="K305" s="28" t="s">
        <v>2286</v>
      </c>
      <c r="L305" s="28">
        <v>3</v>
      </c>
      <c r="M305" s="28">
        <v>1</v>
      </c>
      <c r="N305" s="25">
        <f t="shared" si="4"/>
        <v>1.25</v>
      </c>
      <c r="O305" s="28" t="s">
        <v>1907</v>
      </c>
      <c r="P305" s="28" t="s">
        <v>2135</v>
      </c>
      <c r="Q305" s="28" t="s">
        <v>429</v>
      </c>
      <c r="R305" s="28" t="s">
        <v>2246</v>
      </c>
      <c r="S305" s="28" t="s">
        <v>2228</v>
      </c>
      <c r="T305" s="28" t="s">
        <v>2238</v>
      </c>
      <c r="U305" s="28"/>
      <c r="V305" s="28" t="s">
        <v>2231</v>
      </c>
    </row>
    <row r="306" spans="1:22" ht="34.5" customHeight="1" x14ac:dyDescent="0.25">
      <c r="A306" s="26">
        <v>28</v>
      </c>
      <c r="B306" s="27" t="s">
        <v>2287</v>
      </c>
      <c r="C306" s="28" t="s">
        <v>2288</v>
      </c>
      <c r="D306" s="28" t="s">
        <v>2289</v>
      </c>
      <c r="E306" s="28" t="s">
        <v>2290</v>
      </c>
      <c r="F306" s="28" t="s">
        <v>26</v>
      </c>
      <c r="G306" s="28" t="s">
        <v>2291</v>
      </c>
      <c r="H306" s="28" t="s">
        <v>2292</v>
      </c>
      <c r="I306" s="28" t="s">
        <v>2293</v>
      </c>
      <c r="J306" s="28" t="s">
        <v>30</v>
      </c>
      <c r="K306" s="28"/>
      <c r="L306" s="28">
        <v>3</v>
      </c>
      <c r="M306" s="28">
        <v>1</v>
      </c>
      <c r="N306" s="25">
        <f t="shared" si="4"/>
        <v>1.25</v>
      </c>
      <c r="O306" s="28" t="s">
        <v>1535</v>
      </c>
      <c r="P306" s="28" t="s">
        <v>2143</v>
      </c>
      <c r="Q306" s="28" t="s">
        <v>484</v>
      </c>
      <c r="R306" s="28" t="s">
        <v>1026</v>
      </c>
      <c r="S306" s="28" t="s">
        <v>2294</v>
      </c>
      <c r="T306" s="28" t="s">
        <v>2295</v>
      </c>
      <c r="U306" s="28" t="s">
        <v>2296</v>
      </c>
      <c r="V306" s="28" t="s">
        <v>2297</v>
      </c>
    </row>
    <row r="307" spans="1:22" ht="34.5" customHeight="1" x14ac:dyDescent="0.25">
      <c r="A307" s="26">
        <v>28</v>
      </c>
      <c r="B307" s="27" t="s">
        <v>2287</v>
      </c>
      <c r="C307" s="28" t="s">
        <v>2288</v>
      </c>
      <c r="D307" s="28" t="s">
        <v>2289</v>
      </c>
      <c r="E307" s="28" t="s">
        <v>2298</v>
      </c>
      <c r="F307" s="28" t="s">
        <v>38</v>
      </c>
      <c r="G307" s="28" t="s">
        <v>2299</v>
      </c>
      <c r="H307" s="28" t="s">
        <v>2300</v>
      </c>
      <c r="I307" s="28" t="s">
        <v>2301</v>
      </c>
      <c r="J307" s="28" t="s">
        <v>30</v>
      </c>
      <c r="K307" s="28" t="s">
        <v>2302</v>
      </c>
      <c r="L307" s="28">
        <v>3</v>
      </c>
      <c r="M307" s="28">
        <v>1</v>
      </c>
      <c r="N307" s="25">
        <f t="shared" si="4"/>
        <v>1.25</v>
      </c>
      <c r="O307" s="28" t="s">
        <v>1535</v>
      </c>
      <c r="P307" s="28" t="s">
        <v>2303</v>
      </c>
      <c r="Q307" s="28" t="s">
        <v>429</v>
      </c>
      <c r="R307" s="28" t="s">
        <v>1026</v>
      </c>
      <c r="S307" s="28" t="s">
        <v>2294</v>
      </c>
      <c r="T307" s="28" t="s">
        <v>2304</v>
      </c>
      <c r="U307" s="28" t="s">
        <v>2305</v>
      </c>
      <c r="V307" s="28" t="s">
        <v>2297</v>
      </c>
    </row>
    <row r="308" spans="1:22" ht="34.5" customHeight="1" x14ac:dyDescent="0.25">
      <c r="A308" s="26">
        <v>28</v>
      </c>
      <c r="B308" s="27" t="s">
        <v>2287</v>
      </c>
      <c r="C308" s="28" t="s">
        <v>2288</v>
      </c>
      <c r="D308" s="28" t="s">
        <v>2289</v>
      </c>
      <c r="E308" s="28" t="s">
        <v>2306</v>
      </c>
      <c r="F308" s="28" t="s">
        <v>46</v>
      </c>
      <c r="G308" s="28" t="s">
        <v>2307</v>
      </c>
      <c r="H308" s="28" t="s">
        <v>2308</v>
      </c>
      <c r="I308" s="28" t="s">
        <v>2309</v>
      </c>
      <c r="J308" s="28" t="s">
        <v>30</v>
      </c>
      <c r="K308" s="28" t="s">
        <v>2302</v>
      </c>
      <c r="L308" s="28">
        <v>2</v>
      </c>
      <c r="M308" s="28">
        <v>0.75</v>
      </c>
      <c r="N308" s="25">
        <f t="shared" si="4"/>
        <v>1</v>
      </c>
      <c r="O308" s="28" t="s">
        <v>1535</v>
      </c>
      <c r="P308" s="28" t="s">
        <v>2310</v>
      </c>
      <c r="Q308" s="28" t="s">
        <v>419</v>
      </c>
      <c r="R308" s="28" t="s">
        <v>2311</v>
      </c>
      <c r="S308" s="28" t="s">
        <v>2294</v>
      </c>
      <c r="T308" s="28" t="s">
        <v>2312</v>
      </c>
      <c r="U308" s="28" t="s">
        <v>2313</v>
      </c>
      <c r="V308" s="28" t="s">
        <v>2297</v>
      </c>
    </row>
    <row r="309" spans="1:22" ht="34.5" customHeight="1" x14ac:dyDescent="0.25">
      <c r="A309" s="26">
        <v>28</v>
      </c>
      <c r="B309" s="27" t="s">
        <v>2287</v>
      </c>
      <c r="C309" s="28" t="s">
        <v>2288</v>
      </c>
      <c r="D309" s="28" t="s">
        <v>2289</v>
      </c>
      <c r="E309" s="28" t="s">
        <v>2314</v>
      </c>
      <c r="F309" s="28" t="s">
        <v>112</v>
      </c>
      <c r="G309" s="28" t="s">
        <v>2315</v>
      </c>
      <c r="H309" s="28" t="s">
        <v>2316</v>
      </c>
      <c r="I309" s="28" t="s">
        <v>2317</v>
      </c>
      <c r="J309" s="28" t="s">
        <v>116</v>
      </c>
      <c r="K309" s="28"/>
      <c r="L309" s="28">
        <v>2</v>
      </c>
      <c r="M309" s="28">
        <v>1</v>
      </c>
      <c r="N309" s="25">
        <f t="shared" si="4"/>
        <v>1.25</v>
      </c>
      <c r="O309" s="28" t="s">
        <v>774</v>
      </c>
      <c r="P309" s="28" t="s">
        <v>280</v>
      </c>
      <c r="Q309" s="28" t="s">
        <v>419</v>
      </c>
      <c r="R309" s="28" t="s">
        <v>1026</v>
      </c>
      <c r="S309" s="28" t="s">
        <v>2294</v>
      </c>
      <c r="T309" s="28" t="s">
        <v>2304</v>
      </c>
      <c r="U309" s="28"/>
      <c r="V309" s="28" t="s">
        <v>2297</v>
      </c>
    </row>
    <row r="310" spans="1:22" ht="34.5" customHeight="1" x14ac:dyDescent="0.25">
      <c r="A310" s="26">
        <v>28</v>
      </c>
      <c r="B310" s="27" t="s">
        <v>2287</v>
      </c>
      <c r="C310" s="28" t="s">
        <v>2288</v>
      </c>
      <c r="D310" s="28" t="s">
        <v>2289</v>
      </c>
      <c r="E310" s="28" t="s">
        <v>2178</v>
      </c>
      <c r="F310" s="28" t="s">
        <v>120</v>
      </c>
      <c r="G310" s="28" t="s">
        <v>2318</v>
      </c>
      <c r="H310" s="28" t="s">
        <v>2319</v>
      </c>
      <c r="I310" s="28" t="s">
        <v>2320</v>
      </c>
      <c r="J310" s="28" t="s">
        <v>116</v>
      </c>
      <c r="K310" s="28" t="s">
        <v>2302</v>
      </c>
      <c r="L310" s="28">
        <v>1</v>
      </c>
      <c r="M310" s="28">
        <v>0.5</v>
      </c>
      <c r="N310" s="25">
        <f t="shared" si="4"/>
        <v>0.5</v>
      </c>
      <c r="O310" s="28" t="s">
        <v>774</v>
      </c>
      <c r="P310" s="28" t="s">
        <v>280</v>
      </c>
      <c r="Q310" s="28" t="s">
        <v>419</v>
      </c>
      <c r="R310" s="28" t="s">
        <v>1026</v>
      </c>
      <c r="S310" s="28" t="s">
        <v>2294</v>
      </c>
      <c r="T310" s="28" t="s">
        <v>2183</v>
      </c>
      <c r="U310" s="28"/>
      <c r="V310" s="28" t="s">
        <v>2297</v>
      </c>
    </row>
    <row r="311" spans="1:22" ht="34.5" customHeight="1" x14ac:dyDescent="0.25">
      <c r="A311" s="26">
        <v>28</v>
      </c>
      <c r="B311" s="27" t="s">
        <v>2287</v>
      </c>
      <c r="C311" s="28" t="s">
        <v>2288</v>
      </c>
      <c r="D311" s="28" t="s">
        <v>2289</v>
      </c>
      <c r="E311" s="28" t="s">
        <v>2321</v>
      </c>
      <c r="F311" s="28" t="s">
        <v>127</v>
      </c>
      <c r="G311" s="28" t="s">
        <v>2322</v>
      </c>
      <c r="H311" s="28" t="s">
        <v>2323</v>
      </c>
      <c r="I311" s="28" t="s">
        <v>2324</v>
      </c>
      <c r="J311" s="28" t="s">
        <v>116</v>
      </c>
      <c r="K311" s="28" t="s">
        <v>2325</v>
      </c>
      <c r="L311" s="28">
        <v>1</v>
      </c>
      <c r="M311" s="28">
        <v>0.5</v>
      </c>
      <c r="N311" s="25">
        <f t="shared" si="4"/>
        <v>0.5</v>
      </c>
      <c r="O311" s="28" t="s">
        <v>774</v>
      </c>
      <c r="P311" s="28" t="s">
        <v>280</v>
      </c>
      <c r="Q311" s="28" t="s">
        <v>419</v>
      </c>
      <c r="R311" s="28" t="s">
        <v>1026</v>
      </c>
      <c r="S311" s="28" t="s">
        <v>2294</v>
      </c>
      <c r="T311" s="28" t="s">
        <v>2326</v>
      </c>
      <c r="U311" s="28"/>
      <c r="V311" s="28" t="s">
        <v>2297</v>
      </c>
    </row>
    <row r="312" spans="1:22" ht="34.5" customHeight="1" x14ac:dyDescent="0.25">
      <c r="A312" s="26">
        <v>28</v>
      </c>
      <c r="B312" s="27" t="s">
        <v>2287</v>
      </c>
      <c r="C312" s="28" t="s">
        <v>2288</v>
      </c>
      <c r="D312" s="28" t="s">
        <v>2289</v>
      </c>
      <c r="E312" s="28" t="s">
        <v>2327</v>
      </c>
      <c r="F312" s="28" t="s">
        <v>134</v>
      </c>
      <c r="G312" s="28" t="s">
        <v>2328</v>
      </c>
      <c r="H312" s="28" t="s">
        <v>2329</v>
      </c>
      <c r="I312" s="28" t="s">
        <v>2330</v>
      </c>
      <c r="J312" s="28" t="s">
        <v>116</v>
      </c>
      <c r="K312" s="28" t="s">
        <v>2325</v>
      </c>
      <c r="L312" s="28">
        <v>1</v>
      </c>
      <c r="M312" s="28">
        <v>0.5</v>
      </c>
      <c r="N312" s="25">
        <f t="shared" si="4"/>
        <v>0.5</v>
      </c>
      <c r="O312" s="28" t="s">
        <v>774</v>
      </c>
      <c r="P312" s="28" t="s">
        <v>280</v>
      </c>
      <c r="Q312" s="28" t="s">
        <v>419</v>
      </c>
      <c r="R312" s="28" t="s">
        <v>1026</v>
      </c>
      <c r="S312" s="28" t="s">
        <v>2294</v>
      </c>
      <c r="T312" s="28" t="s">
        <v>2331</v>
      </c>
      <c r="U312" s="28"/>
      <c r="V312" s="28" t="s">
        <v>2297</v>
      </c>
    </row>
    <row r="313" spans="1:22" ht="34.5" customHeight="1" x14ac:dyDescent="0.25">
      <c r="A313" s="26">
        <v>28</v>
      </c>
      <c r="B313" s="27" t="s">
        <v>2287</v>
      </c>
      <c r="C313" s="28" t="s">
        <v>2288</v>
      </c>
      <c r="D313" s="28" t="s">
        <v>2289</v>
      </c>
      <c r="E313" s="28" t="s">
        <v>2332</v>
      </c>
      <c r="F313" s="28" t="s">
        <v>142</v>
      </c>
      <c r="G313" s="28" t="s">
        <v>2333</v>
      </c>
      <c r="H313" s="28" t="s">
        <v>2334</v>
      </c>
      <c r="I313" s="28" t="s">
        <v>2335</v>
      </c>
      <c r="J313" s="28" t="s">
        <v>116</v>
      </c>
      <c r="K313" s="28" t="s">
        <v>2325</v>
      </c>
      <c r="L313" s="28">
        <v>1</v>
      </c>
      <c r="M313" s="28">
        <v>0.5</v>
      </c>
      <c r="N313" s="25">
        <f t="shared" si="4"/>
        <v>0.5</v>
      </c>
      <c r="O313" s="28" t="s">
        <v>774</v>
      </c>
      <c r="P313" s="28" t="s">
        <v>280</v>
      </c>
      <c r="Q313" s="28" t="s">
        <v>419</v>
      </c>
      <c r="R313" s="28" t="s">
        <v>1026</v>
      </c>
      <c r="S313" s="28" t="s">
        <v>2294</v>
      </c>
      <c r="T313" s="28" t="s">
        <v>2336</v>
      </c>
      <c r="U313" s="28"/>
      <c r="V313" s="28" t="s">
        <v>2297</v>
      </c>
    </row>
    <row r="314" spans="1:22" ht="34.5" customHeight="1" x14ac:dyDescent="0.25">
      <c r="A314" s="26">
        <v>28</v>
      </c>
      <c r="B314" s="27" t="s">
        <v>2287</v>
      </c>
      <c r="C314" s="28" t="s">
        <v>2288</v>
      </c>
      <c r="D314" s="28" t="s">
        <v>2289</v>
      </c>
      <c r="E314" s="28" t="s">
        <v>2205</v>
      </c>
      <c r="F314" s="28" t="s">
        <v>150</v>
      </c>
      <c r="G314" s="28" t="s">
        <v>2337</v>
      </c>
      <c r="H314" s="28" t="s">
        <v>2338</v>
      </c>
      <c r="I314" s="28" t="s">
        <v>2339</v>
      </c>
      <c r="J314" s="28" t="s">
        <v>116</v>
      </c>
      <c r="K314" s="28" t="s">
        <v>2340</v>
      </c>
      <c r="L314" s="28">
        <v>1</v>
      </c>
      <c r="M314" s="28">
        <v>0.5</v>
      </c>
      <c r="N314" s="25">
        <f t="shared" si="4"/>
        <v>0.5</v>
      </c>
      <c r="O314" s="28" t="s">
        <v>774</v>
      </c>
      <c r="P314" s="28" t="s">
        <v>280</v>
      </c>
      <c r="Q314" s="28" t="s">
        <v>419</v>
      </c>
      <c r="R314" s="28" t="s">
        <v>2311</v>
      </c>
      <c r="S314" s="28" t="s">
        <v>2294</v>
      </c>
      <c r="T314" s="28" t="s">
        <v>2312</v>
      </c>
      <c r="U314" s="28"/>
      <c r="V314" s="28" t="s">
        <v>2297</v>
      </c>
    </row>
    <row r="315" spans="1:22" ht="34.5" customHeight="1" x14ac:dyDescent="0.25">
      <c r="A315" s="26">
        <v>28</v>
      </c>
      <c r="B315" s="27" t="s">
        <v>2287</v>
      </c>
      <c r="C315" s="28" t="s">
        <v>2288</v>
      </c>
      <c r="D315" s="28" t="s">
        <v>2289</v>
      </c>
      <c r="E315" s="28" t="s">
        <v>2058</v>
      </c>
      <c r="F315" s="28" t="s">
        <v>478</v>
      </c>
      <c r="G315" s="28" t="s">
        <v>2341</v>
      </c>
      <c r="H315" s="28" t="s">
        <v>2342</v>
      </c>
      <c r="I315" s="28" t="s">
        <v>2343</v>
      </c>
      <c r="J315" s="28" t="s">
        <v>116</v>
      </c>
      <c r="K315" s="28" t="s">
        <v>2344</v>
      </c>
      <c r="L315" s="28">
        <v>1</v>
      </c>
      <c r="M315" s="28">
        <v>0.5</v>
      </c>
      <c r="N315" s="25">
        <f t="shared" si="4"/>
        <v>0.5</v>
      </c>
      <c r="O315" s="28" t="s">
        <v>774</v>
      </c>
      <c r="P315" s="28" t="s">
        <v>280</v>
      </c>
      <c r="Q315" s="28" t="s">
        <v>484</v>
      </c>
      <c r="R315" s="28" t="s">
        <v>1026</v>
      </c>
      <c r="S315" s="28" t="s">
        <v>2294</v>
      </c>
      <c r="T315" s="28" t="s">
        <v>2304</v>
      </c>
      <c r="U315" s="28"/>
      <c r="V315" s="28" t="s">
        <v>2297</v>
      </c>
    </row>
    <row r="316" spans="1:22" ht="34.5" customHeight="1" x14ac:dyDescent="0.25">
      <c r="A316" s="26">
        <v>28</v>
      </c>
      <c r="B316" s="27" t="s">
        <v>2287</v>
      </c>
      <c r="C316" s="28" t="s">
        <v>2288</v>
      </c>
      <c r="D316" s="28" t="s">
        <v>2289</v>
      </c>
      <c r="E316" s="28" t="s">
        <v>2345</v>
      </c>
      <c r="F316" s="28" t="s">
        <v>157</v>
      </c>
      <c r="G316" s="28" t="s">
        <v>2346</v>
      </c>
      <c r="H316" s="28" t="s">
        <v>2347</v>
      </c>
      <c r="I316" s="28" t="s">
        <v>2348</v>
      </c>
      <c r="J316" s="28" t="s">
        <v>161</v>
      </c>
      <c r="K316" s="28" t="s">
        <v>2349</v>
      </c>
      <c r="L316" s="28">
        <v>3</v>
      </c>
      <c r="M316" s="28">
        <v>1</v>
      </c>
      <c r="N316" s="25">
        <f t="shared" si="4"/>
        <v>1.25</v>
      </c>
      <c r="O316" s="28" t="s">
        <v>1907</v>
      </c>
      <c r="P316" s="28" t="s">
        <v>2135</v>
      </c>
      <c r="Q316" s="28" t="s">
        <v>429</v>
      </c>
      <c r="R316" s="28" t="s">
        <v>2311</v>
      </c>
      <c r="S316" s="28" t="s">
        <v>2294</v>
      </c>
      <c r="T316" s="28" t="s">
        <v>2304</v>
      </c>
      <c r="U316" s="28"/>
      <c r="V316" s="28" t="s">
        <v>2297</v>
      </c>
    </row>
    <row r="317" spans="1:22" ht="34.5" customHeight="1" x14ac:dyDescent="0.25">
      <c r="A317" s="26">
        <v>29</v>
      </c>
      <c r="B317" s="27" t="s">
        <v>2350</v>
      </c>
      <c r="C317" s="28" t="s">
        <v>2351</v>
      </c>
      <c r="D317" s="28" t="s">
        <v>2352</v>
      </c>
      <c r="E317" s="28" t="s">
        <v>2353</v>
      </c>
      <c r="F317" s="28" t="s">
        <v>26</v>
      </c>
      <c r="G317" s="28" t="s">
        <v>2354</v>
      </c>
      <c r="H317" s="28" t="s">
        <v>2355</v>
      </c>
      <c r="I317" s="28" t="s">
        <v>2356</v>
      </c>
      <c r="J317" s="28" t="s">
        <v>30</v>
      </c>
      <c r="K317" s="28"/>
      <c r="L317" s="28">
        <v>2</v>
      </c>
      <c r="M317" s="28">
        <v>0.75</v>
      </c>
      <c r="N317" s="25">
        <f t="shared" si="4"/>
        <v>1</v>
      </c>
      <c r="O317" s="28" t="s">
        <v>1535</v>
      </c>
      <c r="P317" s="28" t="s">
        <v>1536</v>
      </c>
      <c r="Q317" s="28" t="s">
        <v>429</v>
      </c>
      <c r="R317" s="28" t="s">
        <v>1026</v>
      </c>
      <c r="S317" s="28" t="s">
        <v>2083</v>
      </c>
      <c r="T317" s="28" t="s">
        <v>2357</v>
      </c>
      <c r="U317" s="28" t="s">
        <v>2358</v>
      </c>
      <c r="V317" s="28" t="s">
        <v>2359</v>
      </c>
    </row>
    <row r="318" spans="1:22" ht="34.5" customHeight="1" x14ac:dyDescent="0.25">
      <c r="A318" s="26">
        <v>29</v>
      </c>
      <c r="B318" s="27" t="s">
        <v>2350</v>
      </c>
      <c r="C318" s="28" t="s">
        <v>2351</v>
      </c>
      <c r="D318" s="28" t="s">
        <v>2352</v>
      </c>
      <c r="E318" s="28" t="s">
        <v>2360</v>
      </c>
      <c r="F318" s="28" t="s">
        <v>112</v>
      </c>
      <c r="G318" s="28" t="s">
        <v>2361</v>
      </c>
      <c r="H318" s="28" t="s">
        <v>2362</v>
      </c>
      <c r="I318" s="28" t="s">
        <v>2363</v>
      </c>
      <c r="J318" s="28" t="s">
        <v>116</v>
      </c>
      <c r="K318" s="28"/>
      <c r="L318" s="28">
        <v>1</v>
      </c>
      <c r="M318" s="28">
        <v>0.5</v>
      </c>
      <c r="N318" s="25">
        <f t="shared" si="4"/>
        <v>0.5</v>
      </c>
      <c r="O318" s="28" t="s">
        <v>774</v>
      </c>
      <c r="P318" s="28" t="s">
        <v>280</v>
      </c>
      <c r="Q318" s="28" t="s">
        <v>419</v>
      </c>
      <c r="R318" s="28" t="s">
        <v>1026</v>
      </c>
      <c r="S318" s="28" t="s">
        <v>2083</v>
      </c>
      <c r="T318" s="28" t="s">
        <v>2364</v>
      </c>
      <c r="U318" s="28"/>
      <c r="V318" s="28" t="s">
        <v>2359</v>
      </c>
    </row>
    <row r="319" spans="1:22" ht="34.5" customHeight="1" x14ac:dyDescent="0.25">
      <c r="A319" s="26">
        <v>29</v>
      </c>
      <c r="B319" s="27" t="s">
        <v>2350</v>
      </c>
      <c r="C319" s="28" t="s">
        <v>2351</v>
      </c>
      <c r="D319" s="28" t="s">
        <v>2352</v>
      </c>
      <c r="E319" s="28" t="s">
        <v>2365</v>
      </c>
      <c r="F319" s="28" t="s">
        <v>120</v>
      </c>
      <c r="G319" s="28" t="s">
        <v>2366</v>
      </c>
      <c r="H319" s="28" t="s">
        <v>2367</v>
      </c>
      <c r="I319" s="28" t="s">
        <v>2368</v>
      </c>
      <c r="J319" s="28" t="s">
        <v>116</v>
      </c>
      <c r="K319" s="28"/>
      <c r="L319" s="28">
        <v>0.5</v>
      </c>
      <c r="M319" s="28">
        <v>0.25</v>
      </c>
      <c r="N319" s="25">
        <f t="shared" si="4"/>
        <v>0.25</v>
      </c>
      <c r="O319" s="28" t="s">
        <v>774</v>
      </c>
      <c r="P319" s="28" t="s">
        <v>280</v>
      </c>
      <c r="Q319" s="28" t="s">
        <v>419</v>
      </c>
      <c r="R319" s="28" t="s">
        <v>1026</v>
      </c>
      <c r="S319" s="28" t="s">
        <v>2083</v>
      </c>
      <c r="T319" s="28" t="s">
        <v>2369</v>
      </c>
      <c r="U319" s="28"/>
      <c r="V319" s="28" t="s">
        <v>2359</v>
      </c>
    </row>
    <row r="320" spans="1:22" ht="34.5" customHeight="1" x14ac:dyDescent="0.25">
      <c r="A320" s="26">
        <v>29</v>
      </c>
      <c r="B320" s="27" t="s">
        <v>2350</v>
      </c>
      <c r="C320" s="28" t="s">
        <v>2351</v>
      </c>
      <c r="D320" s="28" t="s">
        <v>2352</v>
      </c>
      <c r="E320" s="28" t="s">
        <v>2370</v>
      </c>
      <c r="F320" s="28" t="s">
        <v>127</v>
      </c>
      <c r="G320" s="28" t="s">
        <v>2371</v>
      </c>
      <c r="H320" s="28" t="s">
        <v>2372</v>
      </c>
      <c r="I320" s="28" t="s">
        <v>2373</v>
      </c>
      <c r="J320" s="28" t="s">
        <v>116</v>
      </c>
      <c r="K320" s="28" t="s">
        <v>2374</v>
      </c>
      <c r="L320" s="28">
        <v>1</v>
      </c>
      <c r="M320" s="28">
        <v>0.5</v>
      </c>
      <c r="N320" s="25">
        <f t="shared" si="4"/>
        <v>0.5</v>
      </c>
      <c r="O320" s="28" t="s">
        <v>774</v>
      </c>
      <c r="P320" s="28" t="s">
        <v>280</v>
      </c>
      <c r="Q320" s="28" t="s">
        <v>419</v>
      </c>
      <c r="R320" s="28" t="s">
        <v>1026</v>
      </c>
      <c r="S320" s="28" t="s">
        <v>2083</v>
      </c>
      <c r="T320" s="28" t="s">
        <v>2375</v>
      </c>
      <c r="U320" s="28"/>
      <c r="V320" s="28" t="s">
        <v>2359</v>
      </c>
    </row>
    <row r="321" spans="1:22" ht="34.5" customHeight="1" x14ac:dyDescent="0.25">
      <c r="A321" s="26">
        <v>29</v>
      </c>
      <c r="B321" s="27" t="s">
        <v>2350</v>
      </c>
      <c r="C321" s="28" t="s">
        <v>2351</v>
      </c>
      <c r="D321" s="28" t="s">
        <v>2352</v>
      </c>
      <c r="E321" s="28" t="s">
        <v>2376</v>
      </c>
      <c r="F321" s="28" t="s">
        <v>134</v>
      </c>
      <c r="G321" s="28" t="s">
        <v>2377</v>
      </c>
      <c r="H321" s="28" t="s">
        <v>2378</v>
      </c>
      <c r="I321" s="28" t="s">
        <v>2379</v>
      </c>
      <c r="J321" s="28" t="s">
        <v>116</v>
      </c>
      <c r="K321" s="28" t="s">
        <v>2374</v>
      </c>
      <c r="L321" s="28">
        <v>1</v>
      </c>
      <c r="M321" s="28">
        <v>0.5</v>
      </c>
      <c r="N321" s="25">
        <f t="shared" si="4"/>
        <v>0.5</v>
      </c>
      <c r="O321" s="28" t="s">
        <v>774</v>
      </c>
      <c r="P321" s="28" t="s">
        <v>280</v>
      </c>
      <c r="Q321" s="28" t="s">
        <v>419</v>
      </c>
      <c r="R321" s="28" t="s">
        <v>1026</v>
      </c>
      <c r="S321" s="28" t="s">
        <v>2083</v>
      </c>
      <c r="T321" s="28" t="s">
        <v>2380</v>
      </c>
      <c r="U321" s="28"/>
      <c r="V321" s="28" t="s">
        <v>2359</v>
      </c>
    </row>
    <row r="322" spans="1:22" ht="34.5" customHeight="1" x14ac:dyDescent="0.25">
      <c r="A322" s="26">
        <v>29</v>
      </c>
      <c r="B322" s="27" t="s">
        <v>2350</v>
      </c>
      <c r="C322" s="28" t="s">
        <v>2351</v>
      </c>
      <c r="D322" s="28" t="s">
        <v>2352</v>
      </c>
      <c r="E322" s="28" t="s">
        <v>2381</v>
      </c>
      <c r="F322" s="28" t="s">
        <v>142</v>
      </c>
      <c r="G322" s="28" t="s">
        <v>2382</v>
      </c>
      <c r="H322" s="28" t="s">
        <v>2383</v>
      </c>
      <c r="I322" s="28" t="s">
        <v>2384</v>
      </c>
      <c r="J322" s="28" t="s">
        <v>116</v>
      </c>
      <c r="K322" s="28" t="s">
        <v>2374</v>
      </c>
      <c r="L322" s="28">
        <v>1</v>
      </c>
      <c r="M322" s="28">
        <v>0.5</v>
      </c>
      <c r="N322" s="25">
        <f t="shared" ref="N322:N385" si="5">MAX(ROUND(M322*1.2/0.25,0)*0.25,0.25)</f>
        <v>0.5</v>
      </c>
      <c r="O322" s="28" t="s">
        <v>774</v>
      </c>
      <c r="P322" s="28" t="s">
        <v>280</v>
      </c>
      <c r="Q322" s="28" t="s">
        <v>419</v>
      </c>
      <c r="R322" s="28" t="s">
        <v>1026</v>
      </c>
      <c r="S322" s="28" t="s">
        <v>2083</v>
      </c>
      <c r="T322" s="28" t="s">
        <v>2385</v>
      </c>
      <c r="U322" s="28"/>
      <c r="V322" s="28" t="s">
        <v>2359</v>
      </c>
    </row>
    <row r="323" spans="1:22" ht="34.5" customHeight="1" x14ac:dyDescent="0.25">
      <c r="A323" s="26">
        <v>29</v>
      </c>
      <c r="B323" s="27" t="s">
        <v>2350</v>
      </c>
      <c r="C323" s="28" t="s">
        <v>2351</v>
      </c>
      <c r="D323" s="28" t="s">
        <v>2352</v>
      </c>
      <c r="E323" s="28" t="s">
        <v>2058</v>
      </c>
      <c r="F323" s="28" t="s">
        <v>150</v>
      </c>
      <c r="G323" s="28" t="s">
        <v>2386</v>
      </c>
      <c r="H323" s="28" t="s">
        <v>2387</v>
      </c>
      <c r="I323" s="28" t="s">
        <v>2388</v>
      </c>
      <c r="J323" s="28" t="s">
        <v>116</v>
      </c>
      <c r="K323" s="28" t="s">
        <v>2374</v>
      </c>
      <c r="L323" s="28">
        <v>0.5</v>
      </c>
      <c r="M323" s="28">
        <v>0.25</v>
      </c>
      <c r="N323" s="25">
        <f t="shared" si="5"/>
        <v>0.25</v>
      </c>
      <c r="O323" s="28" t="s">
        <v>774</v>
      </c>
      <c r="P323" s="28" t="s">
        <v>280</v>
      </c>
      <c r="Q323" s="28" t="s">
        <v>484</v>
      </c>
      <c r="R323" s="28" t="s">
        <v>1026</v>
      </c>
      <c r="S323" s="28" t="s">
        <v>2083</v>
      </c>
      <c r="T323" s="28" t="s">
        <v>2357</v>
      </c>
      <c r="U323" s="28"/>
      <c r="V323" s="28" t="s">
        <v>2359</v>
      </c>
    </row>
    <row r="324" spans="1:22" ht="34.5" customHeight="1" x14ac:dyDescent="0.25">
      <c r="A324" s="26">
        <v>29</v>
      </c>
      <c r="B324" s="27" t="s">
        <v>2350</v>
      </c>
      <c r="C324" s="28" t="s">
        <v>2351</v>
      </c>
      <c r="D324" s="28" t="s">
        <v>2352</v>
      </c>
      <c r="E324" s="28" t="s">
        <v>2130</v>
      </c>
      <c r="F324" s="28" t="s">
        <v>157</v>
      </c>
      <c r="G324" s="28" t="s">
        <v>2389</v>
      </c>
      <c r="H324" s="28" t="s">
        <v>2390</v>
      </c>
      <c r="I324" s="28" t="s">
        <v>2391</v>
      </c>
      <c r="J324" s="28" t="s">
        <v>161</v>
      </c>
      <c r="K324" s="28" t="s">
        <v>2392</v>
      </c>
      <c r="L324" s="28">
        <v>2</v>
      </c>
      <c r="M324" s="28">
        <v>1</v>
      </c>
      <c r="N324" s="25">
        <f t="shared" si="5"/>
        <v>1.25</v>
      </c>
      <c r="O324" s="28" t="s">
        <v>1907</v>
      </c>
      <c r="P324" s="28" t="s">
        <v>2135</v>
      </c>
      <c r="Q324" s="28" t="s">
        <v>429</v>
      </c>
      <c r="R324" s="28" t="s">
        <v>1026</v>
      </c>
      <c r="S324" s="28" t="s">
        <v>2083</v>
      </c>
      <c r="T324" s="28" t="s">
        <v>2357</v>
      </c>
      <c r="U324" s="28"/>
      <c r="V324" s="28" t="s">
        <v>2359</v>
      </c>
    </row>
    <row r="325" spans="1:22" ht="34.5" customHeight="1" x14ac:dyDescent="0.25">
      <c r="A325" s="26">
        <v>30</v>
      </c>
      <c r="B325" s="27" t="s">
        <v>2393</v>
      </c>
      <c r="C325" s="28" t="s">
        <v>2394</v>
      </c>
      <c r="D325" s="28" t="s">
        <v>2395</v>
      </c>
      <c r="E325" s="28" t="s">
        <v>2396</v>
      </c>
      <c r="F325" s="28" t="s">
        <v>26</v>
      </c>
      <c r="G325" s="28" t="s">
        <v>2397</v>
      </c>
      <c r="H325" s="28" t="s">
        <v>2398</v>
      </c>
      <c r="I325" s="28" t="s">
        <v>2399</v>
      </c>
      <c r="J325" s="28" t="s">
        <v>30</v>
      </c>
      <c r="K325" s="28"/>
      <c r="L325" s="28">
        <v>3</v>
      </c>
      <c r="M325" s="28">
        <v>1</v>
      </c>
      <c r="N325" s="25">
        <f t="shared" si="5"/>
        <v>1.25</v>
      </c>
      <c r="O325" s="28" t="s">
        <v>1535</v>
      </c>
      <c r="P325" s="28" t="s">
        <v>2143</v>
      </c>
      <c r="Q325" s="28" t="s">
        <v>429</v>
      </c>
      <c r="R325" s="28" t="s">
        <v>1026</v>
      </c>
      <c r="S325" s="28" t="s">
        <v>2083</v>
      </c>
      <c r="T325" s="28" t="s">
        <v>2400</v>
      </c>
      <c r="U325" s="28" t="s">
        <v>2401</v>
      </c>
      <c r="V325" s="28" t="s">
        <v>2402</v>
      </c>
    </row>
    <row r="326" spans="1:22" ht="34.5" customHeight="1" x14ac:dyDescent="0.25">
      <c r="A326" s="26">
        <v>30</v>
      </c>
      <c r="B326" s="27" t="s">
        <v>2393</v>
      </c>
      <c r="C326" s="28" t="s">
        <v>2394</v>
      </c>
      <c r="D326" s="28" t="s">
        <v>2395</v>
      </c>
      <c r="E326" s="28" t="s">
        <v>2403</v>
      </c>
      <c r="F326" s="28" t="s">
        <v>38</v>
      </c>
      <c r="G326" s="28" t="s">
        <v>2404</v>
      </c>
      <c r="H326" s="28" t="s">
        <v>2405</v>
      </c>
      <c r="I326" s="28" t="s">
        <v>2406</v>
      </c>
      <c r="J326" s="28" t="s">
        <v>30</v>
      </c>
      <c r="K326" s="28" t="s">
        <v>2407</v>
      </c>
      <c r="L326" s="28">
        <v>4</v>
      </c>
      <c r="M326" s="28">
        <v>1.5</v>
      </c>
      <c r="N326" s="25">
        <f t="shared" si="5"/>
        <v>1.75</v>
      </c>
      <c r="O326" s="28" t="s">
        <v>1535</v>
      </c>
      <c r="P326" s="28" t="s">
        <v>2408</v>
      </c>
      <c r="Q326" s="28" t="s">
        <v>429</v>
      </c>
      <c r="R326" s="28" t="s">
        <v>1026</v>
      </c>
      <c r="S326" s="28" t="s">
        <v>2083</v>
      </c>
      <c r="T326" s="28" t="s">
        <v>2409</v>
      </c>
      <c r="U326" s="28" t="s">
        <v>2410</v>
      </c>
      <c r="V326" s="28" t="s">
        <v>2402</v>
      </c>
    </row>
    <row r="327" spans="1:22" ht="34.5" customHeight="1" x14ac:dyDescent="0.25">
      <c r="A327" s="26">
        <v>30</v>
      </c>
      <c r="B327" s="27" t="s">
        <v>2393</v>
      </c>
      <c r="C327" s="28" t="s">
        <v>2394</v>
      </c>
      <c r="D327" s="28" t="s">
        <v>2395</v>
      </c>
      <c r="E327" s="28" t="s">
        <v>2411</v>
      </c>
      <c r="F327" s="28" t="s">
        <v>112</v>
      </c>
      <c r="G327" s="28" t="s">
        <v>2412</v>
      </c>
      <c r="H327" s="28" t="s">
        <v>2413</v>
      </c>
      <c r="I327" s="28" t="s">
        <v>2414</v>
      </c>
      <c r="J327" s="28" t="s">
        <v>116</v>
      </c>
      <c r="K327" s="28"/>
      <c r="L327" s="28">
        <v>1</v>
      </c>
      <c r="M327" s="28">
        <v>0.5</v>
      </c>
      <c r="N327" s="25">
        <f t="shared" si="5"/>
        <v>0.5</v>
      </c>
      <c r="O327" s="28" t="s">
        <v>774</v>
      </c>
      <c r="P327" s="28" t="s">
        <v>280</v>
      </c>
      <c r="Q327" s="28" t="s">
        <v>419</v>
      </c>
      <c r="R327" s="28" t="s">
        <v>1026</v>
      </c>
      <c r="S327" s="28" t="s">
        <v>2083</v>
      </c>
      <c r="T327" s="28" t="s">
        <v>2409</v>
      </c>
      <c r="U327" s="28"/>
      <c r="V327" s="28" t="s">
        <v>2402</v>
      </c>
    </row>
    <row r="328" spans="1:22" ht="34.5" customHeight="1" x14ac:dyDescent="0.25">
      <c r="A328" s="26">
        <v>30</v>
      </c>
      <c r="B328" s="27" t="s">
        <v>2393</v>
      </c>
      <c r="C328" s="28" t="s">
        <v>2394</v>
      </c>
      <c r="D328" s="28" t="s">
        <v>2395</v>
      </c>
      <c r="E328" s="28" t="s">
        <v>2415</v>
      </c>
      <c r="F328" s="28" t="s">
        <v>120</v>
      </c>
      <c r="G328" s="28" t="s">
        <v>2416</v>
      </c>
      <c r="H328" s="28" t="s">
        <v>2417</v>
      </c>
      <c r="I328" s="28" t="s">
        <v>2418</v>
      </c>
      <c r="J328" s="28" t="s">
        <v>116</v>
      </c>
      <c r="K328" s="28"/>
      <c r="L328" s="28">
        <v>1</v>
      </c>
      <c r="M328" s="28">
        <v>0.5</v>
      </c>
      <c r="N328" s="25">
        <f t="shared" si="5"/>
        <v>0.5</v>
      </c>
      <c r="O328" s="28" t="s">
        <v>774</v>
      </c>
      <c r="P328" s="28" t="s">
        <v>280</v>
      </c>
      <c r="Q328" s="28" t="s">
        <v>419</v>
      </c>
      <c r="R328" s="28" t="s">
        <v>1026</v>
      </c>
      <c r="S328" s="28" t="s">
        <v>2083</v>
      </c>
      <c r="T328" s="28" t="s">
        <v>2409</v>
      </c>
      <c r="U328" s="28"/>
      <c r="V328" s="28" t="s">
        <v>2402</v>
      </c>
    </row>
    <row r="329" spans="1:22" ht="34.5" customHeight="1" x14ac:dyDescent="0.25">
      <c r="A329" s="26">
        <v>30</v>
      </c>
      <c r="B329" s="27" t="s">
        <v>2393</v>
      </c>
      <c r="C329" s="28" t="s">
        <v>2394</v>
      </c>
      <c r="D329" s="28" t="s">
        <v>2395</v>
      </c>
      <c r="E329" s="28" t="s">
        <v>2419</v>
      </c>
      <c r="F329" s="28" t="s">
        <v>127</v>
      </c>
      <c r="G329" s="28" t="s">
        <v>2420</v>
      </c>
      <c r="H329" s="28" t="s">
        <v>2421</v>
      </c>
      <c r="I329" s="28" t="s">
        <v>2422</v>
      </c>
      <c r="J329" s="28" t="s">
        <v>116</v>
      </c>
      <c r="K329" s="28" t="s">
        <v>2407</v>
      </c>
      <c r="L329" s="28">
        <v>1</v>
      </c>
      <c r="M329" s="28">
        <v>0.5</v>
      </c>
      <c r="N329" s="25">
        <f t="shared" si="5"/>
        <v>0.5</v>
      </c>
      <c r="O329" s="28" t="s">
        <v>774</v>
      </c>
      <c r="P329" s="28" t="s">
        <v>280</v>
      </c>
      <c r="Q329" s="28" t="s">
        <v>419</v>
      </c>
      <c r="R329" s="28" t="s">
        <v>1026</v>
      </c>
      <c r="S329" s="28" t="s">
        <v>2083</v>
      </c>
      <c r="T329" s="28" t="s">
        <v>2423</v>
      </c>
      <c r="U329" s="28"/>
      <c r="V329" s="28" t="s">
        <v>2402</v>
      </c>
    </row>
    <row r="330" spans="1:22" ht="34.5" customHeight="1" x14ac:dyDescent="0.25">
      <c r="A330" s="26">
        <v>30</v>
      </c>
      <c r="B330" s="27" t="s">
        <v>2393</v>
      </c>
      <c r="C330" s="28" t="s">
        <v>2394</v>
      </c>
      <c r="D330" s="28" t="s">
        <v>2395</v>
      </c>
      <c r="E330" s="28" t="s">
        <v>2424</v>
      </c>
      <c r="F330" s="28" t="s">
        <v>134</v>
      </c>
      <c r="G330" s="28" t="s">
        <v>2425</v>
      </c>
      <c r="H330" s="28" t="s">
        <v>2426</v>
      </c>
      <c r="I330" s="28" t="s">
        <v>2427</v>
      </c>
      <c r="J330" s="28" t="s">
        <v>116</v>
      </c>
      <c r="K330" s="28" t="s">
        <v>2428</v>
      </c>
      <c r="L330" s="28">
        <v>1</v>
      </c>
      <c r="M330" s="28">
        <v>0.5</v>
      </c>
      <c r="N330" s="25">
        <f t="shared" si="5"/>
        <v>0.5</v>
      </c>
      <c r="O330" s="28" t="s">
        <v>774</v>
      </c>
      <c r="P330" s="28" t="s">
        <v>280</v>
      </c>
      <c r="Q330" s="28" t="s">
        <v>419</v>
      </c>
      <c r="R330" s="28" t="s">
        <v>1026</v>
      </c>
      <c r="S330" s="28" t="s">
        <v>2083</v>
      </c>
      <c r="T330" s="28" t="s">
        <v>2423</v>
      </c>
      <c r="U330" s="28"/>
      <c r="V330" s="28" t="s">
        <v>2402</v>
      </c>
    </row>
    <row r="331" spans="1:22" ht="34.5" customHeight="1" x14ac:dyDescent="0.25">
      <c r="A331" s="26">
        <v>30</v>
      </c>
      <c r="B331" s="27" t="s">
        <v>2393</v>
      </c>
      <c r="C331" s="28" t="s">
        <v>2394</v>
      </c>
      <c r="D331" s="28" t="s">
        <v>2395</v>
      </c>
      <c r="E331" s="28" t="s">
        <v>2058</v>
      </c>
      <c r="F331" s="28" t="s">
        <v>142</v>
      </c>
      <c r="G331" s="28" t="s">
        <v>2429</v>
      </c>
      <c r="H331" s="28" t="s">
        <v>2430</v>
      </c>
      <c r="I331" s="28" t="s">
        <v>2431</v>
      </c>
      <c r="J331" s="28" t="s">
        <v>116</v>
      </c>
      <c r="K331" s="28" t="s">
        <v>2432</v>
      </c>
      <c r="L331" s="28">
        <v>1</v>
      </c>
      <c r="M331" s="28">
        <v>0.5</v>
      </c>
      <c r="N331" s="25">
        <f t="shared" si="5"/>
        <v>0.5</v>
      </c>
      <c r="O331" s="28" t="s">
        <v>774</v>
      </c>
      <c r="P331" s="28" t="s">
        <v>280</v>
      </c>
      <c r="Q331" s="28" t="s">
        <v>484</v>
      </c>
      <c r="R331" s="28" t="s">
        <v>1026</v>
      </c>
      <c r="S331" s="28" t="s">
        <v>2083</v>
      </c>
      <c r="T331" s="28" t="s">
        <v>2433</v>
      </c>
      <c r="U331" s="28"/>
      <c r="V331" s="28" t="s">
        <v>2402</v>
      </c>
    </row>
    <row r="332" spans="1:22" ht="34.5" customHeight="1" x14ac:dyDescent="0.25">
      <c r="A332" s="26">
        <v>30</v>
      </c>
      <c r="B332" s="27" t="s">
        <v>2393</v>
      </c>
      <c r="C332" s="28" t="s">
        <v>2394</v>
      </c>
      <c r="D332" s="28" t="s">
        <v>2395</v>
      </c>
      <c r="E332" s="28" t="s">
        <v>2130</v>
      </c>
      <c r="F332" s="28" t="s">
        <v>157</v>
      </c>
      <c r="G332" s="28" t="s">
        <v>2434</v>
      </c>
      <c r="H332" s="28" t="s">
        <v>2435</v>
      </c>
      <c r="I332" s="28" t="s">
        <v>2436</v>
      </c>
      <c r="J332" s="28" t="s">
        <v>161</v>
      </c>
      <c r="K332" s="28" t="s">
        <v>2437</v>
      </c>
      <c r="L332" s="28">
        <v>3</v>
      </c>
      <c r="M332" s="28">
        <v>1</v>
      </c>
      <c r="N332" s="25">
        <f t="shared" si="5"/>
        <v>1.25</v>
      </c>
      <c r="O332" s="28" t="s">
        <v>1907</v>
      </c>
      <c r="P332" s="28" t="s">
        <v>2135</v>
      </c>
      <c r="Q332" s="28" t="s">
        <v>429</v>
      </c>
      <c r="R332" s="28" t="s">
        <v>1026</v>
      </c>
      <c r="S332" s="28" t="s">
        <v>2083</v>
      </c>
      <c r="T332" s="28" t="s">
        <v>2400</v>
      </c>
      <c r="U332" s="28"/>
      <c r="V332" s="28" t="s">
        <v>2402</v>
      </c>
    </row>
    <row r="333" spans="1:22" ht="34.5" customHeight="1" x14ac:dyDescent="0.25">
      <c r="A333" s="26">
        <v>31</v>
      </c>
      <c r="B333" s="27" t="s">
        <v>2438</v>
      </c>
      <c r="C333" s="28" t="s">
        <v>2439</v>
      </c>
      <c r="D333" s="28" t="s">
        <v>2440</v>
      </c>
      <c r="E333" s="28" t="s">
        <v>2441</v>
      </c>
      <c r="F333" s="28" t="s">
        <v>26</v>
      </c>
      <c r="G333" s="28" t="s">
        <v>2442</v>
      </c>
      <c r="H333" s="28" t="s">
        <v>2443</v>
      </c>
      <c r="I333" s="28" t="s">
        <v>2444</v>
      </c>
      <c r="J333" s="28" t="s">
        <v>30</v>
      </c>
      <c r="K333" s="28"/>
      <c r="L333" s="28">
        <v>2</v>
      </c>
      <c r="M333" s="28">
        <v>0.75</v>
      </c>
      <c r="N333" s="25">
        <f t="shared" si="5"/>
        <v>1</v>
      </c>
      <c r="O333" s="28" t="s">
        <v>1535</v>
      </c>
      <c r="P333" s="28" t="s">
        <v>1536</v>
      </c>
      <c r="Q333" s="28" t="s">
        <v>429</v>
      </c>
      <c r="R333" s="28" t="s">
        <v>1026</v>
      </c>
      <c r="S333" s="28" t="s">
        <v>2083</v>
      </c>
      <c r="T333" s="28" t="s">
        <v>2445</v>
      </c>
      <c r="U333" s="28" t="s">
        <v>2446</v>
      </c>
      <c r="V333" s="28" t="s">
        <v>2447</v>
      </c>
    </row>
    <row r="334" spans="1:22" ht="34.5" customHeight="1" x14ac:dyDescent="0.25">
      <c r="A334" s="26">
        <v>31</v>
      </c>
      <c r="B334" s="27" t="s">
        <v>2438</v>
      </c>
      <c r="C334" s="28" t="s">
        <v>2439</v>
      </c>
      <c r="D334" s="28" t="s">
        <v>2440</v>
      </c>
      <c r="E334" s="28" t="s">
        <v>2448</v>
      </c>
      <c r="F334" s="28" t="s">
        <v>38</v>
      </c>
      <c r="G334" s="28" t="s">
        <v>2449</v>
      </c>
      <c r="H334" s="28" t="s">
        <v>2450</v>
      </c>
      <c r="I334" s="28" t="s">
        <v>2451</v>
      </c>
      <c r="J334" s="28" t="s">
        <v>30</v>
      </c>
      <c r="K334" s="28" t="s">
        <v>2452</v>
      </c>
      <c r="L334" s="28">
        <v>2</v>
      </c>
      <c r="M334" s="28">
        <v>0.75</v>
      </c>
      <c r="N334" s="25">
        <f t="shared" si="5"/>
        <v>1</v>
      </c>
      <c r="O334" s="28" t="s">
        <v>1535</v>
      </c>
      <c r="P334" s="28" t="s">
        <v>2453</v>
      </c>
      <c r="Q334" s="28" t="s">
        <v>419</v>
      </c>
      <c r="R334" s="28" t="s">
        <v>1026</v>
      </c>
      <c r="S334" s="28" t="s">
        <v>2454</v>
      </c>
      <c r="T334" s="28" t="s">
        <v>2455</v>
      </c>
      <c r="U334" s="28" t="s">
        <v>2456</v>
      </c>
      <c r="V334" s="28" t="s">
        <v>2447</v>
      </c>
    </row>
    <row r="335" spans="1:22" ht="34.5" customHeight="1" x14ac:dyDescent="0.25">
      <c r="A335" s="26">
        <v>31</v>
      </c>
      <c r="B335" s="27" t="s">
        <v>2438</v>
      </c>
      <c r="C335" s="28" t="s">
        <v>2439</v>
      </c>
      <c r="D335" s="28" t="s">
        <v>2440</v>
      </c>
      <c r="E335" s="28" t="s">
        <v>2457</v>
      </c>
      <c r="F335" s="28" t="s">
        <v>46</v>
      </c>
      <c r="G335" s="28" t="s">
        <v>2458</v>
      </c>
      <c r="H335" s="28" t="s">
        <v>2459</v>
      </c>
      <c r="I335" s="28" t="s">
        <v>2460</v>
      </c>
      <c r="J335" s="28" t="s">
        <v>30</v>
      </c>
      <c r="K335" s="28" t="s">
        <v>2452</v>
      </c>
      <c r="L335" s="28">
        <v>2</v>
      </c>
      <c r="M335" s="28">
        <v>0.75</v>
      </c>
      <c r="N335" s="25">
        <f t="shared" si="5"/>
        <v>1</v>
      </c>
      <c r="O335" s="28" t="s">
        <v>1535</v>
      </c>
      <c r="P335" s="28" t="s">
        <v>1802</v>
      </c>
      <c r="Q335" s="28" t="s">
        <v>419</v>
      </c>
      <c r="R335" s="28" t="s">
        <v>1026</v>
      </c>
      <c r="S335" s="28" t="s">
        <v>2461</v>
      </c>
      <c r="T335" s="28" t="s">
        <v>2462</v>
      </c>
      <c r="U335" s="28" t="s">
        <v>2463</v>
      </c>
      <c r="V335" s="28" t="s">
        <v>2447</v>
      </c>
    </row>
    <row r="336" spans="1:22" ht="34.5" customHeight="1" x14ac:dyDescent="0.25">
      <c r="A336" s="26">
        <v>31</v>
      </c>
      <c r="B336" s="27" t="s">
        <v>2438</v>
      </c>
      <c r="C336" s="28" t="s">
        <v>2439</v>
      </c>
      <c r="D336" s="28" t="s">
        <v>2440</v>
      </c>
      <c r="E336" s="28" t="s">
        <v>2464</v>
      </c>
      <c r="F336" s="28" t="s">
        <v>112</v>
      </c>
      <c r="G336" s="28" t="s">
        <v>2465</v>
      </c>
      <c r="H336" s="28" t="s">
        <v>2466</v>
      </c>
      <c r="I336" s="28" t="s">
        <v>2467</v>
      </c>
      <c r="J336" s="28" t="s">
        <v>116</v>
      </c>
      <c r="K336" s="28"/>
      <c r="L336" s="28">
        <v>2</v>
      </c>
      <c r="M336" s="28">
        <v>1</v>
      </c>
      <c r="N336" s="25">
        <f t="shared" si="5"/>
        <v>1.25</v>
      </c>
      <c r="O336" s="28" t="s">
        <v>774</v>
      </c>
      <c r="P336" s="28" t="s">
        <v>280</v>
      </c>
      <c r="Q336" s="28" t="s">
        <v>419</v>
      </c>
      <c r="R336" s="28" t="s">
        <v>1026</v>
      </c>
      <c r="S336" s="28" t="s">
        <v>2083</v>
      </c>
      <c r="T336" s="28" t="s">
        <v>2455</v>
      </c>
      <c r="U336" s="28"/>
      <c r="V336" s="28" t="s">
        <v>2447</v>
      </c>
    </row>
    <row r="337" spans="1:22" ht="34.5" customHeight="1" x14ac:dyDescent="0.25">
      <c r="A337" s="26">
        <v>31</v>
      </c>
      <c r="B337" s="27" t="s">
        <v>2438</v>
      </c>
      <c r="C337" s="28" t="s">
        <v>2439</v>
      </c>
      <c r="D337" s="28" t="s">
        <v>2440</v>
      </c>
      <c r="E337" s="28" t="s">
        <v>2468</v>
      </c>
      <c r="F337" s="28" t="s">
        <v>120</v>
      </c>
      <c r="G337" s="28" t="s">
        <v>2469</v>
      </c>
      <c r="H337" s="28" t="s">
        <v>2470</v>
      </c>
      <c r="I337" s="28" t="s">
        <v>2471</v>
      </c>
      <c r="J337" s="28" t="s">
        <v>116</v>
      </c>
      <c r="K337" s="28" t="s">
        <v>2452</v>
      </c>
      <c r="L337" s="28">
        <v>1</v>
      </c>
      <c r="M337" s="28">
        <v>0.5</v>
      </c>
      <c r="N337" s="25">
        <f t="shared" si="5"/>
        <v>0.5</v>
      </c>
      <c r="O337" s="28" t="s">
        <v>774</v>
      </c>
      <c r="P337" s="28" t="s">
        <v>280</v>
      </c>
      <c r="Q337" s="28" t="s">
        <v>419</v>
      </c>
      <c r="R337" s="28" t="s">
        <v>1026</v>
      </c>
      <c r="S337" s="28" t="s">
        <v>2083</v>
      </c>
      <c r="T337" s="28" t="s">
        <v>2472</v>
      </c>
      <c r="U337" s="28"/>
      <c r="V337" s="28" t="s">
        <v>2447</v>
      </c>
    </row>
    <row r="338" spans="1:22" ht="34.5" customHeight="1" x14ac:dyDescent="0.25">
      <c r="A338" s="26">
        <v>31</v>
      </c>
      <c r="B338" s="27" t="s">
        <v>2438</v>
      </c>
      <c r="C338" s="28" t="s">
        <v>2439</v>
      </c>
      <c r="D338" s="28" t="s">
        <v>2440</v>
      </c>
      <c r="E338" s="28" t="s">
        <v>2473</v>
      </c>
      <c r="F338" s="28" t="s">
        <v>127</v>
      </c>
      <c r="G338" s="28" t="s">
        <v>2474</v>
      </c>
      <c r="H338" s="28" t="s">
        <v>2475</v>
      </c>
      <c r="I338" s="28" t="s">
        <v>2476</v>
      </c>
      <c r="J338" s="28" t="s">
        <v>116</v>
      </c>
      <c r="K338" s="28" t="s">
        <v>2452</v>
      </c>
      <c r="L338" s="28">
        <v>1</v>
      </c>
      <c r="M338" s="28">
        <v>0.5</v>
      </c>
      <c r="N338" s="25">
        <f t="shared" si="5"/>
        <v>0.5</v>
      </c>
      <c r="O338" s="28" t="s">
        <v>774</v>
      </c>
      <c r="P338" s="28" t="s">
        <v>280</v>
      </c>
      <c r="Q338" s="28" t="s">
        <v>419</v>
      </c>
      <c r="R338" s="28" t="s">
        <v>1026</v>
      </c>
      <c r="S338" s="28" t="s">
        <v>2083</v>
      </c>
      <c r="T338" s="28" t="s">
        <v>2477</v>
      </c>
      <c r="U338" s="28"/>
      <c r="V338" s="28" t="s">
        <v>2447</v>
      </c>
    </row>
    <row r="339" spans="1:22" ht="34.5" customHeight="1" x14ac:dyDescent="0.25">
      <c r="A339" s="26">
        <v>31</v>
      </c>
      <c r="B339" s="27" t="s">
        <v>2438</v>
      </c>
      <c r="C339" s="28" t="s">
        <v>2439</v>
      </c>
      <c r="D339" s="28" t="s">
        <v>2440</v>
      </c>
      <c r="E339" s="28" t="s">
        <v>2478</v>
      </c>
      <c r="F339" s="28" t="s">
        <v>134</v>
      </c>
      <c r="G339" s="28" t="s">
        <v>2479</v>
      </c>
      <c r="H339" s="28" t="s">
        <v>2480</v>
      </c>
      <c r="I339" s="28" t="s">
        <v>2481</v>
      </c>
      <c r="J339" s="28" t="s">
        <v>116</v>
      </c>
      <c r="K339" s="28" t="s">
        <v>2452</v>
      </c>
      <c r="L339" s="28">
        <v>1</v>
      </c>
      <c r="M339" s="28">
        <v>0.5</v>
      </c>
      <c r="N339" s="25">
        <f t="shared" si="5"/>
        <v>0.5</v>
      </c>
      <c r="O339" s="28" t="s">
        <v>774</v>
      </c>
      <c r="P339" s="28" t="s">
        <v>280</v>
      </c>
      <c r="Q339" s="28" t="s">
        <v>419</v>
      </c>
      <c r="R339" s="28" t="s">
        <v>1026</v>
      </c>
      <c r="S339" s="28" t="s">
        <v>2083</v>
      </c>
      <c r="T339" s="28" t="s">
        <v>2482</v>
      </c>
      <c r="U339" s="28"/>
      <c r="V339" s="28" t="s">
        <v>2447</v>
      </c>
    </row>
    <row r="340" spans="1:22" ht="34.5" customHeight="1" x14ac:dyDescent="0.25">
      <c r="A340" s="26">
        <v>31</v>
      </c>
      <c r="B340" s="27" t="s">
        <v>2438</v>
      </c>
      <c r="C340" s="28" t="s">
        <v>2439</v>
      </c>
      <c r="D340" s="28" t="s">
        <v>2440</v>
      </c>
      <c r="E340" s="28" t="s">
        <v>2483</v>
      </c>
      <c r="F340" s="28" t="s">
        <v>142</v>
      </c>
      <c r="G340" s="28" t="s">
        <v>2484</v>
      </c>
      <c r="H340" s="28" t="s">
        <v>2485</v>
      </c>
      <c r="I340" s="28" t="s">
        <v>2486</v>
      </c>
      <c r="J340" s="28" t="s">
        <v>116</v>
      </c>
      <c r="K340" s="28" t="s">
        <v>2452</v>
      </c>
      <c r="L340" s="28">
        <v>1</v>
      </c>
      <c r="M340" s="28">
        <v>0.5</v>
      </c>
      <c r="N340" s="25">
        <f t="shared" si="5"/>
        <v>0.5</v>
      </c>
      <c r="O340" s="28" t="s">
        <v>774</v>
      </c>
      <c r="P340" s="28" t="s">
        <v>280</v>
      </c>
      <c r="Q340" s="28" t="s">
        <v>419</v>
      </c>
      <c r="R340" s="28" t="s">
        <v>1026</v>
      </c>
      <c r="S340" s="28" t="s">
        <v>2083</v>
      </c>
      <c r="T340" s="28" t="s">
        <v>2487</v>
      </c>
      <c r="U340" s="28"/>
      <c r="V340" s="28" t="s">
        <v>2447</v>
      </c>
    </row>
    <row r="341" spans="1:22" ht="34.5" customHeight="1" x14ac:dyDescent="0.25">
      <c r="A341" s="26">
        <v>31</v>
      </c>
      <c r="B341" s="27" t="s">
        <v>2438</v>
      </c>
      <c r="C341" s="28" t="s">
        <v>2439</v>
      </c>
      <c r="D341" s="28" t="s">
        <v>2440</v>
      </c>
      <c r="E341" s="28" t="s">
        <v>2488</v>
      </c>
      <c r="F341" s="28" t="s">
        <v>150</v>
      </c>
      <c r="G341" s="28" t="s">
        <v>2489</v>
      </c>
      <c r="H341" s="28" t="s">
        <v>2490</v>
      </c>
      <c r="I341" s="28" t="s">
        <v>2491</v>
      </c>
      <c r="J341" s="28" t="s">
        <v>116</v>
      </c>
      <c r="K341" s="28" t="s">
        <v>2492</v>
      </c>
      <c r="L341" s="28">
        <v>1</v>
      </c>
      <c r="M341" s="28">
        <v>0.5</v>
      </c>
      <c r="N341" s="25">
        <f t="shared" si="5"/>
        <v>0.5</v>
      </c>
      <c r="O341" s="28" t="s">
        <v>774</v>
      </c>
      <c r="P341" s="28" t="s">
        <v>280</v>
      </c>
      <c r="Q341" s="28" t="s">
        <v>419</v>
      </c>
      <c r="R341" s="28" t="s">
        <v>1026</v>
      </c>
      <c r="S341" s="28" t="s">
        <v>2461</v>
      </c>
      <c r="T341" s="28" t="s">
        <v>2493</v>
      </c>
      <c r="U341" s="28"/>
      <c r="V341" s="28" t="s">
        <v>2447</v>
      </c>
    </row>
    <row r="342" spans="1:22" ht="34.5" customHeight="1" x14ac:dyDescent="0.25">
      <c r="A342" s="26">
        <v>31</v>
      </c>
      <c r="B342" s="27" t="s">
        <v>2438</v>
      </c>
      <c r="C342" s="28" t="s">
        <v>2439</v>
      </c>
      <c r="D342" s="28" t="s">
        <v>2440</v>
      </c>
      <c r="E342" s="28" t="s">
        <v>2494</v>
      </c>
      <c r="F342" s="28" t="s">
        <v>478</v>
      </c>
      <c r="G342" s="28" t="s">
        <v>2495</v>
      </c>
      <c r="H342" s="28" t="s">
        <v>2496</v>
      </c>
      <c r="I342" s="28" t="s">
        <v>2497</v>
      </c>
      <c r="J342" s="28" t="s">
        <v>116</v>
      </c>
      <c r="K342" s="28" t="s">
        <v>2498</v>
      </c>
      <c r="L342" s="28">
        <v>1</v>
      </c>
      <c r="M342" s="28">
        <v>0.5</v>
      </c>
      <c r="N342" s="25">
        <f t="shared" si="5"/>
        <v>0.5</v>
      </c>
      <c r="O342" s="28" t="s">
        <v>774</v>
      </c>
      <c r="P342" s="28" t="s">
        <v>280</v>
      </c>
      <c r="Q342" s="28" t="s">
        <v>419</v>
      </c>
      <c r="R342" s="28" t="s">
        <v>1026</v>
      </c>
      <c r="S342" s="28" t="s">
        <v>2461</v>
      </c>
      <c r="T342" s="28" t="s">
        <v>2499</v>
      </c>
      <c r="U342" s="28"/>
      <c r="V342" s="28" t="s">
        <v>2447</v>
      </c>
    </row>
    <row r="343" spans="1:22" ht="34.5" customHeight="1" x14ac:dyDescent="0.25">
      <c r="A343" s="26">
        <v>31</v>
      </c>
      <c r="B343" s="27" t="s">
        <v>2438</v>
      </c>
      <c r="C343" s="28" t="s">
        <v>2439</v>
      </c>
      <c r="D343" s="28" t="s">
        <v>2440</v>
      </c>
      <c r="E343" s="28" t="s">
        <v>2058</v>
      </c>
      <c r="F343" s="28" t="s">
        <v>487</v>
      </c>
      <c r="G343" s="28" t="s">
        <v>2500</v>
      </c>
      <c r="H343" s="28" t="s">
        <v>2501</v>
      </c>
      <c r="I343" s="28" t="s">
        <v>2502</v>
      </c>
      <c r="J343" s="28" t="s">
        <v>116</v>
      </c>
      <c r="K343" s="28" t="s">
        <v>2452</v>
      </c>
      <c r="L343" s="28">
        <v>0.5</v>
      </c>
      <c r="M343" s="28">
        <v>0.25</v>
      </c>
      <c r="N343" s="25">
        <f t="shared" si="5"/>
        <v>0.25</v>
      </c>
      <c r="O343" s="28" t="s">
        <v>774</v>
      </c>
      <c r="P343" s="28" t="s">
        <v>280</v>
      </c>
      <c r="Q343" s="28" t="s">
        <v>484</v>
      </c>
      <c r="R343" s="28" t="s">
        <v>1026</v>
      </c>
      <c r="S343" s="28" t="s">
        <v>2083</v>
      </c>
      <c r="T343" s="28" t="s">
        <v>2455</v>
      </c>
      <c r="U343" s="28"/>
      <c r="V343" s="28" t="s">
        <v>2447</v>
      </c>
    </row>
    <row r="344" spans="1:22" ht="34.5" customHeight="1" x14ac:dyDescent="0.25">
      <c r="A344" s="26">
        <v>31</v>
      </c>
      <c r="B344" s="27" t="s">
        <v>2438</v>
      </c>
      <c r="C344" s="28" t="s">
        <v>2439</v>
      </c>
      <c r="D344" s="28" t="s">
        <v>2440</v>
      </c>
      <c r="E344" s="28" t="s">
        <v>2130</v>
      </c>
      <c r="F344" s="28" t="s">
        <v>157</v>
      </c>
      <c r="G344" s="28" t="s">
        <v>2503</v>
      </c>
      <c r="H344" s="28" t="s">
        <v>2504</v>
      </c>
      <c r="I344" s="28" t="s">
        <v>2505</v>
      </c>
      <c r="J344" s="28" t="s">
        <v>161</v>
      </c>
      <c r="K344" s="28" t="s">
        <v>2506</v>
      </c>
      <c r="L344" s="28">
        <v>3</v>
      </c>
      <c r="M344" s="28">
        <v>1</v>
      </c>
      <c r="N344" s="25">
        <f t="shared" si="5"/>
        <v>1.25</v>
      </c>
      <c r="O344" s="28" t="s">
        <v>1907</v>
      </c>
      <c r="P344" s="28" t="s">
        <v>2135</v>
      </c>
      <c r="Q344" s="28" t="s">
        <v>429</v>
      </c>
      <c r="R344" s="28" t="s">
        <v>1026</v>
      </c>
      <c r="S344" s="28" t="s">
        <v>2507</v>
      </c>
      <c r="T344" s="28" t="s">
        <v>2455</v>
      </c>
      <c r="U344" s="28"/>
      <c r="V344" s="28" t="s">
        <v>2447</v>
      </c>
    </row>
    <row r="345" spans="1:22" ht="34.5" customHeight="1" x14ac:dyDescent="0.25">
      <c r="A345" s="26">
        <v>32</v>
      </c>
      <c r="B345" s="27" t="s">
        <v>2508</v>
      </c>
      <c r="C345" s="28" t="s">
        <v>2509</v>
      </c>
      <c r="D345" s="28" t="s">
        <v>2510</v>
      </c>
      <c r="E345" s="28" t="s">
        <v>2511</v>
      </c>
      <c r="F345" s="28" t="s">
        <v>26</v>
      </c>
      <c r="G345" s="28" t="s">
        <v>2512</v>
      </c>
      <c r="H345" s="28" t="s">
        <v>2513</v>
      </c>
      <c r="I345" s="28" t="s">
        <v>2514</v>
      </c>
      <c r="J345" s="28" t="s">
        <v>30</v>
      </c>
      <c r="K345" s="28"/>
      <c r="L345" s="28">
        <v>2</v>
      </c>
      <c r="M345" s="28">
        <v>0.75</v>
      </c>
      <c r="N345" s="25">
        <f t="shared" si="5"/>
        <v>1</v>
      </c>
      <c r="O345" s="28" t="s">
        <v>1535</v>
      </c>
      <c r="P345" s="28" t="s">
        <v>1536</v>
      </c>
      <c r="Q345" s="28" t="s">
        <v>429</v>
      </c>
      <c r="R345" s="28" t="s">
        <v>1026</v>
      </c>
      <c r="S345" s="28" t="s">
        <v>2083</v>
      </c>
      <c r="T345" s="28" t="s">
        <v>2515</v>
      </c>
      <c r="U345" s="28" t="s">
        <v>2516</v>
      </c>
      <c r="V345" s="28" t="s">
        <v>2517</v>
      </c>
    </row>
    <row r="346" spans="1:22" ht="34.5" customHeight="1" x14ac:dyDescent="0.25">
      <c r="A346" s="26">
        <v>32</v>
      </c>
      <c r="B346" s="27" t="s">
        <v>2508</v>
      </c>
      <c r="C346" s="28" t="s">
        <v>2509</v>
      </c>
      <c r="D346" s="28" t="s">
        <v>2510</v>
      </c>
      <c r="E346" s="28" t="s">
        <v>2518</v>
      </c>
      <c r="F346" s="28" t="s">
        <v>38</v>
      </c>
      <c r="G346" s="28" t="s">
        <v>2519</v>
      </c>
      <c r="H346" s="28" t="s">
        <v>2520</v>
      </c>
      <c r="I346" s="28" t="s">
        <v>2521</v>
      </c>
      <c r="J346" s="28" t="s">
        <v>30</v>
      </c>
      <c r="K346" s="28" t="s">
        <v>2522</v>
      </c>
      <c r="L346" s="28">
        <v>3</v>
      </c>
      <c r="M346" s="28">
        <v>1</v>
      </c>
      <c r="N346" s="25">
        <f t="shared" si="5"/>
        <v>1.25</v>
      </c>
      <c r="O346" s="28" t="s">
        <v>1535</v>
      </c>
      <c r="P346" s="28" t="s">
        <v>2523</v>
      </c>
      <c r="Q346" s="28" t="s">
        <v>2524</v>
      </c>
      <c r="R346" s="28" t="s">
        <v>2525</v>
      </c>
      <c r="S346" s="28" t="s">
        <v>2526</v>
      </c>
      <c r="T346" s="28" t="s">
        <v>2527</v>
      </c>
      <c r="U346" s="28" t="s">
        <v>2528</v>
      </c>
      <c r="V346" s="28" t="s">
        <v>2517</v>
      </c>
    </row>
    <row r="347" spans="1:22" ht="34.5" customHeight="1" x14ac:dyDescent="0.25">
      <c r="A347" s="26">
        <v>32</v>
      </c>
      <c r="B347" s="27" t="s">
        <v>2508</v>
      </c>
      <c r="C347" s="28" t="s">
        <v>2509</v>
      </c>
      <c r="D347" s="28" t="s">
        <v>2510</v>
      </c>
      <c r="E347" s="28" t="s">
        <v>2529</v>
      </c>
      <c r="F347" s="28" t="s">
        <v>46</v>
      </c>
      <c r="G347" s="28" t="s">
        <v>2530</v>
      </c>
      <c r="H347" s="28" t="s">
        <v>2531</v>
      </c>
      <c r="I347" s="28" t="s">
        <v>2532</v>
      </c>
      <c r="J347" s="28" t="s">
        <v>30</v>
      </c>
      <c r="K347" s="28" t="s">
        <v>2522</v>
      </c>
      <c r="L347" s="28">
        <v>2</v>
      </c>
      <c r="M347" s="28">
        <v>0.75</v>
      </c>
      <c r="N347" s="25">
        <f t="shared" si="5"/>
        <v>1</v>
      </c>
      <c r="O347" s="28" t="s">
        <v>1535</v>
      </c>
      <c r="P347" s="28" t="s">
        <v>2523</v>
      </c>
      <c r="Q347" s="28" t="s">
        <v>419</v>
      </c>
      <c r="R347" s="28" t="s">
        <v>2525</v>
      </c>
      <c r="S347" s="28" t="s">
        <v>2533</v>
      </c>
      <c r="T347" s="28" t="s">
        <v>2534</v>
      </c>
      <c r="U347" s="28" t="s">
        <v>2535</v>
      </c>
      <c r="V347" s="28" t="s">
        <v>2517</v>
      </c>
    </row>
    <row r="348" spans="1:22" ht="34.5" customHeight="1" x14ac:dyDescent="0.25">
      <c r="A348" s="26">
        <v>32</v>
      </c>
      <c r="B348" s="27" t="s">
        <v>2508</v>
      </c>
      <c r="C348" s="28" t="s">
        <v>2509</v>
      </c>
      <c r="D348" s="28" t="s">
        <v>2510</v>
      </c>
      <c r="E348" s="28" t="s">
        <v>2536</v>
      </c>
      <c r="F348" s="28" t="s">
        <v>112</v>
      </c>
      <c r="G348" s="28" t="s">
        <v>2537</v>
      </c>
      <c r="H348" s="28" t="s">
        <v>2538</v>
      </c>
      <c r="I348" s="28" t="s">
        <v>2539</v>
      </c>
      <c r="J348" s="28" t="s">
        <v>116</v>
      </c>
      <c r="K348" s="28"/>
      <c r="L348" s="28">
        <v>2</v>
      </c>
      <c r="M348" s="28">
        <v>1</v>
      </c>
      <c r="N348" s="25">
        <f t="shared" si="5"/>
        <v>1.25</v>
      </c>
      <c r="O348" s="28" t="s">
        <v>774</v>
      </c>
      <c r="P348" s="28" t="s">
        <v>280</v>
      </c>
      <c r="Q348" s="28" t="s">
        <v>419</v>
      </c>
      <c r="R348" s="28" t="s">
        <v>1026</v>
      </c>
      <c r="S348" s="28" t="s">
        <v>2083</v>
      </c>
      <c r="T348" s="28" t="s">
        <v>2533</v>
      </c>
      <c r="U348" s="28"/>
      <c r="V348" s="28" t="s">
        <v>2517</v>
      </c>
    </row>
    <row r="349" spans="1:22" ht="34.5" customHeight="1" x14ac:dyDescent="0.25">
      <c r="A349" s="26">
        <v>32</v>
      </c>
      <c r="B349" s="27" t="s">
        <v>2508</v>
      </c>
      <c r="C349" s="28" t="s">
        <v>2509</v>
      </c>
      <c r="D349" s="28" t="s">
        <v>2510</v>
      </c>
      <c r="E349" s="28" t="s">
        <v>2540</v>
      </c>
      <c r="F349" s="28" t="s">
        <v>120</v>
      </c>
      <c r="G349" s="28" t="s">
        <v>2541</v>
      </c>
      <c r="H349" s="28" t="s">
        <v>2542</v>
      </c>
      <c r="I349" s="28" t="s">
        <v>2543</v>
      </c>
      <c r="J349" s="28" t="s">
        <v>116</v>
      </c>
      <c r="K349" s="28" t="s">
        <v>2522</v>
      </c>
      <c r="L349" s="28">
        <v>1</v>
      </c>
      <c r="M349" s="28">
        <v>0.5</v>
      </c>
      <c r="N349" s="25">
        <f t="shared" si="5"/>
        <v>0.5</v>
      </c>
      <c r="O349" s="28" t="s">
        <v>774</v>
      </c>
      <c r="P349" s="28" t="s">
        <v>280</v>
      </c>
      <c r="Q349" s="28" t="s">
        <v>419</v>
      </c>
      <c r="R349" s="28" t="s">
        <v>1026</v>
      </c>
      <c r="S349" s="28" t="s">
        <v>2083</v>
      </c>
      <c r="T349" s="28" t="s">
        <v>2544</v>
      </c>
      <c r="U349" s="28"/>
      <c r="V349" s="28" t="s">
        <v>2517</v>
      </c>
    </row>
    <row r="350" spans="1:22" ht="34.5" customHeight="1" x14ac:dyDescent="0.25">
      <c r="A350" s="26">
        <v>32</v>
      </c>
      <c r="B350" s="27" t="s">
        <v>2508</v>
      </c>
      <c r="C350" s="28" t="s">
        <v>2509</v>
      </c>
      <c r="D350" s="28" t="s">
        <v>2510</v>
      </c>
      <c r="E350" s="28" t="s">
        <v>2545</v>
      </c>
      <c r="F350" s="28" t="s">
        <v>127</v>
      </c>
      <c r="G350" s="28" t="s">
        <v>2546</v>
      </c>
      <c r="H350" s="28" t="s">
        <v>2547</v>
      </c>
      <c r="I350" s="28" t="s">
        <v>2548</v>
      </c>
      <c r="J350" s="28" t="s">
        <v>116</v>
      </c>
      <c r="K350" s="28" t="s">
        <v>2522</v>
      </c>
      <c r="L350" s="28">
        <v>1</v>
      </c>
      <c r="M350" s="28">
        <v>0.5</v>
      </c>
      <c r="N350" s="25">
        <f t="shared" si="5"/>
        <v>0.5</v>
      </c>
      <c r="O350" s="28" t="s">
        <v>774</v>
      </c>
      <c r="P350" s="28" t="s">
        <v>280</v>
      </c>
      <c r="Q350" s="28" t="s">
        <v>419</v>
      </c>
      <c r="R350" s="28" t="s">
        <v>1026</v>
      </c>
      <c r="S350" s="28" t="s">
        <v>2083</v>
      </c>
      <c r="T350" s="28" t="s">
        <v>2549</v>
      </c>
      <c r="U350" s="28"/>
      <c r="V350" s="28" t="s">
        <v>2517</v>
      </c>
    </row>
    <row r="351" spans="1:22" ht="34.5" customHeight="1" x14ac:dyDescent="0.25">
      <c r="A351" s="26">
        <v>32</v>
      </c>
      <c r="B351" s="27" t="s">
        <v>2508</v>
      </c>
      <c r="C351" s="28" t="s">
        <v>2509</v>
      </c>
      <c r="D351" s="28" t="s">
        <v>2510</v>
      </c>
      <c r="E351" s="28" t="s">
        <v>2550</v>
      </c>
      <c r="F351" s="28" t="s">
        <v>134</v>
      </c>
      <c r="G351" s="28" t="s">
        <v>2551</v>
      </c>
      <c r="H351" s="28" t="s">
        <v>2552</v>
      </c>
      <c r="I351" s="28" t="s">
        <v>2553</v>
      </c>
      <c r="J351" s="28" t="s">
        <v>116</v>
      </c>
      <c r="K351" s="28" t="s">
        <v>2522</v>
      </c>
      <c r="L351" s="28">
        <v>0.5</v>
      </c>
      <c r="M351" s="28">
        <v>0.25</v>
      </c>
      <c r="N351" s="25">
        <f t="shared" si="5"/>
        <v>0.25</v>
      </c>
      <c r="O351" s="28" t="s">
        <v>774</v>
      </c>
      <c r="P351" s="28" t="s">
        <v>280</v>
      </c>
      <c r="Q351" s="28" t="s">
        <v>419</v>
      </c>
      <c r="R351" s="28" t="s">
        <v>1026</v>
      </c>
      <c r="S351" s="28" t="s">
        <v>2083</v>
      </c>
      <c r="T351" s="28" t="s">
        <v>2554</v>
      </c>
      <c r="U351" s="28"/>
      <c r="V351" s="28" t="s">
        <v>2517</v>
      </c>
    </row>
    <row r="352" spans="1:22" ht="34.5" customHeight="1" x14ac:dyDescent="0.25">
      <c r="A352" s="26">
        <v>32</v>
      </c>
      <c r="B352" s="27" t="s">
        <v>2508</v>
      </c>
      <c r="C352" s="28" t="s">
        <v>2509</v>
      </c>
      <c r="D352" s="28" t="s">
        <v>2510</v>
      </c>
      <c r="E352" s="28" t="s">
        <v>2555</v>
      </c>
      <c r="F352" s="28" t="s">
        <v>142</v>
      </c>
      <c r="G352" s="28" t="s">
        <v>2556</v>
      </c>
      <c r="H352" s="28" t="s">
        <v>2557</v>
      </c>
      <c r="I352" s="28" t="s">
        <v>2558</v>
      </c>
      <c r="J352" s="28" t="s">
        <v>116</v>
      </c>
      <c r="K352" s="28" t="s">
        <v>2559</v>
      </c>
      <c r="L352" s="28">
        <v>2</v>
      </c>
      <c r="M352" s="28">
        <v>1</v>
      </c>
      <c r="N352" s="25">
        <f t="shared" si="5"/>
        <v>1.25</v>
      </c>
      <c r="O352" s="28" t="s">
        <v>774</v>
      </c>
      <c r="P352" s="28" t="s">
        <v>280</v>
      </c>
      <c r="Q352" s="28" t="s">
        <v>2524</v>
      </c>
      <c r="R352" s="28" t="s">
        <v>2525</v>
      </c>
      <c r="S352" s="28" t="s">
        <v>2526</v>
      </c>
      <c r="T352" s="28" t="s">
        <v>2560</v>
      </c>
      <c r="U352" s="28"/>
      <c r="V352" s="28" t="s">
        <v>2517</v>
      </c>
    </row>
    <row r="353" spans="1:22" ht="34.5" customHeight="1" x14ac:dyDescent="0.25">
      <c r="A353" s="26">
        <v>32</v>
      </c>
      <c r="B353" s="27" t="s">
        <v>2508</v>
      </c>
      <c r="C353" s="28" t="s">
        <v>2509</v>
      </c>
      <c r="D353" s="28" t="s">
        <v>2510</v>
      </c>
      <c r="E353" s="28" t="s">
        <v>2561</v>
      </c>
      <c r="F353" s="28" t="s">
        <v>150</v>
      </c>
      <c r="G353" s="28" t="s">
        <v>2562</v>
      </c>
      <c r="H353" s="28" t="s">
        <v>2563</v>
      </c>
      <c r="I353" s="28" t="s">
        <v>2564</v>
      </c>
      <c r="J353" s="28" t="s">
        <v>116</v>
      </c>
      <c r="K353" s="28" t="s">
        <v>2559</v>
      </c>
      <c r="L353" s="28">
        <v>1</v>
      </c>
      <c r="M353" s="28">
        <v>0.5</v>
      </c>
      <c r="N353" s="25">
        <f t="shared" si="5"/>
        <v>0.5</v>
      </c>
      <c r="O353" s="28" t="s">
        <v>774</v>
      </c>
      <c r="P353" s="28" t="s">
        <v>280</v>
      </c>
      <c r="Q353" s="28" t="s">
        <v>2565</v>
      </c>
      <c r="R353" s="28" t="s">
        <v>2525</v>
      </c>
      <c r="S353" s="28" t="s">
        <v>2526</v>
      </c>
      <c r="T353" s="28" t="s">
        <v>2566</v>
      </c>
      <c r="U353" s="28"/>
      <c r="V353" s="28" t="s">
        <v>2517</v>
      </c>
    </row>
    <row r="354" spans="1:22" ht="34.5" customHeight="1" x14ac:dyDescent="0.25">
      <c r="A354" s="26">
        <v>32</v>
      </c>
      <c r="B354" s="27" t="s">
        <v>2508</v>
      </c>
      <c r="C354" s="28" t="s">
        <v>2509</v>
      </c>
      <c r="D354" s="28" t="s">
        <v>2510</v>
      </c>
      <c r="E354" s="28" t="s">
        <v>2567</v>
      </c>
      <c r="F354" s="28" t="s">
        <v>478</v>
      </c>
      <c r="G354" s="28" t="s">
        <v>2568</v>
      </c>
      <c r="H354" s="28" t="s">
        <v>2569</v>
      </c>
      <c r="I354" s="28" t="s">
        <v>2570</v>
      </c>
      <c r="J354" s="28" t="s">
        <v>116</v>
      </c>
      <c r="K354" s="28" t="s">
        <v>2571</v>
      </c>
      <c r="L354" s="28">
        <v>1</v>
      </c>
      <c r="M354" s="28">
        <v>0.5</v>
      </c>
      <c r="N354" s="25">
        <f t="shared" si="5"/>
        <v>0.5</v>
      </c>
      <c r="O354" s="28" t="s">
        <v>774</v>
      </c>
      <c r="P354" s="28" t="s">
        <v>280</v>
      </c>
      <c r="Q354" s="28" t="s">
        <v>419</v>
      </c>
      <c r="R354" s="28" t="s">
        <v>2525</v>
      </c>
      <c r="S354" s="28" t="s">
        <v>2533</v>
      </c>
      <c r="T354" s="28" t="s">
        <v>2534</v>
      </c>
      <c r="U354" s="28"/>
      <c r="V354" s="28" t="s">
        <v>2517</v>
      </c>
    </row>
    <row r="355" spans="1:22" ht="34.5" customHeight="1" x14ac:dyDescent="0.25">
      <c r="A355" s="26">
        <v>32</v>
      </c>
      <c r="B355" s="27" t="s">
        <v>2508</v>
      </c>
      <c r="C355" s="28" t="s">
        <v>2509</v>
      </c>
      <c r="D355" s="28" t="s">
        <v>2510</v>
      </c>
      <c r="E355" s="28" t="s">
        <v>2058</v>
      </c>
      <c r="F355" s="28" t="s">
        <v>487</v>
      </c>
      <c r="G355" s="28" t="s">
        <v>2572</v>
      </c>
      <c r="H355" s="28" t="s">
        <v>2573</v>
      </c>
      <c r="I355" s="28" t="s">
        <v>2574</v>
      </c>
      <c r="J355" s="28" t="s">
        <v>116</v>
      </c>
      <c r="K355" s="28" t="s">
        <v>2522</v>
      </c>
      <c r="L355" s="28">
        <v>0.5</v>
      </c>
      <c r="M355" s="28">
        <v>0.25</v>
      </c>
      <c r="N355" s="25">
        <f t="shared" si="5"/>
        <v>0.25</v>
      </c>
      <c r="O355" s="28" t="s">
        <v>774</v>
      </c>
      <c r="P355" s="28" t="s">
        <v>280</v>
      </c>
      <c r="Q355" s="28" t="s">
        <v>484</v>
      </c>
      <c r="R355" s="28" t="s">
        <v>1026</v>
      </c>
      <c r="S355" s="28" t="s">
        <v>2083</v>
      </c>
      <c r="T355" s="28" t="s">
        <v>2575</v>
      </c>
      <c r="U355" s="28"/>
      <c r="V355" s="28" t="s">
        <v>2517</v>
      </c>
    </row>
    <row r="356" spans="1:22" ht="34.5" customHeight="1" x14ac:dyDescent="0.25">
      <c r="A356" s="26">
        <v>32</v>
      </c>
      <c r="B356" s="27" t="s">
        <v>2508</v>
      </c>
      <c r="C356" s="28" t="s">
        <v>2509</v>
      </c>
      <c r="D356" s="28" t="s">
        <v>2510</v>
      </c>
      <c r="E356" s="28" t="s">
        <v>2576</v>
      </c>
      <c r="F356" s="28" t="s">
        <v>157</v>
      </c>
      <c r="G356" s="28" t="s">
        <v>2577</v>
      </c>
      <c r="H356" s="28" t="s">
        <v>2578</v>
      </c>
      <c r="I356" s="28" t="s">
        <v>2579</v>
      </c>
      <c r="J356" s="28" t="s">
        <v>161</v>
      </c>
      <c r="K356" s="28" t="s">
        <v>2580</v>
      </c>
      <c r="L356" s="28">
        <v>3</v>
      </c>
      <c r="M356" s="28">
        <v>1</v>
      </c>
      <c r="N356" s="25">
        <f t="shared" si="5"/>
        <v>1.25</v>
      </c>
      <c r="O356" s="28" t="s">
        <v>1907</v>
      </c>
      <c r="P356" s="28" t="s">
        <v>2135</v>
      </c>
      <c r="Q356" s="28" t="s">
        <v>2581</v>
      </c>
      <c r="R356" s="28" t="s">
        <v>2525</v>
      </c>
      <c r="S356" s="28" t="s">
        <v>2582</v>
      </c>
      <c r="T356" s="28" t="s">
        <v>2575</v>
      </c>
      <c r="U356" s="28"/>
      <c r="V356" s="28" t="s">
        <v>2517</v>
      </c>
    </row>
    <row r="357" spans="1:22" ht="34.5" customHeight="1" x14ac:dyDescent="0.25">
      <c r="A357" s="26">
        <v>33</v>
      </c>
      <c r="B357" s="27" t="s">
        <v>2583</v>
      </c>
      <c r="C357" s="28" t="s">
        <v>2584</v>
      </c>
      <c r="D357" s="28" t="s">
        <v>2585</v>
      </c>
      <c r="E357" s="28" t="s">
        <v>2586</v>
      </c>
      <c r="F357" s="28" t="s">
        <v>26</v>
      </c>
      <c r="G357" s="28" t="s">
        <v>2587</v>
      </c>
      <c r="H357" s="28" t="s">
        <v>2588</v>
      </c>
      <c r="I357" s="28" t="s">
        <v>2589</v>
      </c>
      <c r="J357" s="28" t="s">
        <v>30</v>
      </c>
      <c r="K357" s="28"/>
      <c r="L357" s="28">
        <v>2</v>
      </c>
      <c r="M357" s="28">
        <v>0.75</v>
      </c>
      <c r="N357" s="25">
        <f t="shared" si="5"/>
        <v>1</v>
      </c>
      <c r="O357" s="28" t="s">
        <v>1535</v>
      </c>
      <c r="P357" s="28" t="s">
        <v>1536</v>
      </c>
      <c r="Q357" s="28" t="s">
        <v>429</v>
      </c>
      <c r="R357" s="28" t="s">
        <v>1026</v>
      </c>
      <c r="S357" s="28" t="s">
        <v>2083</v>
      </c>
      <c r="T357" s="28" t="s">
        <v>2590</v>
      </c>
      <c r="U357" s="28" t="s">
        <v>2591</v>
      </c>
      <c r="V357" s="28" t="s">
        <v>2592</v>
      </c>
    </row>
    <row r="358" spans="1:22" ht="34.5" customHeight="1" x14ac:dyDescent="0.25">
      <c r="A358" s="26">
        <v>33</v>
      </c>
      <c r="B358" s="27" t="s">
        <v>2583</v>
      </c>
      <c r="C358" s="28" t="s">
        <v>2584</v>
      </c>
      <c r="D358" s="28" t="s">
        <v>2585</v>
      </c>
      <c r="E358" s="28" t="s">
        <v>2593</v>
      </c>
      <c r="F358" s="28" t="s">
        <v>38</v>
      </c>
      <c r="G358" s="28" t="s">
        <v>2594</v>
      </c>
      <c r="H358" s="28" t="s">
        <v>2595</v>
      </c>
      <c r="I358" s="28" t="s">
        <v>2596</v>
      </c>
      <c r="J358" s="28" t="s">
        <v>30</v>
      </c>
      <c r="K358" s="28" t="s">
        <v>2597</v>
      </c>
      <c r="L358" s="28">
        <v>2</v>
      </c>
      <c r="M358" s="28">
        <v>0.75</v>
      </c>
      <c r="N358" s="25">
        <f t="shared" si="5"/>
        <v>1</v>
      </c>
      <c r="O358" s="28" t="s">
        <v>1535</v>
      </c>
      <c r="P358" s="28" t="s">
        <v>1536</v>
      </c>
      <c r="Q358" s="28" t="s">
        <v>2581</v>
      </c>
      <c r="R358" s="28" t="s">
        <v>1026</v>
      </c>
      <c r="S358" s="28" t="s">
        <v>2598</v>
      </c>
      <c r="T358" s="28" t="s">
        <v>2599</v>
      </c>
      <c r="U358" s="28" t="s">
        <v>2600</v>
      </c>
      <c r="V358" s="28" t="s">
        <v>2592</v>
      </c>
    </row>
    <row r="359" spans="1:22" ht="34.5" customHeight="1" x14ac:dyDescent="0.25">
      <c r="A359" s="26">
        <v>33</v>
      </c>
      <c r="B359" s="27" t="s">
        <v>2583</v>
      </c>
      <c r="C359" s="28" t="s">
        <v>2584</v>
      </c>
      <c r="D359" s="28" t="s">
        <v>2585</v>
      </c>
      <c r="E359" s="28" t="s">
        <v>2601</v>
      </c>
      <c r="F359" s="28" t="s">
        <v>112</v>
      </c>
      <c r="G359" s="28" t="s">
        <v>2602</v>
      </c>
      <c r="H359" s="28" t="s">
        <v>2603</v>
      </c>
      <c r="I359" s="28" t="s">
        <v>2604</v>
      </c>
      <c r="J359" s="28" t="s">
        <v>116</v>
      </c>
      <c r="K359" s="28"/>
      <c r="L359" s="28">
        <v>2</v>
      </c>
      <c r="M359" s="28">
        <v>1</v>
      </c>
      <c r="N359" s="25">
        <f t="shared" si="5"/>
        <v>1.25</v>
      </c>
      <c r="O359" s="28" t="s">
        <v>774</v>
      </c>
      <c r="P359" s="28" t="s">
        <v>280</v>
      </c>
      <c r="Q359" s="28" t="s">
        <v>419</v>
      </c>
      <c r="R359" s="28" t="s">
        <v>1026</v>
      </c>
      <c r="S359" s="28" t="s">
        <v>2605</v>
      </c>
      <c r="T359" s="28" t="s">
        <v>2606</v>
      </c>
      <c r="U359" s="28"/>
      <c r="V359" s="28" t="s">
        <v>2592</v>
      </c>
    </row>
    <row r="360" spans="1:22" ht="34.5" customHeight="1" x14ac:dyDescent="0.25">
      <c r="A360" s="26">
        <v>33</v>
      </c>
      <c r="B360" s="27" t="s">
        <v>2583</v>
      </c>
      <c r="C360" s="28" t="s">
        <v>2584</v>
      </c>
      <c r="D360" s="28" t="s">
        <v>2585</v>
      </c>
      <c r="E360" s="28" t="s">
        <v>2607</v>
      </c>
      <c r="F360" s="28" t="s">
        <v>120</v>
      </c>
      <c r="G360" s="28" t="s">
        <v>2608</v>
      </c>
      <c r="H360" s="28" t="s">
        <v>2609</v>
      </c>
      <c r="I360" s="28" t="s">
        <v>2610</v>
      </c>
      <c r="J360" s="28" t="s">
        <v>116</v>
      </c>
      <c r="K360" s="28" t="s">
        <v>2597</v>
      </c>
      <c r="L360" s="28">
        <v>1</v>
      </c>
      <c r="M360" s="28">
        <v>0.5</v>
      </c>
      <c r="N360" s="25">
        <f t="shared" si="5"/>
        <v>0.5</v>
      </c>
      <c r="O360" s="28" t="s">
        <v>774</v>
      </c>
      <c r="P360" s="28" t="s">
        <v>280</v>
      </c>
      <c r="Q360" s="28" t="s">
        <v>419</v>
      </c>
      <c r="R360" s="28" t="s">
        <v>1026</v>
      </c>
      <c r="S360" s="28" t="s">
        <v>2605</v>
      </c>
      <c r="T360" s="28" t="s">
        <v>2611</v>
      </c>
      <c r="U360" s="28"/>
      <c r="V360" s="28" t="s">
        <v>2592</v>
      </c>
    </row>
    <row r="361" spans="1:22" ht="34.5" customHeight="1" x14ac:dyDescent="0.25">
      <c r="A361" s="26">
        <v>33</v>
      </c>
      <c r="B361" s="27" t="s">
        <v>2583</v>
      </c>
      <c r="C361" s="28" t="s">
        <v>2584</v>
      </c>
      <c r="D361" s="28" t="s">
        <v>2585</v>
      </c>
      <c r="E361" s="28" t="s">
        <v>2612</v>
      </c>
      <c r="F361" s="28" t="s">
        <v>127</v>
      </c>
      <c r="G361" s="28" t="s">
        <v>2613</v>
      </c>
      <c r="H361" s="28" t="s">
        <v>2614</v>
      </c>
      <c r="I361" s="28" t="s">
        <v>2615</v>
      </c>
      <c r="J361" s="28" t="s">
        <v>116</v>
      </c>
      <c r="K361" s="28" t="s">
        <v>2597</v>
      </c>
      <c r="L361" s="28">
        <v>0.5</v>
      </c>
      <c r="M361" s="28">
        <v>0.25</v>
      </c>
      <c r="N361" s="25">
        <f t="shared" si="5"/>
        <v>0.25</v>
      </c>
      <c r="O361" s="28" t="s">
        <v>774</v>
      </c>
      <c r="P361" s="28" t="s">
        <v>280</v>
      </c>
      <c r="Q361" s="28" t="s">
        <v>419</v>
      </c>
      <c r="R361" s="28" t="s">
        <v>1026</v>
      </c>
      <c r="S361" s="28" t="s">
        <v>2083</v>
      </c>
      <c r="T361" s="28" t="s">
        <v>2616</v>
      </c>
      <c r="U361" s="28"/>
      <c r="V361" s="28" t="s">
        <v>2592</v>
      </c>
    </row>
    <row r="362" spans="1:22" ht="34.5" customHeight="1" x14ac:dyDescent="0.25">
      <c r="A362" s="26">
        <v>33</v>
      </c>
      <c r="B362" s="27" t="s">
        <v>2583</v>
      </c>
      <c r="C362" s="28" t="s">
        <v>2584</v>
      </c>
      <c r="D362" s="28" t="s">
        <v>2585</v>
      </c>
      <c r="E362" s="28" t="s">
        <v>2617</v>
      </c>
      <c r="F362" s="28" t="s">
        <v>134</v>
      </c>
      <c r="G362" s="28" t="s">
        <v>2618</v>
      </c>
      <c r="H362" s="28" t="s">
        <v>2619</v>
      </c>
      <c r="I362" s="28" t="s">
        <v>2620</v>
      </c>
      <c r="J362" s="28" t="s">
        <v>116</v>
      </c>
      <c r="K362" s="28" t="s">
        <v>2597</v>
      </c>
      <c r="L362" s="28">
        <v>0.5</v>
      </c>
      <c r="M362" s="28">
        <v>0.25</v>
      </c>
      <c r="N362" s="25">
        <f t="shared" si="5"/>
        <v>0.25</v>
      </c>
      <c r="O362" s="28" t="s">
        <v>774</v>
      </c>
      <c r="P362" s="28" t="s">
        <v>280</v>
      </c>
      <c r="Q362" s="28" t="s">
        <v>419</v>
      </c>
      <c r="R362" s="28" t="s">
        <v>1026</v>
      </c>
      <c r="S362" s="28" t="s">
        <v>2083</v>
      </c>
      <c r="T362" s="28" t="s">
        <v>2621</v>
      </c>
      <c r="U362" s="28"/>
      <c r="V362" s="28" t="s">
        <v>2592</v>
      </c>
    </row>
    <row r="363" spans="1:22" ht="34.5" customHeight="1" x14ac:dyDescent="0.25">
      <c r="A363" s="26">
        <v>33</v>
      </c>
      <c r="B363" s="27" t="s">
        <v>2583</v>
      </c>
      <c r="C363" s="28" t="s">
        <v>2584</v>
      </c>
      <c r="D363" s="28" t="s">
        <v>2585</v>
      </c>
      <c r="E363" s="28" t="s">
        <v>2622</v>
      </c>
      <c r="F363" s="28" t="s">
        <v>142</v>
      </c>
      <c r="G363" s="28" t="s">
        <v>2623</v>
      </c>
      <c r="H363" s="28" t="s">
        <v>2624</v>
      </c>
      <c r="I363" s="28" t="s">
        <v>2625</v>
      </c>
      <c r="J363" s="28" t="s">
        <v>116</v>
      </c>
      <c r="K363" s="28" t="s">
        <v>2597</v>
      </c>
      <c r="L363" s="28">
        <v>0.5</v>
      </c>
      <c r="M363" s="28">
        <v>0.25</v>
      </c>
      <c r="N363" s="25">
        <f t="shared" si="5"/>
        <v>0.25</v>
      </c>
      <c r="O363" s="28" t="s">
        <v>774</v>
      </c>
      <c r="P363" s="28" t="s">
        <v>280</v>
      </c>
      <c r="Q363" s="28" t="s">
        <v>419</v>
      </c>
      <c r="R363" s="28" t="s">
        <v>1026</v>
      </c>
      <c r="S363" s="28" t="s">
        <v>2083</v>
      </c>
      <c r="T363" s="28" t="s">
        <v>2626</v>
      </c>
      <c r="U363" s="28"/>
      <c r="V363" s="28" t="s">
        <v>2592</v>
      </c>
    </row>
    <row r="364" spans="1:22" ht="34.5" customHeight="1" x14ac:dyDescent="0.25">
      <c r="A364" s="26">
        <v>33</v>
      </c>
      <c r="B364" s="27" t="s">
        <v>2583</v>
      </c>
      <c r="C364" s="28" t="s">
        <v>2584</v>
      </c>
      <c r="D364" s="28" t="s">
        <v>2585</v>
      </c>
      <c r="E364" s="28" t="s">
        <v>2627</v>
      </c>
      <c r="F364" s="28" t="s">
        <v>150</v>
      </c>
      <c r="G364" s="28" t="s">
        <v>2628</v>
      </c>
      <c r="H364" s="28" t="s">
        <v>2629</v>
      </c>
      <c r="I364" s="28" t="s">
        <v>2630</v>
      </c>
      <c r="J364" s="28" t="s">
        <v>116</v>
      </c>
      <c r="K364" s="28" t="s">
        <v>2631</v>
      </c>
      <c r="L364" s="28">
        <v>2</v>
      </c>
      <c r="M364" s="28">
        <v>1</v>
      </c>
      <c r="N364" s="25">
        <f t="shared" si="5"/>
        <v>1.25</v>
      </c>
      <c r="O364" s="28" t="s">
        <v>774</v>
      </c>
      <c r="P364" s="28" t="s">
        <v>280</v>
      </c>
      <c r="Q364" s="28" t="s">
        <v>484</v>
      </c>
      <c r="R364" s="28" t="s">
        <v>1026</v>
      </c>
      <c r="S364" s="28" t="s">
        <v>2598</v>
      </c>
      <c r="T364" s="28" t="s">
        <v>2632</v>
      </c>
      <c r="U364" s="28"/>
      <c r="V364" s="28" t="s">
        <v>2592</v>
      </c>
    </row>
    <row r="365" spans="1:22" ht="34.5" customHeight="1" x14ac:dyDescent="0.25">
      <c r="A365" s="26">
        <v>33</v>
      </c>
      <c r="B365" s="27" t="s">
        <v>2583</v>
      </c>
      <c r="C365" s="28" t="s">
        <v>2584</v>
      </c>
      <c r="D365" s="28" t="s">
        <v>2585</v>
      </c>
      <c r="E365" s="28" t="s">
        <v>2058</v>
      </c>
      <c r="F365" s="28" t="s">
        <v>478</v>
      </c>
      <c r="G365" s="28" t="s">
        <v>2633</v>
      </c>
      <c r="H365" s="28" t="s">
        <v>2634</v>
      </c>
      <c r="I365" s="28" t="s">
        <v>2635</v>
      </c>
      <c r="J365" s="28" t="s">
        <v>116</v>
      </c>
      <c r="K365" s="28" t="s">
        <v>2597</v>
      </c>
      <c r="L365" s="28">
        <v>0.5</v>
      </c>
      <c r="M365" s="28">
        <v>0.25</v>
      </c>
      <c r="N365" s="25">
        <f t="shared" si="5"/>
        <v>0.25</v>
      </c>
      <c r="O365" s="28" t="s">
        <v>774</v>
      </c>
      <c r="P365" s="28" t="s">
        <v>280</v>
      </c>
      <c r="Q365" s="28" t="s">
        <v>484</v>
      </c>
      <c r="R365" s="28" t="s">
        <v>1026</v>
      </c>
      <c r="S365" s="28" t="s">
        <v>2083</v>
      </c>
      <c r="T365" s="28" t="s">
        <v>2606</v>
      </c>
      <c r="U365" s="28"/>
      <c r="V365" s="28" t="s">
        <v>2592</v>
      </c>
    </row>
    <row r="366" spans="1:22" ht="34.5" customHeight="1" x14ac:dyDescent="0.25">
      <c r="A366" s="26">
        <v>33</v>
      </c>
      <c r="B366" s="27" t="s">
        <v>2583</v>
      </c>
      <c r="C366" s="28" t="s">
        <v>2584</v>
      </c>
      <c r="D366" s="28" t="s">
        <v>2585</v>
      </c>
      <c r="E366" s="28" t="s">
        <v>2636</v>
      </c>
      <c r="F366" s="28" t="s">
        <v>157</v>
      </c>
      <c r="G366" s="28" t="s">
        <v>2637</v>
      </c>
      <c r="H366" s="28" t="s">
        <v>2638</v>
      </c>
      <c r="I366" s="28" t="s">
        <v>2639</v>
      </c>
      <c r="J366" s="28" t="s">
        <v>161</v>
      </c>
      <c r="K366" s="28" t="s">
        <v>2640</v>
      </c>
      <c r="L366" s="28">
        <v>3</v>
      </c>
      <c r="M366" s="28">
        <v>1</v>
      </c>
      <c r="N366" s="25">
        <f t="shared" si="5"/>
        <v>1.25</v>
      </c>
      <c r="O366" s="28" t="s">
        <v>1907</v>
      </c>
      <c r="P366" s="28" t="s">
        <v>2135</v>
      </c>
      <c r="Q366" s="28" t="s">
        <v>429</v>
      </c>
      <c r="R366" s="28" t="s">
        <v>1026</v>
      </c>
      <c r="S366" s="28" t="s">
        <v>2605</v>
      </c>
      <c r="T366" s="28" t="s">
        <v>2606</v>
      </c>
      <c r="U366" s="28"/>
      <c r="V366" s="28" t="s">
        <v>2592</v>
      </c>
    </row>
    <row r="367" spans="1:22" ht="34.5" customHeight="1" x14ac:dyDescent="0.25">
      <c r="A367" s="26">
        <v>34</v>
      </c>
      <c r="B367" s="27" t="s">
        <v>2641</v>
      </c>
      <c r="C367" s="28" t="s">
        <v>2642</v>
      </c>
      <c r="D367" s="28" t="s">
        <v>2643</v>
      </c>
      <c r="E367" s="28" t="s">
        <v>2644</v>
      </c>
      <c r="F367" s="28" t="s">
        <v>26</v>
      </c>
      <c r="G367" s="28" t="s">
        <v>2645</v>
      </c>
      <c r="H367" s="28" t="s">
        <v>2646</v>
      </c>
      <c r="I367" s="28" t="s">
        <v>2647</v>
      </c>
      <c r="J367" s="28" t="s">
        <v>30</v>
      </c>
      <c r="K367" s="28"/>
      <c r="L367" s="28">
        <v>2</v>
      </c>
      <c r="M367" s="28">
        <v>0.75</v>
      </c>
      <c r="N367" s="25">
        <f t="shared" si="5"/>
        <v>1</v>
      </c>
      <c r="O367" s="28" t="s">
        <v>1535</v>
      </c>
      <c r="P367" s="28" t="s">
        <v>1536</v>
      </c>
      <c r="Q367" s="28" t="s">
        <v>429</v>
      </c>
      <c r="R367" s="28" t="s">
        <v>1026</v>
      </c>
      <c r="S367" s="28" t="s">
        <v>2083</v>
      </c>
      <c r="T367" s="28" t="s">
        <v>2648</v>
      </c>
      <c r="U367" s="28" t="s">
        <v>2649</v>
      </c>
      <c r="V367" s="28" t="s">
        <v>2650</v>
      </c>
    </row>
    <row r="368" spans="1:22" ht="34.5" customHeight="1" x14ac:dyDescent="0.25">
      <c r="A368" s="26">
        <v>34</v>
      </c>
      <c r="B368" s="27" t="s">
        <v>2641</v>
      </c>
      <c r="C368" s="28" t="s">
        <v>2642</v>
      </c>
      <c r="D368" s="28" t="s">
        <v>2643</v>
      </c>
      <c r="E368" s="28" t="s">
        <v>2651</v>
      </c>
      <c r="F368" s="28" t="s">
        <v>112</v>
      </c>
      <c r="G368" s="28" t="s">
        <v>2652</v>
      </c>
      <c r="H368" s="28" t="s">
        <v>2653</v>
      </c>
      <c r="I368" s="28" t="s">
        <v>2654</v>
      </c>
      <c r="J368" s="28" t="s">
        <v>116</v>
      </c>
      <c r="K368" s="28"/>
      <c r="L368" s="28">
        <v>2</v>
      </c>
      <c r="M368" s="28">
        <v>1</v>
      </c>
      <c r="N368" s="25">
        <f t="shared" si="5"/>
        <v>1.25</v>
      </c>
      <c r="O368" s="28" t="s">
        <v>774</v>
      </c>
      <c r="P368" s="28" t="s">
        <v>280</v>
      </c>
      <c r="Q368" s="28" t="s">
        <v>419</v>
      </c>
      <c r="R368" s="28" t="s">
        <v>1026</v>
      </c>
      <c r="S368" s="28" t="s">
        <v>2083</v>
      </c>
      <c r="T368" s="28" t="s">
        <v>2655</v>
      </c>
      <c r="U368" s="28"/>
      <c r="V368" s="28" t="s">
        <v>2650</v>
      </c>
    </row>
    <row r="369" spans="1:22" ht="34.5" customHeight="1" x14ac:dyDescent="0.25">
      <c r="A369" s="26">
        <v>34</v>
      </c>
      <c r="B369" s="27" t="s">
        <v>2641</v>
      </c>
      <c r="C369" s="28" t="s">
        <v>2642</v>
      </c>
      <c r="D369" s="28" t="s">
        <v>2643</v>
      </c>
      <c r="E369" s="28" t="s">
        <v>2656</v>
      </c>
      <c r="F369" s="28" t="s">
        <v>120</v>
      </c>
      <c r="G369" s="28" t="s">
        <v>2657</v>
      </c>
      <c r="H369" s="28" t="s">
        <v>2658</v>
      </c>
      <c r="I369" s="28" t="s">
        <v>2659</v>
      </c>
      <c r="J369" s="28" t="s">
        <v>116</v>
      </c>
      <c r="K369" s="28" t="s">
        <v>2660</v>
      </c>
      <c r="L369" s="28">
        <v>0.5</v>
      </c>
      <c r="M369" s="28">
        <v>0.25</v>
      </c>
      <c r="N369" s="25">
        <f t="shared" si="5"/>
        <v>0.25</v>
      </c>
      <c r="O369" s="28" t="s">
        <v>774</v>
      </c>
      <c r="P369" s="28" t="s">
        <v>280</v>
      </c>
      <c r="Q369" s="28" t="s">
        <v>419</v>
      </c>
      <c r="R369" s="28" t="s">
        <v>1026</v>
      </c>
      <c r="S369" s="28" t="s">
        <v>2083</v>
      </c>
      <c r="T369" s="28" t="s">
        <v>2661</v>
      </c>
      <c r="U369" s="28"/>
      <c r="V369" s="28" t="s">
        <v>2650</v>
      </c>
    </row>
    <row r="370" spans="1:22" ht="34.5" customHeight="1" x14ac:dyDescent="0.25">
      <c r="A370" s="26">
        <v>34</v>
      </c>
      <c r="B370" s="27" t="s">
        <v>2641</v>
      </c>
      <c r="C370" s="28" t="s">
        <v>2642</v>
      </c>
      <c r="D370" s="28" t="s">
        <v>2643</v>
      </c>
      <c r="E370" s="28" t="s">
        <v>2662</v>
      </c>
      <c r="F370" s="28" t="s">
        <v>127</v>
      </c>
      <c r="G370" s="28" t="s">
        <v>2663</v>
      </c>
      <c r="H370" s="28" t="s">
        <v>2664</v>
      </c>
      <c r="I370" s="28" t="s">
        <v>2665</v>
      </c>
      <c r="J370" s="28" t="s">
        <v>116</v>
      </c>
      <c r="K370" s="28" t="s">
        <v>2660</v>
      </c>
      <c r="L370" s="28">
        <v>0.5</v>
      </c>
      <c r="M370" s="28">
        <v>0.25</v>
      </c>
      <c r="N370" s="25">
        <f t="shared" si="5"/>
        <v>0.25</v>
      </c>
      <c r="O370" s="28" t="s">
        <v>774</v>
      </c>
      <c r="P370" s="28" t="s">
        <v>280</v>
      </c>
      <c r="Q370" s="28" t="s">
        <v>419</v>
      </c>
      <c r="R370" s="28" t="s">
        <v>1026</v>
      </c>
      <c r="S370" s="28" t="s">
        <v>2083</v>
      </c>
      <c r="T370" s="28" t="s">
        <v>2666</v>
      </c>
      <c r="U370" s="28"/>
      <c r="V370" s="28" t="s">
        <v>2650</v>
      </c>
    </row>
    <row r="371" spans="1:22" ht="34.5" customHeight="1" x14ac:dyDescent="0.25">
      <c r="A371" s="26">
        <v>34</v>
      </c>
      <c r="B371" s="27" t="s">
        <v>2641</v>
      </c>
      <c r="C371" s="28" t="s">
        <v>2642</v>
      </c>
      <c r="D371" s="28" t="s">
        <v>2643</v>
      </c>
      <c r="E371" s="28" t="s">
        <v>2667</v>
      </c>
      <c r="F371" s="28" t="s">
        <v>134</v>
      </c>
      <c r="G371" s="28" t="s">
        <v>2668</v>
      </c>
      <c r="H371" s="28" t="s">
        <v>2669</v>
      </c>
      <c r="I371" s="28" t="s">
        <v>2670</v>
      </c>
      <c r="J371" s="28" t="s">
        <v>116</v>
      </c>
      <c r="K371" s="28" t="s">
        <v>2660</v>
      </c>
      <c r="L371" s="28">
        <v>0.5</v>
      </c>
      <c r="M371" s="28">
        <v>0.25</v>
      </c>
      <c r="N371" s="25">
        <f t="shared" si="5"/>
        <v>0.25</v>
      </c>
      <c r="O371" s="28" t="s">
        <v>774</v>
      </c>
      <c r="P371" s="28" t="s">
        <v>280</v>
      </c>
      <c r="Q371" s="28" t="s">
        <v>419</v>
      </c>
      <c r="R371" s="28" t="s">
        <v>1026</v>
      </c>
      <c r="S371" s="28" t="s">
        <v>2083</v>
      </c>
      <c r="T371" s="28" t="s">
        <v>2671</v>
      </c>
      <c r="U371" s="28"/>
      <c r="V371" s="28" t="s">
        <v>2650</v>
      </c>
    </row>
    <row r="372" spans="1:22" ht="34.5" customHeight="1" x14ac:dyDescent="0.25">
      <c r="A372" s="26">
        <v>34</v>
      </c>
      <c r="B372" s="27" t="s">
        <v>2641</v>
      </c>
      <c r="C372" s="28" t="s">
        <v>2642</v>
      </c>
      <c r="D372" s="28" t="s">
        <v>2643</v>
      </c>
      <c r="E372" s="28" t="s">
        <v>2672</v>
      </c>
      <c r="F372" s="28" t="s">
        <v>142</v>
      </c>
      <c r="G372" s="28" t="s">
        <v>2673</v>
      </c>
      <c r="H372" s="28" t="s">
        <v>2674</v>
      </c>
      <c r="I372" s="28" t="s">
        <v>2675</v>
      </c>
      <c r="J372" s="28" t="s">
        <v>116</v>
      </c>
      <c r="K372" s="28" t="s">
        <v>2660</v>
      </c>
      <c r="L372" s="28">
        <v>0.5</v>
      </c>
      <c r="M372" s="28">
        <v>0.25</v>
      </c>
      <c r="N372" s="25">
        <f t="shared" si="5"/>
        <v>0.25</v>
      </c>
      <c r="O372" s="28" t="s">
        <v>774</v>
      </c>
      <c r="P372" s="28" t="s">
        <v>280</v>
      </c>
      <c r="Q372" s="28" t="s">
        <v>419</v>
      </c>
      <c r="R372" s="28" t="s">
        <v>1026</v>
      </c>
      <c r="S372" s="28" t="s">
        <v>2083</v>
      </c>
      <c r="T372" s="28" t="s">
        <v>2676</v>
      </c>
      <c r="U372" s="28"/>
      <c r="V372" s="28" t="s">
        <v>2650</v>
      </c>
    </row>
    <row r="373" spans="1:22" ht="34.5" customHeight="1" x14ac:dyDescent="0.25">
      <c r="A373" s="26">
        <v>34</v>
      </c>
      <c r="B373" s="27" t="s">
        <v>2641</v>
      </c>
      <c r="C373" s="28" t="s">
        <v>2642</v>
      </c>
      <c r="D373" s="28" t="s">
        <v>2643</v>
      </c>
      <c r="E373" s="28" t="s">
        <v>2677</v>
      </c>
      <c r="F373" s="28" t="s">
        <v>150</v>
      </c>
      <c r="G373" s="28" t="s">
        <v>2678</v>
      </c>
      <c r="H373" s="28" t="s">
        <v>2679</v>
      </c>
      <c r="I373" s="28" t="s">
        <v>2680</v>
      </c>
      <c r="J373" s="28" t="s">
        <v>116</v>
      </c>
      <c r="K373" s="28" t="s">
        <v>2660</v>
      </c>
      <c r="L373" s="28">
        <v>0.5</v>
      </c>
      <c r="M373" s="28">
        <v>0.25</v>
      </c>
      <c r="N373" s="25">
        <f t="shared" si="5"/>
        <v>0.25</v>
      </c>
      <c r="O373" s="28" t="s">
        <v>774</v>
      </c>
      <c r="P373" s="28" t="s">
        <v>280</v>
      </c>
      <c r="Q373" s="28" t="s">
        <v>419</v>
      </c>
      <c r="R373" s="28" t="s">
        <v>1026</v>
      </c>
      <c r="S373" s="28" t="s">
        <v>2083</v>
      </c>
      <c r="T373" s="28" t="s">
        <v>2681</v>
      </c>
      <c r="U373" s="28"/>
      <c r="V373" s="28" t="s">
        <v>2650</v>
      </c>
    </row>
    <row r="374" spans="1:22" ht="34.5" customHeight="1" x14ac:dyDescent="0.25">
      <c r="A374" s="26">
        <v>34</v>
      </c>
      <c r="B374" s="27" t="s">
        <v>2641</v>
      </c>
      <c r="C374" s="28" t="s">
        <v>2642</v>
      </c>
      <c r="D374" s="28" t="s">
        <v>2643</v>
      </c>
      <c r="E374" s="28" t="s">
        <v>2058</v>
      </c>
      <c r="F374" s="28" t="s">
        <v>478</v>
      </c>
      <c r="G374" s="28" t="s">
        <v>2682</v>
      </c>
      <c r="H374" s="28" t="s">
        <v>2683</v>
      </c>
      <c r="I374" s="28" t="s">
        <v>2684</v>
      </c>
      <c r="J374" s="28" t="s">
        <v>116</v>
      </c>
      <c r="K374" s="28" t="s">
        <v>2660</v>
      </c>
      <c r="L374" s="28">
        <v>0.5</v>
      </c>
      <c r="M374" s="28">
        <v>0.25</v>
      </c>
      <c r="N374" s="25">
        <f t="shared" si="5"/>
        <v>0.25</v>
      </c>
      <c r="O374" s="28" t="s">
        <v>774</v>
      </c>
      <c r="P374" s="28" t="s">
        <v>280</v>
      </c>
      <c r="Q374" s="28" t="s">
        <v>484</v>
      </c>
      <c r="R374" s="28" t="s">
        <v>1026</v>
      </c>
      <c r="S374" s="28" t="s">
        <v>2083</v>
      </c>
      <c r="T374" s="28" t="s">
        <v>2655</v>
      </c>
      <c r="U374" s="28"/>
      <c r="V374" s="28" t="s">
        <v>2650</v>
      </c>
    </row>
    <row r="375" spans="1:22" ht="34.5" customHeight="1" x14ac:dyDescent="0.25">
      <c r="A375" s="26">
        <v>34</v>
      </c>
      <c r="B375" s="27" t="s">
        <v>2641</v>
      </c>
      <c r="C375" s="28" t="s">
        <v>2642</v>
      </c>
      <c r="D375" s="28" t="s">
        <v>2643</v>
      </c>
      <c r="E375" s="28" t="s">
        <v>2685</v>
      </c>
      <c r="F375" s="28" t="s">
        <v>157</v>
      </c>
      <c r="G375" s="28" t="s">
        <v>2686</v>
      </c>
      <c r="H375" s="28" t="s">
        <v>2687</v>
      </c>
      <c r="I375" s="28" t="s">
        <v>2688</v>
      </c>
      <c r="J375" s="28" t="s">
        <v>161</v>
      </c>
      <c r="K375" s="28" t="s">
        <v>2689</v>
      </c>
      <c r="L375" s="28">
        <v>3</v>
      </c>
      <c r="M375" s="28">
        <v>1</v>
      </c>
      <c r="N375" s="25">
        <f t="shared" si="5"/>
        <v>1.25</v>
      </c>
      <c r="O375" s="28" t="s">
        <v>1907</v>
      </c>
      <c r="P375" s="28" t="s">
        <v>2135</v>
      </c>
      <c r="Q375" s="28" t="s">
        <v>429</v>
      </c>
      <c r="R375" s="28" t="s">
        <v>1026</v>
      </c>
      <c r="S375" s="28" t="s">
        <v>2083</v>
      </c>
      <c r="T375" s="28" t="s">
        <v>2655</v>
      </c>
      <c r="U375" s="28"/>
      <c r="V375" s="28" t="s">
        <v>2650</v>
      </c>
    </row>
    <row r="376" spans="1:22" ht="34.5" customHeight="1" x14ac:dyDescent="0.25">
      <c r="A376" s="26">
        <v>35</v>
      </c>
      <c r="B376" s="27" t="s">
        <v>2690</v>
      </c>
      <c r="C376" s="28" t="s">
        <v>2691</v>
      </c>
      <c r="D376" s="28" t="s">
        <v>2692</v>
      </c>
      <c r="E376" s="28" t="s">
        <v>2693</v>
      </c>
      <c r="F376" s="28" t="s">
        <v>26</v>
      </c>
      <c r="G376" s="28" t="s">
        <v>2694</v>
      </c>
      <c r="H376" s="28" t="s">
        <v>2695</v>
      </c>
      <c r="I376" s="28" t="s">
        <v>2696</v>
      </c>
      <c r="J376" s="28" t="s">
        <v>30</v>
      </c>
      <c r="K376" s="28"/>
      <c r="L376" s="28">
        <v>2</v>
      </c>
      <c r="M376" s="28">
        <v>0.75</v>
      </c>
      <c r="N376" s="25">
        <f t="shared" si="5"/>
        <v>1</v>
      </c>
      <c r="O376" s="28" t="s">
        <v>1535</v>
      </c>
      <c r="P376" s="28" t="s">
        <v>1536</v>
      </c>
      <c r="Q376" s="28" t="s">
        <v>429</v>
      </c>
      <c r="R376" s="28" t="s">
        <v>1026</v>
      </c>
      <c r="S376" s="28" t="s">
        <v>2083</v>
      </c>
      <c r="T376" s="28" t="s">
        <v>2697</v>
      </c>
      <c r="U376" s="28" t="s">
        <v>2698</v>
      </c>
      <c r="V376" s="28" t="s">
        <v>2699</v>
      </c>
    </row>
    <row r="377" spans="1:22" ht="34.5" customHeight="1" x14ac:dyDescent="0.25">
      <c r="A377" s="26">
        <v>35</v>
      </c>
      <c r="B377" s="27" t="s">
        <v>2690</v>
      </c>
      <c r="C377" s="28" t="s">
        <v>2691</v>
      </c>
      <c r="D377" s="28" t="s">
        <v>2692</v>
      </c>
      <c r="E377" s="28" t="s">
        <v>2700</v>
      </c>
      <c r="F377" s="28" t="s">
        <v>38</v>
      </c>
      <c r="G377" s="28" t="s">
        <v>2701</v>
      </c>
      <c r="H377" s="28" t="s">
        <v>2702</v>
      </c>
      <c r="I377" s="28" t="s">
        <v>2703</v>
      </c>
      <c r="J377" s="28" t="s">
        <v>30</v>
      </c>
      <c r="K377" s="28" t="s">
        <v>2704</v>
      </c>
      <c r="L377" s="28">
        <v>2</v>
      </c>
      <c r="M377" s="28">
        <v>0.75</v>
      </c>
      <c r="N377" s="25">
        <f t="shared" si="5"/>
        <v>1</v>
      </c>
      <c r="O377" s="28" t="s">
        <v>1535</v>
      </c>
      <c r="P377" s="28" t="s">
        <v>2705</v>
      </c>
      <c r="Q377" s="28" t="s">
        <v>419</v>
      </c>
      <c r="R377" s="28" t="s">
        <v>2706</v>
      </c>
      <c r="S377" s="28" t="s">
        <v>2707</v>
      </c>
      <c r="T377" s="28" t="s">
        <v>2708</v>
      </c>
      <c r="U377" s="28" t="s">
        <v>2709</v>
      </c>
      <c r="V377" s="28" t="s">
        <v>2699</v>
      </c>
    </row>
    <row r="378" spans="1:22" ht="34.5" customHeight="1" x14ac:dyDescent="0.25">
      <c r="A378" s="26">
        <v>35</v>
      </c>
      <c r="B378" s="27" t="s">
        <v>2690</v>
      </c>
      <c r="C378" s="28" t="s">
        <v>2691</v>
      </c>
      <c r="D378" s="28" t="s">
        <v>2692</v>
      </c>
      <c r="E378" s="28" t="s">
        <v>2710</v>
      </c>
      <c r="F378" s="28" t="s">
        <v>46</v>
      </c>
      <c r="G378" s="28" t="s">
        <v>2711</v>
      </c>
      <c r="H378" s="28" t="s">
        <v>2712</v>
      </c>
      <c r="I378" s="28" t="s">
        <v>2713</v>
      </c>
      <c r="J378" s="28" t="s">
        <v>30</v>
      </c>
      <c r="K378" s="28" t="s">
        <v>2714</v>
      </c>
      <c r="L378" s="28">
        <v>2</v>
      </c>
      <c r="M378" s="28">
        <v>0.75</v>
      </c>
      <c r="N378" s="25">
        <f t="shared" si="5"/>
        <v>1</v>
      </c>
      <c r="O378" s="28" t="s">
        <v>1535</v>
      </c>
      <c r="P378" s="28" t="s">
        <v>2161</v>
      </c>
      <c r="Q378" s="28" t="s">
        <v>419</v>
      </c>
      <c r="R378" s="28" t="s">
        <v>1026</v>
      </c>
      <c r="S378" s="28" t="s">
        <v>2715</v>
      </c>
      <c r="T378" s="28" t="s">
        <v>2716</v>
      </c>
      <c r="U378" s="28" t="s">
        <v>2717</v>
      </c>
      <c r="V378" s="28" t="s">
        <v>2699</v>
      </c>
    </row>
    <row r="379" spans="1:22" ht="34.5" customHeight="1" x14ac:dyDescent="0.25">
      <c r="A379" s="26">
        <v>35</v>
      </c>
      <c r="B379" s="27" t="s">
        <v>2690</v>
      </c>
      <c r="C379" s="28" t="s">
        <v>2691</v>
      </c>
      <c r="D379" s="28" t="s">
        <v>2692</v>
      </c>
      <c r="E379" s="28" t="s">
        <v>2718</v>
      </c>
      <c r="F379" s="28" t="s">
        <v>112</v>
      </c>
      <c r="G379" s="28" t="s">
        <v>2719</v>
      </c>
      <c r="H379" s="28" t="s">
        <v>2720</v>
      </c>
      <c r="I379" s="28" t="s">
        <v>2721</v>
      </c>
      <c r="J379" s="28" t="s">
        <v>116</v>
      </c>
      <c r="K379" s="28"/>
      <c r="L379" s="28">
        <v>2</v>
      </c>
      <c r="M379" s="28">
        <v>1</v>
      </c>
      <c r="N379" s="25">
        <f t="shared" si="5"/>
        <v>1.25</v>
      </c>
      <c r="O379" s="28" t="s">
        <v>774</v>
      </c>
      <c r="P379" s="28" t="s">
        <v>280</v>
      </c>
      <c r="Q379" s="28" t="s">
        <v>419</v>
      </c>
      <c r="R379" s="28" t="s">
        <v>1026</v>
      </c>
      <c r="S379" s="28" t="s">
        <v>2083</v>
      </c>
      <c r="T379" s="28" t="s">
        <v>2722</v>
      </c>
      <c r="U379" s="28"/>
      <c r="V379" s="28" t="s">
        <v>2699</v>
      </c>
    </row>
    <row r="380" spans="1:22" ht="34.5" customHeight="1" x14ac:dyDescent="0.25">
      <c r="A380" s="26">
        <v>35</v>
      </c>
      <c r="B380" s="27" t="s">
        <v>2690</v>
      </c>
      <c r="C380" s="28" t="s">
        <v>2691</v>
      </c>
      <c r="D380" s="28" t="s">
        <v>2692</v>
      </c>
      <c r="E380" s="28" t="s">
        <v>2178</v>
      </c>
      <c r="F380" s="28" t="s">
        <v>120</v>
      </c>
      <c r="G380" s="28" t="s">
        <v>2723</v>
      </c>
      <c r="H380" s="28" t="s">
        <v>2724</v>
      </c>
      <c r="I380" s="28" t="s">
        <v>2725</v>
      </c>
      <c r="J380" s="28" t="s">
        <v>116</v>
      </c>
      <c r="K380" s="28" t="s">
        <v>2704</v>
      </c>
      <c r="L380" s="28">
        <v>0.5</v>
      </c>
      <c r="M380" s="28">
        <v>0.25</v>
      </c>
      <c r="N380" s="25">
        <f t="shared" si="5"/>
        <v>0.25</v>
      </c>
      <c r="O380" s="28" t="s">
        <v>774</v>
      </c>
      <c r="P380" s="28" t="s">
        <v>280</v>
      </c>
      <c r="Q380" s="28" t="s">
        <v>419</v>
      </c>
      <c r="R380" s="28" t="s">
        <v>1026</v>
      </c>
      <c r="S380" s="28" t="s">
        <v>2083</v>
      </c>
      <c r="T380" s="28" t="s">
        <v>2183</v>
      </c>
      <c r="U380" s="28"/>
      <c r="V380" s="28" t="s">
        <v>2699</v>
      </c>
    </row>
    <row r="381" spans="1:22" ht="34.5" customHeight="1" x14ac:dyDescent="0.25">
      <c r="A381" s="26">
        <v>35</v>
      </c>
      <c r="B381" s="27" t="s">
        <v>2690</v>
      </c>
      <c r="C381" s="28" t="s">
        <v>2691</v>
      </c>
      <c r="D381" s="28" t="s">
        <v>2692</v>
      </c>
      <c r="E381" s="28" t="s">
        <v>2726</v>
      </c>
      <c r="F381" s="28" t="s">
        <v>127</v>
      </c>
      <c r="G381" s="28" t="s">
        <v>2727</v>
      </c>
      <c r="H381" s="28" t="s">
        <v>2728</v>
      </c>
      <c r="I381" s="28" t="s">
        <v>2729</v>
      </c>
      <c r="J381" s="28" t="s">
        <v>116</v>
      </c>
      <c r="K381" s="28" t="s">
        <v>2730</v>
      </c>
      <c r="L381" s="28">
        <v>1</v>
      </c>
      <c r="M381" s="28">
        <v>0.5</v>
      </c>
      <c r="N381" s="25">
        <f t="shared" si="5"/>
        <v>0.5</v>
      </c>
      <c r="O381" s="28" t="s">
        <v>774</v>
      </c>
      <c r="P381" s="28" t="s">
        <v>280</v>
      </c>
      <c r="Q381" s="28" t="s">
        <v>419</v>
      </c>
      <c r="R381" s="28" t="s">
        <v>1026</v>
      </c>
      <c r="S381" s="28" t="s">
        <v>2083</v>
      </c>
      <c r="T381" s="28" t="s">
        <v>2731</v>
      </c>
      <c r="U381" s="28"/>
      <c r="V381" s="28" t="s">
        <v>2699</v>
      </c>
    </row>
    <row r="382" spans="1:22" ht="34.5" customHeight="1" x14ac:dyDescent="0.25">
      <c r="A382" s="26">
        <v>35</v>
      </c>
      <c r="B382" s="27" t="s">
        <v>2690</v>
      </c>
      <c r="C382" s="28" t="s">
        <v>2691</v>
      </c>
      <c r="D382" s="28" t="s">
        <v>2692</v>
      </c>
      <c r="E382" s="28" t="s">
        <v>2732</v>
      </c>
      <c r="F382" s="28" t="s">
        <v>134</v>
      </c>
      <c r="G382" s="28" t="s">
        <v>2733</v>
      </c>
      <c r="H382" s="28" t="s">
        <v>2734</v>
      </c>
      <c r="I382" s="28" t="s">
        <v>2735</v>
      </c>
      <c r="J382" s="28" t="s">
        <v>116</v>
      </c>
      <c r="K382" s="28" t="s">
        <v>2730</v>
      </c>
      <c r="L382" s="28">
        <v>0.5</v>
      </c>
      <c r="M382" s="28">
        <v>0.25</v>
      </c>
      <c r="N382" s="25">
        <f t="shared" si="5"/>
        <v>0.25</v>
      </c>
      <c r="O382" s="28" t="s">
        <v>774</v>
      </c>
      <c r="P382" s="28" t="s">
        <v>280</v>
      </c>
      <c r="Q382" s="28" t="s">
        <v>419</v>
      </c>
      <c r="R382" s="28" t="s">
        <v>1026</v>
      </c>
      <c r="S382" s="28" t="s">
        <v>2083</v>
      </c>
      <c r="T382" s="28" t="s">
        <v>2736</v>
      </c>
      <c r="U382" s="28"/>
      <c r="V382" s="28" t="s">
        <v>2699</v>
      </c>
    </row>
    <row r="383" spans="1:22" ht="34.5" customHeight="1" x14ac:dyDescent="0.25">
      <c r="A383" s="26">
        <v>35</v>
      </c>
      <c r="B383" s="27" t="s">
        <v>2690</v>
      </c>
      <c r="C383" s="28" t="s">
        <v>2691</v>
      </c>
      <c r="D383" s="28" t="s">
        <v>2692</v>
      </c>
      <c r="E383" s="28" t="s">
        <v>2737</v>
      </c>
      <c r="F383" s="28" t="s">
        <v>142</v>
      </c>
      <c r="G383" s="28" t="s">
        <v>2738</v>
      </c>
      <c r="H383" s="28" t="s">
        <v>2739</v>
      </c>
      <c r="I383" s="28" t="s">
        <v>2740</v>
      </c>
      <c r="J383" s="28" t="s">
        <v>116</v>
      </c>
      <c r="K383" s="28" t="s">
        <v>2704</v>
      </c>
      <c r="L383" s="28">
        <v>0.5</v>
      </c>
      <c r="M383" s="28">
        <v>0.25</v>
      </c>
      <c r="N383" s="25">
        <f t="shared" si="5"/>
        <v>0.25</v>
      </c>
      <c r="O383" s="28" t="s">
        <v>774</v>
      </c>
      <c r="P383" s="28" t="s">
        <v>280</v>
      </c>
      <c r="Q383" s="28" t="s">
        <v>419</v>
      </c>
      <c r="R383" s="28" t="s">
        <v>1026</v>
      </c>
      <c r="S383" s="28" t="s">
        <v>2083</v>
      </c>
      <c r="T383" s="28" t="s">
        <v>2741</v>
      </c>
      <c r="U383" s="28"/>
      <c r="V383" s="28" t="s">
        <v>2699</v>
      </c>
    </row>
    <row r="384" spans="1:22" ht="34.5" customHeight="1" x14ac:dyDescent="0.25">
      <c r="A384" s="26">
        <v>35</v>
      </c>
      <c r="B384" s="27" t="s">
        <v>2690</v>
      </c>
      <c r="C384" s="28" t="s">
        <v>2691</v>
      </c>
      <c r="D384" s="28" t="s">
        <v>2692</v>
      </c>
      <c r="E384" s="28" t="s">
        <v>2567</v>
      </c>
      <c r="F384" s="28" t="s">
        <v>150</v>
      </c>
      <c r="G384" s="28" t="s">
        <v>2742</v>
      </c>
      <c r="H384" s="28" t="s">
        <v>2743</v>
      </c>
      <c r="I384" s="28" t="s">
        <v>2744</v>
      </c>
      <c r="J384" s="28" t="s">
        <v>116</v>
      </c>
      <c r="K384" s="28" t="s">
        <v>2745</v>
      </c>
      <c r="L384" s="28">
        <v>1</v>
      </c>
      <c r="M384" s="28">
        <v>0.5</v>
      </c>
      <c r="N384" s="25">
        <f t="shared" si="5"/>
        <v>0.5</v>
      </c>
      <c r="O384" s="28" t="s">
        <v>774</v>
      </c>
      <c r="P384" s="28" t="s">
        <v>280</v>
      </c>
      <c r="Q384" s="28" t="s">
        <v>419</v>
      </c>
      <c r="R384" s="28" t="s">
        <v>2706</v>
      </c>
      <c r="S384" s="28" t="s">
        <v>2707</v>
      </c>
      <c r="T384" s="28" t="s">
        <v>2746</v>
      </c>
      <c r="U384" s="28"/>
      <c r="V384" s="28" t="s">
        <v>2699</v>
      </c>
    </row>
    <row r="385" spans="1:22" ht="34.5" customHeight="1" x14ac:dyDescent="0.25">
      <c r="A385" s="26">
        <v>35</v>
      </c>
      <c r="B385" s="27" t="s">
        <v>2690</v>
      </c>
      <c r="C385" s="28" t="s">
        <v>2691</v>
      </c>
      <c r="D385" s="28" t="s">
        <v>2692</v>
      </c>
      <c r="E385" s="28" t="s">
        <v>2058</v>
      </c>
      <c r="F385" s="28" t="s">
        <v>478</v>
      </c>
      <c r="G385" s="28" t="s">
        <v>2747</v>
      </c>
      <c r="H385" s="28" t="s">
        <v>2748</v>
      </c>
      <c r="I385" s="28" t="s">
        <v>2749</v>
      </c>
      <c r="J385" s="28" t="s">
        <v>116</v>
      </c>
      <c r="K385" s="28" t="s">
        <v>2704</v>
      </c>
      <c r="L385" s="28">
        <v>0.5</v>
      </c>
      <c r="M385" s="28">
        <v>0.25</v>
      </c>
      <c r="N385" s="25">
        <f t="shared" si="5"/>
        <v>0.25</v>
      </c>
      <c r="O385" s="28" t="s">
        <v>774</v>
      </c>
      <c r="P385" s="28" t="s">
        <v>280</v>
      </c>
      <c r="Q385" s="28" t="s">
        <v>484</v>
      </c>
      <c r="R385" s="28" t="s">
        <v>1026</v>
      </c>
      <c r="S385" s="28" t="s">
        <v>2083</v>
      </c>
      <c r="T385" s="28" t="s">
        <v>2750</v>
      </c>
      <c r="U385" s="28"/>
      <c r="V385" s="28" t="s">
        <v>2699</v>
      </c>
    </row>
    <row r="386" spans="1:22" ht="34.5" customHeight="1" x14ac:dyDescent="0.25">
      <c r="A386" s="26">
        <v>35</v>
      </c>
      <c r="B386" s="27" t="s">
        <v>2690</v>
      </c>
      <c r="C386" s="28" t="s">
        <v>2691</v>
      </c>
      <c r="D386" s="28" t="s">
        <v>2692</v>
      </c>
      <c r="E386" s="28" t="s">
        <v>2345</v>
      </c>
      <c r="F386" s="28" t="s">
        <v>157</v>
      </c>
      <c r="G386" s="28" t="s">
        <v>2751</v>
      </c>
      <c r="H386" s="28" t="s">
        <v>2752</v>
      </c>
      <c r="I386" s="28" t="s">
        <v>2753</v>
      </c>
      <c r="J386" s="28" t="s">
        <v>161</v>
      </c>
      <c r="K386" s="28" t="s">
        <v>2754</v>
      </c>
      <c r="L386" s="28">
        <v>3</v>
      </c>
      <c r="M386" s="28">
        <v>1</v>
      </c>
      <c r="N386" s="25">
        <f t="shared" ref="N386:N449" si="6">MAX(ROUND(M386*1.2/0.25,0)*0.25,0.25)</f>
        <v>1.25</v>
      </c>
      <c r="O386" s="28" t="s">
        <v>1907</v>
      </c>
      <c r="P386" s="28" t="s">
        <v>2135</v>
      </c>
      <c r="Q386" s="28" t="s">
        <v>429</v>
      </c>
      <c r="R386" s="28" t="s">
        <v>2706</v>
      </c>
      <c r="S386" s="28" t="s">
        <v>2755</v>
      </c>
      <c r="T386" s="28" t="s">
        <v>2750</v>
      </c>
      <c r="U386" s="28"/>
      <c r="V386" s="28" t="s">
        <v>2699</v>
      </c>
    </row>
    <row r="387" spans="1:22" ht="34.5" customHeight="1" x14ac:dyDescent="0.25">
      <c r="A387" s="26">
        <v>36</v>
      </c>
      <c r="B387" s="27" t="s">
        <v>2756</v>
      </c>
      <c r="C387" s="28" t="s">
        <v>2757</v>
      </c>
      <c r="D387" s="28" t="s">
        <v>2758</v>
      </c>
      <c r="E387" s="28" t="s">
        <v>2759</v>
      </c>
      <c r="F387" s="28" t="s">
        <v>26</v>
      </c>
      <c r="G387" s="28" t="s">
        <v>2760</v>
      </c>
      <c r="H387" s="28" t="s">
        <v>2761</v>
      </c>
      <c r="I387" s="28" t="s">
        <v>2762</v>
      </c>
      <c r="J387" s="28" t="s">
        <v>30</v>
      </c>
      <c r="K387" s="28" t="s">
        <v>1956</v>
      </c>
      <c r="L387" s="28">
        <v>3</v>
      </c>
      <c r="M387" s="28">
        <v>1</v>
      </c>
      <c r="N387" s="25">
        <f t="shared" si="6"/>
        <v>1.25</v>
      </c>
      <c r="O387" s="28" t="s">
        <v>1763</v>
      </c>
      <c r="P387" s="28" t="s">
        <v>1763</v>
      </c>
      <c r="Q387" s="28" t="s">
        <v>1813</v>
      </c>
      <c r="R387" s="28" t="s">
        <v>1026</v>
      </c>
      <c r="S387" s="28" t="s">
        <v>2763</v>
      </c>
      <c r="T387" s="28" t="s">
        <v>2764</v>
      </c>
      <c r="U387" s="28" t="s">
        <v>2765</v>
      </c>
      <c r="V387" s="28" t="s">
        <v>2766</v>
      </c>
    </row>
    <row r="388" spans="1:22" ht="34.5" customHeight="1" x14ac:dyDescent="0.25">
      <c r="A388" s="26">
        <v>36</v>
      </c>
      <c r="B388" s="27" t="s">
        <v>2756</v>
      </c>
      <c r="C388" s="28" t="s">
        <v>2757</v>
      </c>
      <c r="D388" s="28" t="s">
        <v>2758</v>
      </c>
      <c r="E388" s="28" t="s">
        <v>2767</v>
      </c>
      <c r="F388" s="28" t="s">
        <v>38</v>
      </c>
      <c r="G388" s="28" t="s">
        <v>2768</v>
      </c>
      <c r="H388" s="28" t="s">
        <v>2769</v>
      </c>
      <c r="I388" s="28" t="s">
        <v>2770</v>
      </c>
      <c r="J388" s="28" t="s">
        <v>30</v>
      </c>
      <c r="K388" s="28" t="s">
        <v>2771</v>
      </c>
      <c r="L388" s="28">
        <v>4</v>
      </c>
      <c r="M388" s="28">
        <v>1.5</v>
      </c>
      <c r="N388" s="25">
        <f t="shared" si="6"/>
        <v>1.75</v>
      </c>
      <c r="O388" s="28" t="s">
        <v>1802</v>
      </c>
      <c r="P388" s="28" t="s">
        <v>1802</v>
      </c>
      <c r="Q388" s="28" t="s">
        <v>484</v>
      </c>
      <c r="R388" s="28" t="s">
        <v>1026</v>
      </c>
      <c r="S388" s="28" t="s">
        <v>2772</v>
      </c>
      <c r="T388" s="28" t="s">
        <v>2773</v>
      </c>
      <c r="U388" s="28" t="s">
        <v>2774</v>
      </c>
      <c r="V388" s="28" t="s">
        <v>2775</v>
      </c>
    </row>
    <row r="389" spans="1:22" ht="34.5" customHeight="1" x14ac:dyDescent="0.25">
      <c r="A389" s="26">
        <v>36</v>
      </c>
      <c r="B389" s="27" t="s">
        <v>2756</v>
      </c>
      <c r="C389" s="28" t="s">
        <v>2757</v>
      </c>
      <c r="D389" s="28" t="s">
        <v>2758</v>
      </c>
      <c r="E389" s="28" t="s">
        <v>2776</v>
      </c>
      <c r="F389" s="28" t="s">
        <v>46</v>
      </c>
      <c r="G389" s="28" t="s">
        <v>2777</v>
      </c>
      <c r="H389" s="28" t="s">
        <v>2778</v>
      </c>
      <c r="I389" s="28" t="s">
        <v>2779</v>
      </c>
      <c r="J389" s="28" t="s">
        <v>30</v>
      </c>
      <c r="K389" s="28" t="s">
        <v>2780</v>
      </c>
      <c r="L389" s="28">
        <v>4</v>
      </c>
      <c r="M389" s="28">
        <v>1.5</v>
      </c>
      <c r="N389" s="25">
        <f t="shared" si="6"/>
        <v>1.75</v>
      </c>
      <c r="O389" s="28" t="s">
        <v>1802</v>
      </c>
      <c r="P389" s="28" t="s">
        <v>1802</v>
      </c>
      <c r="Q389" s="28" t="s">
        <v>484</v>
      </c>
      <c r="R389" s="28" t="s">
        <v>1026</v>
      </c>
      <c r="S389" s="28" t="s">
        <v>1803</v>
      </c>
      <c r="T389" s="28" t="s">
        <v>2781</v>
      </c>
      <c r="U389" s="28" t="s">
        <v>2782</v>
      </c>
      <c r="V389" s="28" t="s">
        <v>2783</v>
      </c>
    </row>
    <row r="390" spans="1:22" ht="34.5" customHeight="1" x14ac:dyDescent="0.25">
      <c r="A390" s="26">
        <v>36</v>
      </c>
      <c r="B390" s="27" t="s">
        <v>2756</v>
      </c>
      <c r="C390" s="28" t="s">
        <v>2757</v>
      </c>
      <c r="D390" s="28" t="s">
        <v>2758</v>
      </c>
      <c r="E390" s="28" t="s">
        <v>2784</v>
      </c>
      <c r="F390" s="28" t="s">
        <v>53</v>
      </c>
      <c r="G390" s="28" t="s">
        <v>2785</v>
      </c>
      <c r="H390" s="28" t="s">
        <v>2786</v>
      </c>
      <c r="I390" s="28" t="s">
        <v>2787</v>
      </c>
      <c r="J390" s="28" t="s">
        <v>30</v>
      </c>
      <c r="K390" s="28" t="s">
        <v>2788</v>
      </c>
      <c r="L390" s="28">
        <v>4</v>
      </c>
      <c r="M390" s="28">
        <v>1.5</v>
      </c>
      <c r="N390" s="25">
        <f t="shared" si="6"/>
        <v>1.75</v>
      </c>
      <c r="O390" s="28" t="s">
        <v>2789</v>
      </c>
      <c r="P390" s="28" t="s">
        <v>1802</v>
      </c>
      <c r="Q390" s="28" t="s">
        <v>419</v>
      </c>
      <c r="R390" s="28" t="s">
        <v>1026</v>
      </c>
      <c r="S390" s="28" t="s">
        <v>2790</v>
      </c>
      <c r="T390" s="28" t="s">
        <v>2791</v>
      </c>
      <c r="U390" s="28" t="s">
        <v>2792</v>
      </c>
      <c r="V390" s="28" t="s">
        <v>2793</v>
      </c>
    </row>
    <row r="391" spans="1:22" ht="34.5" customHeight="1" x14ac:dyDescent="0.25">
      <c r="A391" s="26">
        <v>36</v>
      </c>
      <c r="B391" s="27" t="s">
        <v>2756</v>
      </c>
      <c r="C391" s="28" t="s">
        <v>2757</v>
      </c>
      <c r="D391" s="28" t="s">
        <v>2758</v>
      </c>
      <c r="E391" s="28" t="s">
        <v>2794</v>
      </c>
      <c r="F391" s="28" t="s">
        <v>64</v>
      </c>
      <c r="G391" s="28" t="s">
        <v>2795</v>
      </c>
      <c r="H391" s="28" t="s">
        <v>2796</v>
      </c>
      <c r="I391" s="28" t="s">
        <v>2797</v>
      </c>
      <c r="J391" s="28" t="s">
        <v>30</v>
      </c>
      <c r="K391" s="28" t="s">
        <v>2798</v>
      </c>
      <c r="L391" s="28">
        <v>4</v>
      </c>
      <c r="M391" s="28">
        <v>1.5</v>
      </c>
      <c r="N391" s="25">
        <f t="shared" si="6"/>
        <v>1.75</v>
      </c>
      <c r="O391" s="28" t="s">
        <v>2799</v>
      </c>
      <c r="P391" s="28" t="s">
        <v>2799</v>
      </c>
      <c r="Q391" s="28" t="s">
        <v>484</v>
      </c>
      <c r="R391" s="28" t="s">
        <v>1026</v>
      </c>
      <c r="S391" s="28" t="s">
        <v>2800</v>
      </c>
      <c r="T391" s="28" t="s">
        <v>2801</v>
      </c>
      <c r="U391" s="28" t="s">
        <v>2802</v>
      </c>
      <c r="V391" s="28" t="s">
        <v>2803</v>
      </c>
    </row>
    <row r="392" spans="1:22" ht="34.5" customHeight="1" x14ac:dyDescent="0.25">
      <c r="A392" s="26">
        <v>36</v>
      </c>
      <c r="B392" s="27" t="s">
        <v>2756</v>
      </c>
      <c r="C392" s="28" t="s">
        <v>2757</v>
      </c>
      <c r="D392" s="28" t="s">
        <v>2758</v>
      </c>
      <c r="E392" s="28" t="s">
        <v>2759</v>
      </c>
      <c r="F392" s="28" t="s">
        <v>112</v>
      </c>
      <c r="G392" s="28" t="s">
        <v>2804</v>
      </c>
      <c r="H392" s="28" t="s">
        <v>2805</v>
      </c>
      <c r="I392" s="28" t="s">
        <v>2806</v>
      </c>
      <c r="J392" s="28" t="s">
        <v>116</v>
      </c>
      <c r="K392" s="28" t="s">
        <v>26</v>
      </c>
      <c r="L392" s="28">
        <v>1</v>
      </c>
      <c r="M392" s="28">
        <v>0.5</v>
      </c>
      <c r="N392" s="25">
        <f t="shared" si="6"/>
        <v>0.5</v>
      </c>
      <c r="O392" s="28" t="s">
        <v>1831</v>
      </c>
      <c r="P392" s="28" t="s">
        <v>1831</v>
      </c>
      <c r="Q392" s="28" t="s">
        <v>1832</v>
      </c>
      <c r="R392" s="28" t="s">
        <v>1833</v>
      </c>
      <c r="S392" s="28" t="s">
        <v>1833</v>
      </c>
      <c r="T392" s="28" t="s">
        <v>1833</v>
      </c>
      <c r="U392" s="28" t="s">
        <v>1833</v>
      </c>
      <c r="V392" s="28" t="s">
        <v>2807</v>
      </c>
    </row>
    <row r="393" spans="1:22" ht="34.5" customHeight="1" x14ac:dyDescent="0.25">
      <c r="A393" s="26">
        <v>36</v>
      </c>
      <c r="B393" s="27" t="s">
        <v>2756</v>
      </c>
      <c r="C393" s="28" t="s">
        <v>2757</v>
      </c>
      <c r="D393" s="28" t="s">
        <v>2758</v>
      </c>
      <c r="E393" s="28" t="s">
        <v>2808</v>
      </c>
      <c r="F393" s="28" t="s">
        <v>120</v>
      </c>
      <c r="G393" s="28" t="s">
        <v>2809</v>
      </c>
      <c r="H393" s="28" t="s">
        <v>2810</v>
      </c>
      <c r="I393" s="28" t="s">
        <v>2811</v>
      </c>
      <c r="J393" s="28" t="s">
        <v>116</v>
      </c>
      <c r="K393" s="28" t="s">
        <v>26</v>
      </c>
      <c r="L393" s="28">
        <v>1</v>
      </c>
      <c r="M393" s="28">
        <v>0.5</v>
      </c>
      <c r="N393" s="25">
        <f t="shared" si="6"/>
        <v>0.5</v>
      </c>
      <c r="O393" s="28" t="s">
        <v>1831</v>
      </c>
      <c r="P393" s="28" t="s">
        <v>1831</v>
      </c>
      <c r="Q393" s="28" t="s">
        <v>1832</v>
      </c>
      <c r="R393" s="28" t="s">
        <v>1833</v>
      </c>
      <c r="S393" s="28" t="s">
        <v>1833</v>
      </c>
      <c r="T393" s="28" t="s">
        <v>1833</v>
      </c>
      <c r="U393" s="28" t="s">
        <v>1833</v>
      </c>
      <c r="V393" s="28" t="s">
        <v>2812</v>
      </c>
    </row>
    <row r="394" spans="1:22" ht="34.5" customHeight="1" x14ac:dyDescent="0.25">
      <c r="A394" s="26">
        <v>36</v>
      </c>
      <c r="B394" s="27" t="s">
        <v>2756</v>
      </c>
      <c r="C394" s="28" t="s">
        <v>2757</v>
      </c>
      <c r="D394" s="28" t="s">
        <v>2758</v>
      </c>
      <c r="E394" s="28" t="s">
        <v>2813</v>
      </c>
      <c r="F394" s="28" t="s">
        <v>127</v>
      </c>
      <c r="G394" s="28" t="s">
        <v>2814</v>
      </c>
      <c r="H394" s="28" t="s">
        <v>2815</v>
      </c>
      <c r="I394" s="28" t="s">
        <v>2816</v>
      </c>
      <c r="J394" s="28" t="s">
        <v>116</v>
      </c>
      <c r="K394" s="28" t="s">
        <v>26</v>
      </c>
      <c r="L394" s="28">
        <v>0.5</v>
      </c>
      <c r="M394" s="28">
        <v>0.25</v>
      </c>
      <c r="N394" s="25">
        <f t="shared" si="6"/>
        <v>0.25</v>
      </c>
      <c r="O394" s="28" t="s">
        <v>1831</v>
      </c>
      <c r="P394" s="28" t="s">
        <v>1831</v>
      </c>
      <c r="Q394" s="28" t="s">
        <v>1832</v>
      </c>
      <c r="R394" s="28" t="s">
        <v>1833</v>
      </c>
      <c r="S394" s="28" t="s">
        <v>1833</v>
      </c>
      <c r="T394" s="28" t="s">
        <v>1833</v>
      </c>
      <c r="U394" s="28" t="s">
        <v>1833</v>
      </c>
      <c r="V394" s="28" t="s">
        <v>2817</v>
      </c>
    </row>
    <row r="395" spans="1:22" ht="34.5" customHeight="1" x14ac:dyDescent="0.25">
      <c r="A395" s="26">
        <v>36</v>
      </c>
      <c r="B395" s="27" t="s">
        <v>2756</v>
      </c>
      <c r="C395" s="28" t="s">
        <v>2757</v>
      </c>
      <c r="D395" s="28" t="s">
        <v>2758</v>
      </c>
      <c r="E395" s="28" t="s">
        <v>2818</v>
      </c>
      <c r="F395" s="28" t="s">
        <v>134</v>
      </c>
      <c r="G395" s="28" t="s">
        <v>2819</v>
      </c>
      <c r="H395" s="28" t="s">
        <v>2820</v>
      </c>
      <c r="I395" s="28" t="s">
        <v>2821</v>
      </c>
      <c r="J395" s="28" t="s">
        <v>116</v>
      </c>
      <c r="K395" s="28" t="s">
        <v>26</v>
      </c>
      <c r="L395" s="28">
        <v>0.5</v>
      </c>
      <c r="M395" s="28">
        <v>0.25</v>
      </c>
      <c r="N395" s="25">
        <f t="shared" si="6"/>
        <v>0.25</v>
      </c>
      <c r="O395" s="28" t="s">
        <v>1831</v>
      </c>
      <c r="P395" s="28" t="s">
        <v>1831</v>
      </c>
      <c r="Q395" s="28" t="s">
        <v>1832</v>
      </c>
      <c r="R395" s="28" t="s">
        <v>1833</v>
      </c>
      <c r="S395" s="28" t="s">
        <v>1833</v>
      </c>
      <c r="T395" s="28" t="s">
        <v>1833</v>
      </c>
      <c r="U395" s="28" t="s">
        <v>1833</v>
      </c>
      <c r="V395" s="28" t="s">
        <v>2822</v>
      </c>
    </row>
    <row r="396" spans="1:22" ht="34.5" customHeight="1" x14ac:dyDescent="0.25">
      <c r="A396" s="26">
        <v>36</v>
      </c>
      <c r="B396" s="27" t="s">
        <v>2756</v>
      </c>
      <c r="C396" s="28" t="s">
        <v>2757</v>
      </c>
      <c r="D396" s="28" t="s">
        <v>2758</v>
      </c>
      <c r="E396" s="28" t="s">
        <v>2823</v>
      </c>
      <c r="F396" s="28" t="s">
        <v>142</v>
      </c>
      <c r="G396" s="28" t="s">
        <v>2824</v>
      </c>
      <c r="H396" s="28" t="s">
        <v>2825</v>
      </c>
      <c r="I396" s="28" t="s">
        <v>2826</v>
      </c>
      <c r="J396" s="28" t="s">
        <v>116</v>
      </c>
      <c r="K396" s="28" t="s">
        <v>26</v>
      </c>
      <c r="L396" s="28">
        <v>0.5</v>
      </c>
      <c r="M396" s="28">
        <v>0.25</v>
      </c>
      <c r="N396" s="25">
        <f t="shared" si="6"/>
        <v>0.25</v>
      </c>
      <c r="O396" s="28" t="s">
        <v>1831</v>
      </c>
      <c r="P396" s="28" t="s">
        <v>1831</v>
      </c>
      <c r="Q396" s="28" t="s">
        <v>1832</v>
      </c>
      <c r="R396" s="28" t="s">
        <v>1833</v>
      </c>
      <c r="S396" s="28" t="s">
        <v>1833</v>
      </c>
      <c r="T396" s="28" t="s">
        <v>1833</v>
      </c>
      <c r="U396" s="28" t="s">
        <v>1833</v>
      </c>
      <c r="V396" s="28" t="s">
        <v>2827</v>
      </c>
    </row>
    <row r="397" spans="1:22" ht="34.5" customHeight="1" x14ac:dyDescent="0.25">
      <c r="A397" s="26">
        <v>36</v>
      </c>
      <c r="B397" s="27" t="s">
        <v>2756</v>
      </c>
      <c r="C397" s="28" t="s">
        <v>2757</v>
      </c>
      <c r="D397" s="28" t="s">
        <v>2758</v>
      </c>
      <c r="E397" s="28" t="s">
        <v>2828</v>
      </c>
      <c r="F397" s="28" t="s">
        <v>150</v>
      </c>
      <c r="G397" s="28" t="s">
        <v>2829</v>
      </c>
      <c r="H397" s="28" t="s">
        <v>2830</v>
      </c>
      <c r="I397" s="28" t="s">
        <v>2831</v>
      </c>
      <c r="J397" s="28" t="s">
        <v>116</v>
      </c>
      <c r="K397" s="28" t="s">
        <v>26</v>
      </c>
      <c r="L397" s="28">
        <v>0.5</v>
      </c>
      <c r="M397" s="28">
        <v>0.25</v>
      </c>
      <c r="N397" s="25">
        <f t="shared" si="6"/>
        <v>0.25</v>
      </c>
      <c r="O397" s="28" t="s">
        <v>1831</v>
      </c>
      <c r="P397" s="28" t="s">
        <v>1831</v>
      </c>
      <c r="Q397" s="28" t="s">
        <v>1832</v>
      </c>
      <c r="R397" s="28" t="s">
        <v>1833</v>
      </c>
      <c r="S397" s="28" t="s">
        <v>1833</v>
      </c>
      <c r="T397" s="28" t="s">
        <v>1833</v>
      </c>
      <c r="U397" s="28" t="s">
        <v>1833</v>
      </c>
      <c r="V397" s="28" t="s">
        <v>2832</v>
      </c>
    </row>
    <row r="398" spans="1:22" ht="34.5" customHeight="1" x14ac:dyDescent="0.25">
      <c r="A398" s="26">
        <v>36</v>
      </c>
      <c r="B398" s="27" t="s">
        <v>2756</v>
      </c>
      <c r="C398" s="28" t="s">
        <v>2757</v>
      </c>
      <c r="D398" s="28" t="s">
        <v>2758</v>
      </c>
      <c r="E398" s="28" t="s">
        <v>2833</v>
      </c>
      <c r="F398" s="28" t="s">
        <v>478</v>
      </c>
      <c r="G398" s="28" t="s">
        <v>2834</v>
      </c>
      <c r="H398" s="28" t="s">
        <v>2835</v>
      </c>
      <c r="I398" s="28" t="s">
        <v>2836</v>
      </c>
      <c r="J398" s="28" t="s">
        <v>116</v>
      </c>
      <c r="K398" s="28" t="s">
        <v>26</v>
      </c>
      <c r="L398" s="28">
        <v>0.5</v>
      </c>
      <c r="M398" s="28">
        <v>0.25</v>
      </c>
      <c r="N398" s="25">
        <f t="shared" si="6"/>
        <v>0.25</v>
      </c>
      <c r="O398" s="28" t="s">
        <v>1831</v>
      </c>
      <c r="P398" s="28" t="s">
        <v>1831</v>
      </c>
      <c r="Q398" s="28" t="s">
        <v>1832</v>
      </c>
      <c r="R398" s="28" t="s">
        <v>1833</v>
      </c>
      <c r="S398" s="28" t="s">
        <v>1833</v>
      </c>
      <c r="T398" s="28" t="s">
        <v>1833</v>
      </c>
      <c r="U398" s="28" t="s">
        <v>1833</v>
      </c>
      <c r="V398" s="28" t="s">
        <v>2837</v>
      </c>
    </row>
    <row r="399" spans="1:22" ht="34.5" customHeight="1" x14ac:dyDescent="0.25">
      <c r="A399" s="26">
        <v>36</v>
      </c>
      <c r="B399" s="27" t="s">
        <v>2756</v>
      </c>
      <c r="C399" s="28" t="s">
        <v>2757</v>
      </c>
      <c r="D399" s="28" t="s">
        <v>2758</v>
      </c>
      <c r="E399" s="28" t="s">
        <v>2838</v>
      </c>
      <c r="F399" s="28" t="s">
        <v>487</v>
      </c>
      <c r="G399" s="28" t="s">
        <v>2839</v>
      </c>
      <c r="H399" s="28" t="s">
        <v>2840</v>
      </c>
      <c r="I399" s="28" t="s">
        <v>2841</v>
      </c>
      <c r="J399" s="28" t="s">
        <v>116</v>
      </c>
      <c r="K399" s="28" t="s">
        <v>26</v>
      </c>
      <c r="L399" s="28">
        <v>0.5</v>
      </c>
      <c r="M399" s="28">
        <v>0.25</v>
      </c>
      <c r="N399" s="25">
        <f t="shared" si="6"/>
        <v>0.25</v>
      </c>
      <c r="O399" s="28" t="s">
        <v>1831</v>
      </c>
      <c r="P399" s="28" t="s">
        <v>1831</v>
      </c>
      <c r="Q399" s="28" t="s">
        <v>1832</v>
      </c>
      <c r="R399" s="28" t="s">
        <v>1833</v>
      </c>
      <c r="S399" s="28" t="s">
        <v>1833</v>
      </c>
      <c r="T399" s="28" t="s">
        <v>1833</v>
      </c>
      <c r="U399" s="28" t="s">
        <v>1833</v>
      </c>
      <c r="V399" s="28" t="s">
        <v>2842</v>
      </c>
    </row>
    <row r="400" spans="1:22" ht="34.5" customHeight="1" x14ac:dyDescent="0.25">
      <c r="A400" s="26">
        <v>36</v>
      </c>
      <c r="B400" s="27" t="s">
        <v>2756</v>
      </c>
      <c r="C400" s="28" t="s">
        <v>2757</v>
      </c>
      <c r="D400" s="28" t="s">
        <v>2758</v>
      </c>
      <c r="E400" s="28" t="s">
        <v>2843</v>
      </c>
      <c r="F400" s="28" t="s">
        <v>497</v>
      </c>
      <c r="G400" s="28" t="s">
        <v>2844</v>
      </c>
      <c r="H400" s="28" t="s">
        <v>2845</v>
      </c>
      <c r="I400" s="28" t="s">
        <v>2846</v>
      </c>
      <c r="J400" s="28" t="s">
        <v>116</v>
      </c>
      <c r="K400" s="28" t="s">
        <v>26</v>
      </c>
      <c r="L400" s="28">
        <v>0.5</v>
      </c>
      <c r="M400" s="28">
        <v>0.25</v>
      </c>
      <c r="N400" s="25">
        <f t="shared" si="6"/>
        <v>0.25</v>
      </c>
      <c r="O400" s="28" t="s">
        <v>1831</v>
      </c>
      <c r="P400" s="28" t="s">
        <v>1831</v>
      </c>
      <c r="Q400" s="28" t="s">
        <v>1832</v>
      </c>
      <c r="R400" s="28" t="s">
        <v>1833</v>
      </c>
      <c r="S400" s="28" t="s">
        <v>1833</v>
      </c>
      <c r="T400" s="28" t="s">
        <v>1833</v>
      </c>
      <c r="U400" s="28" t="s">
        <v>1833</v>
      </c>
      <c r="V400" s="28" t="s">
        <v>2847</v>
      </c>
    </row>
    <row r="401" spans="1:22" ht="34.5" customHeight="1" x14ac:dyDescent="0.25">
      <c r="A401" s="26">
        <v>36</v>
      </c>
      <c r="B401" s="27" t="s">
        <v>2756</v>
      </c>
      <c r="C401" s="28" t="s">
        <v>2757</v>
      </c>
      <c r="D401" s="28" t="s">
        <v>2758</v>
      </c>
      <c r="E401" s="28" t="s">
        <v>2848</v>
      </c>
      <c r="F401" s="28" t="s">
        <v>157</v>
      </c>
      <c r="G401" s="28" t="s">
        <v>2849</v>
      </c>
      <c r="H401" s="28" t="s">
        <v>2850</v>
      </c>
      <c r="I401" s="28" t="s">
        <v>2851</v>
      </c>
      <c r="J401" s="28" t="s">
        <v>161</v>
      </c>
      <c r="K401" s="28" t="s">
        <v>2852</v>
      </c>
      <c r="L401" s="28">
        <v>2</v>
      </c>
      <c r="M401" s="28">
        <v>0.75</v>
      </c>
      <c r="N401" s="25">
        <f t="shared" si="6"/>
        <v>1</v>
      </c>
      <c r="O401" s="28" t="s">
        <v>1906</v>
      </c>
      <c r="P401" s="28" t="s">
        <v>1907</v>
      </c>
      <c r="Q401" s="28" t="s">
        <v>1832</v>
      </c>
      <c r="R401" s="28" t="s">
        <v>1833</v>
      </c>
      <c r="S401" s="28" t="s">
        <v>1833</v>
      </c>
      <c r="T401" s="28" t="s">
        <v>1833</v>
      </c>
      <c r="U401" s="28" t="s">
        <v>1833</v>
      </c>
      <c r="V401" s="28" t="s">
        <v>2853</v>
      </c>
    </row>
    <row r="402" spans="1:22" ht="34.5" customHeight="1" x14ac:dyDescent="0.25">
      <c r="A402" s="26">
        <v>36</v>
      </c>
      <c r="B402" s="27" t="s">
        <v>2756</v>
      </c>
      <c r="C402" s="28" t="s">
        <v>2757</v>
      </c>
      <c r="D402" s="28" t="s">
        <v>2758</v>
      </c>
      <c r="E402" s="28" t="s">
        <v>2854</v>
      </c>
      <c r="F402" s="28" t="s">
        <v>166</v>
      </c>
      <c r="G402" s="28" t="s">
        <v>2855</v>
      </c>
      <c r="H402" s="28" t="s">
        <v>2856</v>
      </c>
      <c r="I402" s="28" t="s">
        <v>2857</v>
      </c>
      <c r="J402" s="28" t="s">
        <v>161</v>
      </c>
      <c r="K402" s="28" t="s">
        <v>2858</v>
      </c>
      <c r="L402" s="28">
        <v>3</v>
      </c>
      <c r="M402" s="28">
        <v>1</v>
      </c>
      <c r="N402" s="25">
        <f t="shared" si="6"/>
        <v>1.25</v>
      </c>
      <c r="O402" s="28" t="s">
        <v>2859</v>
      </c>
      <c r="P402" s="28" t="s">
        <v>1907</v>
      </c>
      <c r="Q402" s="28" t="s">
        <v>1832</v>
      </c>
      <c r="R402" s="28" t="s">
        <v>1833</v>
      </c>
      <c r="S402" s="28" t="s">
        <v>1833</v>
      </c>
      <c r="T402" s="28" t="s">
        <v>1833</v>
      </c>
      <c r="U402" s="28" t="s">
        <v>1833</v>
      </c>
      <c r="V402" s="28" t="s">
        <v>2860</v>
      </c>
    </row>
    <row r="403" spans="1:22" ht="34.5" customHeight="1" x14ac:dyDescent="0.25">
      <c r="A403" s="26">
        <v>36</v>
      </c>
      <c r="B403" s="27" t="s">
        <v>2756</v>
      </c>
      <c r="C403" s="28" t="s">
        <v>2757</v>
      </c>
      <c r="D403" s="28" t="s">
        <v>2758</v>
      </c>
      <c r="E403" s="28" t="s">
        <v>2861</v>
      </c>
      <c r="F403" s="28" t="s">
        <v>1489</v>
      </c>
      <c r="G403" s="28" t="s">
        <v>2862</v>
      </c>
      <c r="H403" s="28" t="s">
        <v>2863</v>
      </c>
      <c r="I403" s="28" t="s">
        <v>2864</v>
      </c>
      <c r="J403" s="28" t="s">
        <v>161</v>
      </c>
      <c r="K403" s="28" t="s">
        <v>2865</v>
      </c>
      <c r="L403" s="28">
        <v>3</v>
      </c>
      <c r="M403" s="28">
        <v>1</v>
      </c>
      <c r="N403" s="25">
        <f t="shared" si="6"/>
        <v>1.25</v>
      </c>
      <c r="O403" s="28" t="s">
        <v>2859</v>
      </c>
      <c r="P403" s="28" t="s">
        <v>1907</v>
      </c>
      <c r="Q403" s="28" t="s">
        <v>1832</v>
      </c>
      <c r="R403" s="28" t="s">
        <v>1833</v>
      </c>
      <c r="S403" s="28" t="s">
        <v>1833</v>
      </c>
      <c r="T403" s="28" t="s">
        <v>1833</v>
      </c>
      <c r="U403" s="28" t="s">
        <v>1833</v>
      </c>
      <c r="V403" s="28" t="s">
        <v>2866</v>
      </c>
    </row>
    <row r="404" spans="1:22" ht="34.5" customHeight="1" x14ac:dyDescent="0.25">
      <c r="A404" s="26">
        <v>37</v>
      </c>
      <c r="B404" s="27" t="s">
        <v>2867</v>
      </c>
      <c r="C404" s="28" t="s">
        <v>2868</v>
      </c>
      <c r="D404" s="28" t="s">
        <v>2869</v>
      </c>
      <c r="E404" s="28" t="s">
        <v>2870</v>
      </c>
      <c r="F404" s="28" t="s">
        <v>26</v>
      </c>
      <c r="G404" s="28" t="s">
        <v>2871</v>
      </c>
      <c r="H404" s="28" t="s">
        <v>2872</v>
      </c>
      <c r="I404" s="28" t="s">
        <v>2873</v>
      </c>
      <c r="J404" s="28" t="s">
        <v>30</v>
      </c>
      <c r="K404" s="28" t="s">
        <v>1772</v>
      </c>
      <c r="L404" s="28">
        <v>4</v>
      </c>
      <c r="M404" s="28">
        <v>1.5</v>
      </c>
      <c r="N404" s="25">
        <f t="shared" si="6"/>
        <v>1.75</v>
      </c>
      <c r="O404" s="28" t="s">
        <v>1763</v>
      </c>
      <c r="P404" s="28" t="s">
        <v>1763</v>
      </c>
      <c r="Q404" s="28" t="s">
        <v>1813</v>
      </c>
      <c r="R404" s="28" t="s">
        <v>1026</v>
      </c>
      <c r="S404" s="28" t="s">
        <v>2790</v>
      </c>
      <c r="T404" s="28" t="s">
        <v>2874</v>
      </c>
      <c r="U404" s="28" t="s">
        <v>2875</v>
      </c>
      <c r="V404" s="28" t="s">
        <v>2876</v>
      </c>
    </row>
    <row r="405" spans="1:22" ht="34.5" customHeight="1" x14ac:dyDescent="0.25">
      <c r="A405" s="26">
        <v>37</v>
      </c>
      <c r="B405" s="27" t="s">
        <v>2867</v>
      </c>
      <c r="C405" s="28" t="s">
        <v>2868</v>
      </c>
      <c r="D405" s="28" t="s">
        <v>2869</v>
      </c>
      <c r="E405" s="28" t="s">
        <v>2877</v>
      </c>
      <c r="F405" s="28" t="s">
        <v>38</v>
      </c>
      <c r="G405" s="28" t="s">
        <v>2878</v>
      </c>
      <c r="H405" s="28" t="s">
        <v>2879</v>
      </c>
      <c r="I405" s="28" t="s">
        <v>2880</v>
      </c>
      <c r="J405" s="28" t="s">
        <v>30</v>
      </c>
      <c r="K405" s="28" t="s">
        <v>2881</v>
      </c>
      <c r="L405" s="28">
        <v>5</v>
      </c>
      <c r="M405" s="28">
        <v>2</v>
      </c>
      <c r="N405" s="25">
        <f t="shared" si="6"/>
        <v>2.5</v>
      </c>
      <c r="O405" s="28" t="s">
        <v>2882</v>
      </c>
      <c r="P405" s="28" t="s">
        <v>2883</v>
      </c>
      <c r="Q405" s="28" t="s">
        <v>1813</v>
      </c>
      <c r="R405" s="28" t="s">
        <v>1026</v>
      </c>
      <c r="S405" s="28" t="s">
        <v>2884</v>
      </c>
      <c r="T405" s="28" t="s">
        <v>2885</v>
      </c>
      <c r="U405" s="28" t="s">
        <v>2886</v>
      </c>
      <c r="V405" s="28" t="s">
        <v>2887</v>
      </c>
    </row>
    <row r="406" spans="1:22" ht="34.5" customHeight="1" x14ac:dyDescent="0.25">
      <c r="A406" s="26">
        <v>37</v>
      </c>
      <c r="B406" s="27" t="s">
        <v>2867</v>
      </c>
      <c r="C406" s="28" t="s">
        <v>2868</v>
      </c>
      <c r="D406" s="28" t="s">
        <v>2869</v>
      </c>
      <c r="E406" s="28" t="s">
        <v>2888</v>
      </c>
      <c r="F406" s="28" t="s">
        <v>46</v>
      </c>
      <c r="G406" s="28" t="s">
        <v>2889</v>
      </c>
      <c r="H406" s="28" t="s">
        <v>2890</v>
      </c>
      <c r="I406" s="28" t="s">
        <v>2891</v>
      </c>
      <c r="J406" s="28" t="s">
        <v>30</v>
      </c>
      <c r="K406" s="28" t="s">
        <v>2892</v>
      </c>
      <c r="L406" s="28">
        <v>4</v>
      </c>
      <c r="M406" s="28">
        <v>1.5</v>
      </c>
      <c r="N406" s="25">
        <f t="shared" si="6"/>
        <v>1.75</v>
      </c>
      <c r="O406" s="28" t="s">
        <v>2883</v>
      </c>
      <c r="P406" s="28" t="s">
        <v>2883</v>
      </c>
      <c r="Q406" s="28" t="s">
        <v>419</v>
      </c>
      <c r="R406" s="28" t="s">
        <v>1026</v>
      </c>
      <c r="S406" s="28" t="s">
        <v>2790</v>
      </c>
      <c r="T406" s="28" t="s">
        <v>2893</v>
      </c>
      <c r="U406" s="28" t="s">
        <v>2894</v>
      </c>
      <c r="V406" s="28" t="s">
        <v>2895</v>
      </c>
    </row>
    <row r="407" spans="1:22" ht="34.5" customHeight="1" x14ac:dyDescent="0.25">
      <c r="A407" s="26">
        <v>37</v>
      </c>
      <c r="B407" s="27" t="s">
        <v>2867</v>
      </c>
      <c r="C407" s="28" t="s">
        <v>2868</v>
      </c>
      <c r="D407" s="28" t="s">
        <v>2869</v>
      </c>
      <c r="E407" s="28" t="s">
        <v>2896</v>
      </c>
      <c r="F407" s="28" t="s">
        <v>53</v>
      </c>
      <c r="G407" s="28" t="s">
        <v>2897</v>
      </c>
      <c r="H407" s="28" t="s">
        <v>2898</v>
      </c>
      <c r="I407" s="28" t="s">
        <v>2899</v>
      </c>
      <c r="J407" s="28" t="s">
        <v>30</v>
      </c>
      <c r="K407" s="28" t="s">
        <v>2881</v>
      </c>
      <c r="L407" s="28">
        <v>4</v>
      </c>
      <c r="M407" s="28">
        <v>1.5</v>
      </c>
      <c r="N407" s="25">
        <f t="shared" si="6"/>
        <v>1.75</v>
      </c>
      <c r="O407" s="28" t="s">
        <v>1773</v>
      </c>
      <c r="P407" s="28" t="s">
        <v>1802</v>
      </c>
      <c r="Q407" s="28" t="s">
        <v>419</v>
      </c>
      <c r="R407" s="28" t="s">
        <v>1026</v>
      </c>
      <c r="S407" s="28" t="s">
        <v>2790</v>
      </c>
      <c r="T407" s="28" t="s">
        <v>2900</v>
      </c>
      <c r="U407" s="28" t="s">
        <v>2901</v>
      </c>
      <c r="V407" s="28" t="s">
        <v>2902</v>
      </c>
    </row>
    <row r="408" spans="1:22" ht="34.5" customHeight="1" x14ac:dyDescent="0.25">
      <c r="A408" s="26">
        <v>37</v>
      </c>
      <c r="B408" s="27" t="s">
        <v>2867</v>
      </c>
      <c r="C408" s="28" t="s">
        <v>2868</v>
      </c>
      <c r="D408" s="28" t="s">
        <v>2869</v>
      </c>
      <c r="E408" s="28" t="s">
        <v>2759</v>
      </c>
      <c r="F408" s="28" t="s">
        <v>112</v>
      </c>
      <c r="G408" s="28" t="s">
        <v>2903</v>
      </c>
      <c r="H408" s="28" t="s">
        <v>2904</v>
      </c>
      <c r="I408" s="28" t="s">
        <v>2905</v>
      </c>
      <c r="J408" s="28" t="s">
        <v>116</v>
      </c>
      <c r="K408" s="28" t="s">
        <v>2032</v>
      </c>
      <c r="L408" s="28">
        <v>2</v>
      </c>
      <c r="M408" s="28">
        <v>0.75</v>
      </c>
      <c r="N408" s="25">
        <f t="shared" si="6"/>
        <v>1</v>
      </c>
      <c r="O408" s="28" t="s">
        <v>1831</v>
      </c>
      <c r="P408" s="28" t="s">
        <v>1831</v>
      </c>
      <c r="Q408" s="28" t="s">
        <v>1832</v>
      </c>
      <c r="R408" s="28" t="s">
        <v>1833</v>
      </c>
      <c r="S408" s="28" t="s">
        <v>1833</v>
      </c>
      <c r="T408" s="28" t="s">
        <v>1833</v>
      </c>
      <c r="U408" s="28" t="s">
        <v>1833</v>
      </c>
      <c r="V408" s="28" t="s">
        <v>2906</v>
      </c>
    </row>
    <row r="409" spans="1:22" ht="34.5" customHeight="1" x14ac:dyDescent="0.25">
      <c r="A409" s="26">
        <v>37</v>
      </c>
      <c r="B409" s="27" t="s">
        <v>2867</v>
      </c>
      <c r="C409" s="28" t="s">
        <v>2868</v>
      </c>
      <c r="D409" s="28" t="s">
        <v>2869</v>
      </c>
      <c r="E409" s="28" t="s">
        <v>2907</v>
      </c>
      <c r="F409" s="28" t="s">
        <v>120</v>
      </c>
      <c r="G409" s="28" t="s">
        <v>2908</v>
      </c>
      <c r="H409" s="28" t="s">
        <v>2909</v>
      </c>
      <c r="I409" s="28" t="s">
        <v>2910</v>
      </c>
      <c r="J409" s="28" t="s">
        <v>116</v>
      </c>
      <c r="K409" s="28" t="s">
        <v>38</v>
      </c>
      <c r="L409" s="28">
        <v>1</v>
      </c>
      <c r="M409" s="28">
        <v>0.5</v>
      </c>
      <c r="N409" s="25">
        <f t="shared" si="6"/>
        <v>0.5</v>
      </c>
      <c r="O409" s="28" t="s">
        <v>1831</v>
      </c>
      <c r="P409" s="28" t="s">
        <v>1831</v>
      </c>
      <c r="Q409" s="28" t="s">
        <v>1832</v>
      </c>
      <c r="R409" s="28" t="s">
        <v>1833</v>
      </c>
      <c r="S409" s="28" t="s">
        <v>1833</v>
      </c>
      <c r="T409" s="28" t="s">
        <v>1833</v>
      </c>
      <c r="U409" s="28" t="s">
        <v>1833</v>
      </c>
      <c r="V409" s="28" t="s">
        <v>2911</v>
      </c>
    </row>
    <row r="410" spans="1:22" ht="34.5" customHeight="1" x14ac:dyDescent="0.25">
      <c r="A410" s="26">
        <v>37</v>
      </c>
      <c r="B410" s="27" t="s">
        <v>2867</v>
      </c>
      <c r="C410" s="28" t="s">
        <v>2868</v>
      </c>
      <c r="D410" s="28" t="s">
        <v>2869</v>
      </c>
      <c r="E410" s="28" t="s">
        <v>2912</v>
      </c>
      <c r="F410" s="28" t="s">
        <v>127</v>
      </c>
      <c r="G410" s="28" t="s">
        <v>2913</v>
      </c>
      <c r="H410" s="28" t="s">
        <v>2914</v>
      </c>
      <c r="I410" s="28" t="s">
        <v>2915</v>
      </c>
      <c r="J410" s="28" t="s">
        <v>116</v>
      </c>
      <c r="K410" s="28" t="s">
        <v>38</v>
      </c>
      <c r="L410" s="28">
        <v>1</v>
      </c>
      <c r="M410" s="28">
        <v>0.5</v>
      </c>
      <c r="N410" s="25">
        <f t="shared" si="6"/>
        <v>0.5</v>
      </c>
      <c r="O410" s="28" t="s">
        <v>1831</v>
      </c>
      <c r="P410" s="28" t="s">
        <v>1831</v>
      </c>
      <c r="Q410" s="28" t="s">
        <v>1832</v>
      </c>
      <c r="R410" s="28" t="s">
        <v>1833</v>
      </c>
      <c r="S410" s="28" t="s">
        <v>1833</v>
      </c>
      <c r="T410" s="28" t="s">
        <v>1833</v>
      </c>
      <c r="U410" s="28" t="s">
        <v>1833</v>
      </c>
      <c r="V410" s="28" t="s">
        <v>2916</v>
      </c>
    </row>
    <row r="411" spans="1:22" ht="34.5" customHeight="1" x14ac:dyDescent="0.25">
      <c r="A411" s="26">
        <v>37</v>
      </c>
      <c r="B411" s="27" t="s">
        <v>2867</v>
      </c>
      <c r="C411" s="28" t="s">
        <v>2868</v>
      </c>
      <c r="D411" s="28" t="s">
        <v>2869</v>
      </c>
      <c r="E411" s="28" t="s">
        <v>2917</v>
      </c>
      <c r="F411" s="28" t="s">
        <v>134</v>
      </c>
      <c r="G411" s="28" t="s">
        <v>2918</v>
      </c>
      <c r="H411" s="28" t="s">
        <v>2919</v>
      </c>
      <c r="I411" s="28" t="s">
        <v>2920</v>
      </c>
      <c r="J411" s="28" t="s">
        <v>116</v>
      </c>
      <c r="K411" s="28" t="s">
        <v>26</v>
      </c>
      <c r="L411" s="28">
        <v>1</v>
      </c>
      <c r="M411" s="28">
        <v>0.5</v>
      </c>
      <c r="N411" s="25">
        <f t="shared" si="6"/>
        <v>0.5</v>
      </c>
      <c r="O411" s="28" t="s">
        <v>1831</v>
      </c>
      <c r="P411" s="28" t="s">
        <v>1831</v>
      </c>
      <c r="Q411" s="28" t="s">
        <v>1832</v>
      </c>
      <c r="R411" s="28" t="s">
        <v>1833</v>
      </c>
      <c r="S411" s="28" t="s">
        <v>1833</v>
      </c>
      <c r="T411" s="28" t="s">
        <v>1833</v>
      </c>
      <c r="U411" s="28" t="s">
        <v>1833</v>
      </c>
      <c r="V411" s="28" t="s">
        <v>2921</v>
      </c>
    </row>
    <row r="412" spans="1:22" ht="34.5" customHeight="1" x14ac:dyDescent="0.25">
      <c r="A412" s="26">
        <v>37</v>
      </c>
      <c r="B412" s="27" t="s">
        <v>2867</v>
      </c>
      <c r="C412" s="28" t="s">
        <v>2868</v>
      </c>
      <c r="D412" s="28" t="s">
        <v>2869</v>
      </c>
      <c r="E412" s="28" t="s">
        <v>2922</v>
      </c>
      <c r="F412" s="28" t="s">
        <v>142</v>
      </c>
      <c r="G412" s="28" t="s">
        <v>2923</v>
      </c>
      <c r="H412" s="28" t="s">
        <v>2924</v>
      </c>
      <c r="I412" s="28" t="s">
        <v>2925</v>
      </c>
      <c r="J412" s="28" t="s">
        <v>116</v>
      </c>
      <c r="K412" s="28" t="s">
        <v>2926</v>
      </c>
      <c r="L412" s="28">
        <v>1.5</v>
      </c>
      <c r="M412" s="28">
        <v>0.5</v>
      </c>
      <c r="N412" s="25">
        <f t="shared" si="6"/>
        <v>0.5</v>
      </c>
      <c r="O412" s="28" t="s">
        <v>1831</v>
      </c>
      <c r="P412" s="28" t="s">
        <v>1831</v>
      </c>
      <c r="Q412" s="28" t="s">
        <v>1832</v>
      </c>
      <c r="R412" s="28" t="s">
        <v>1833</v>
      </c>
      <c r="S412" s="28" t="s">
        <v>1833</v>
      </c>
      <c r="T412" s="28" t="s">
        <v>1833</v>
      </c>
      <c r="U412" s="28" t="s">
        <v>1833</v>
      </c>
      <c r="V412" s="28" t="s">
        <v>2927</v>
      </c>
    </row>
    <row r="413" spans="1:22" ht="34.5" customHeight="1" x14ac:dyDescent="0.25">
      <c r="A413" s="26">
        <v>37</v>
      </c>
      <c r="B413" s="27" t="s">
        <v>2867</v>
      </c>
      <c r="C413" s="28" t="s">
        <v>2868</v>
      </c>
      <c r="D413" s="28" t="s">
        <v>2869</v>
      </c>
      <c r="E413" s="28" t="s">
        <v>2928</v>
      </c>
      <c r="F413" s="28" t="s">
        <v>150</v>
      </c>
      <c r="G413" s="28" t="s">
        <v>2929</v>
      </c>
      <c r="H413" s="28" t="s">
        <v>2930</v>
      </c>
      <c r="I413" s="28" t="s">
        <v>2931</v>
      </c>
      <c r="J413" s="28" t="s">
        <v>116</v>
      </c>
      <c r="K413" s="28" t="s">
        <v>2932</v>
      </c>
      <c r="L413" s="28">
        <v>2</v>
      </c>
      <c r="M413" s="28">
        <v>0.75</v>
      </c>
      <c r="N413" s="25">
        <f t="shared" si="6"/>
        <v>1</v>
      </c>
      <c r="O413" s="28" t="s">
        <v>1831</v>
      </c>
      <c r="P413" s="28" t="s">
        <v>1831</v>
      </c>
      <c r="Q413" s="28" t="s">
        <v>1832</v>
      </c>
      <c r="R413" s="28" t="s">
        <v>1833</v>
      </c>
      <c r="S413" s="28" t="s">
        <v>1833</v>
      </c>
      <c r="T413" s="28" t="s">
        <v>1833</v>
      </c>
      <c r="U413" s="28" t="s">
        <v>1833</v>
      </c>
      <c r="V413" s="28" t="s">
        <v>2933</v>
      </c>
    </row>
    <row r="414" spans="1:22" ht="34.5" customHeight="1" x14ac:dyDescent="0.25">
      <c r="A414" s="26">
        <v>37</v>
      </c>
      <c r="B414" s="27" t="s">
        <v>2867</v>
      </c>
      <c r="C414" s="28" t="s">
        <v>2868</v>
      </c>
      <c r="D414" s="28" t="s">
        <v>2869</v>
      </c>
      <c r="E414" s="28" t="s">
        <v>2934</v>
      </c>
      <c r="F414" s="28" t="s">
        <v>478</v>
      </c>
      <c r="G414" s="28" t="s">
        <v>2935</v>
      </c>
      <c r="H414" s="28" t="s">
        <v>2936</v>
      </c>
      <c r="I414" s="28" t="s">
        <v>2937</v>
      </c>
      <c r="J414" s="28" t="s">
        <v>116</v>
      </c>
      <c r="K414" s="28" t="s">
        <v>2938</v>
      </c>
      <c r="L414" s="28">
        <v>5</v>
      </c>
      <c r="M414" s="28">
        <v>2</v>
      </c>
      <c r="N414" s="25">
        <f t="shared" si="6"/>
        <v>2.5</v>
      </c>
      <c r="O414" s="28" t="s">
        <v>1831</v>
      </c>
      <c r="P414" s="28" t="s">
        <v>1831</v>
      </c>
      <c r="Q414" s="28" t="s">
        <v>1832</v>
      </c>
      <c r="R414" s="28" t="s">
        <v>1833</v>
      </c>
      <c r="S414" s="28" t="s">
        <v>1833</v>
      </c>
      <c r="T414" s="28" t="s">
        <v>1833</v>
      </c>
      <c r="U414" s="28" t="s">
        <v>1833</v>
      </c>
      <c r="V414" s="28" t="s">
        <v>2939</v>
      </c>
    </row>
    <row r="415" spans="1:22" ht="34.5" customHeight="1" x14ac:dyDescent="0.25">
      <c r="A415" s="26">
        <v>37</v>
      </c>
      <c r="B415" s="27" t="s">
        <v>2867</v>
      </c>
      <c r="C415" s="28" t="s">
        <v>2868</v>
      </c>
      <c r="D415" s="28" t="s">
        <v>2869</v>
      </c>
      <c r="E415" s="28" t="s">
        <v>2940</v>
      </c>
      <c r="F415" s="28" t="s">
        <v>487</v>
      </c>
      <c r="G415" s="28" t="s">
        <v>2941</v>
      </c>
      <c r="H415" s="28" t="s">
        <v>2942</v>
      </c>
      <c r="I415" s="28" t="s">
        <v>2943</v>
      </c>
      <c r="J415" s="28" t="s">
        <v>116</v>
      </c>
      <c r="K415" s="28" t="s">
        <v>46</v>
      </c>
      <c r="L415" s="28">
        <v>2</v>
      </c>
      <c r="M415" s="28">
        <v>0.75</v>
      </c>
      <c r="N415" s="25">
        <f t="shared" si="6"/>
        <v>1</v>
      </c>
      <c r="O415" s="28" t="s">
        <v>1831</v>
      </c>
      <c r="P415" s="28" t="s">
        <v>1831</v>
      </c>
      <c r="Q415" s="28" t="s">
        <v>1832</v>
      </c>
      <c r="R415" s="28" t="s">
        <v>1833</v>
      </c>
      <c r="S415" s="28" t="s">
        <v>1833</v>
      </c>
      <c r="T415" s="28" t="s">
        <v>1833</v>
      </c>
      <c r="U415" s="28" t="s">
        <v>1833</v>
      </c>
      <c r="V415" s="28" t="s">
        <v>2944</v>
      </c>
    </row>
    <row r="416" spans="1:22" ht="34.5" customHeight="1" x14ac:dyDescent="0.25">
      <c r="A416" s="26">
        <v>37</v>
      </c>
      <c r="B416" s="27" t="s">
        <v>2867</v>
      </c>
      <c r="C416" s="28" t="s">
        <v>2868</v>
      </c>
      <c r="D416" s="28" t="s">
        <v>2869</v>
      </c>
      <c r="E416" s="28" t="s">
        <v>2843</v>
      </c>
      <c r="F416" s="28" t="s">
        <v>497</v>
      </c>
      <c r="G416" s="28" t="s">
        <v>2945</v>
      </c>
      <c r="H416" s="28" t="s">
        <v>2946</v>
      </c>
      <c r="I416" s="28" t="s">
        <v>2947</v>
      </c>
      <c r="J416" s="28" t="s">
        <v>116</v>
      </c>
      <c r="K416" s="28" t="s">
        <v>26</v>
      </c>
      <c r="L416" s="28">
        <v>0.5</v>
      </c>
      <c r="M416" s="28">
        <v>0.25</v>
      </c>
      <c r="N416" s="25">
        <f t="shared" si="6"/>
        <v>0.25</v>
      </c>
      <c r="O416" s="28" t="s">
        <v>1831</v>
      </c>
      <c r="P416" s="28" t="s">
        <v>1831</v>
      </c>
      <c r="Q416" s="28" t="s">
        <v>1832</v>
      </c>
      <c r="R416" s="28" t="s">
        <v>1833</v>
      </c>
      <c r="S416" s="28" t="s">
        <v>1833</v>
      </c>
      <c r="T416" s="28" t="s">
        <v>1833</v>
      </c>
      <c r="U416" s="28" t="s">
        <v>1833</v>
      </c>
      <c r="V416" s="28" t="s">
        <v>2948</v>
      </c>
    </row>
    <row r="417" spans="1:22" ht="34.5" customHeight="1" x14ac:dyDescent="0.25">
      <c r="A417" s="26">
        <v>37</v>
      </c>
      <c r="B417" s="27" t="s">
        <v>2867</v>
      </c>
      <c r="C417" s="28" t="s">
        <v>2868</v>
      </c>
      <c r="D417" s="28" t="s">
        <v>2869</v>
      </c>
      <c r="E417" s="28" t="s">
        <v>2949</v>
      </c>
      <c r="F417" s="28" t="s">
        <v>157</v>
      </c>
      <c r="G417" s="28" t="s">
        <v>2950</v>
      </c>
      <c r="H417" s="28" t="s">
        <v>2951</v>
      </c>
      <c r="I417" s="28" t="s">
        <v>2952</v>
      </c>
      <c r="J417" s="28" t="s">
        <v>161</v>
      </c>
      <c r="K417" s="28" t="s">
        <v>1905</v>
      </c>
      <c r="L417" s="28">
        <v>3</v>
      </c>
      <c r="M417" s="28">
        <v>1</v>
      </c>
      <c r="N417" s="25">
        <f t="shared" si="6"/>
        <v>1.25</v>
      </c>
      <c r="O417" s="28" t="s">
        <v>1906</v>
      </c>
      <c r="P417" s="28" t="s">
        <v>1907</v>
      </c>
      <c r="Q417" s="28" t="s">
        <v>1832</v>
      </c>
      <c r="R417" s="28" t="s">
        <v>1833</v>
      </c>
      <c r="S417" s="28" t="s">
        <v>1833</v>
      </c>
      <c r="T417" s="28" t="s">
        <v>1833</v>
      </c>
      <c r="U417" s="28" t="s">
        <v>1833</v>
      </c>
      <c r="V417" s="28" t="s">
        <v>2953</v>
      </c>
    </row>
    <row r="418" spans="1:22" ht="34.5" customHeight="1" x14ac:dyDescent="0.25">
      <c r="A418" s="26">
        <v>37</v>
      </c>
      <c r="B418" s="27" t="s">
        <v>2867</v>
      </c>
      <c r="C418" s="28" t="s">
        <v>2868</v>
      </c>
      <c r="D418" s="28" t="s">
        <v>2869</v>
      </c>
      <c r="E418" s="28" t="s">
        <v>2954</v>
      </c>
      <c r="F418" s="28" t="s">
        <v>166</v>
      </c>
      <c r="G418" s="28" t="s">
        <v>2955</v>
      </c>
      <c r="H418" s="28" t="s">
        <v>2956</v>
      </c>
      <c r="I418" s="28" t="s">
        <v>2957</v>
      </c>
      <c r="J418" s="28" t="s">
        <v>161</v>
      </c>
      <c r="K418" s="28" t="s">
        <v>2958</v>
      </c>
      <c r="L418" s="28">
        <v>3</v>
      </c>
      <c r="M418" s="28">
        <v>1</v>
      </c>
      <c r="N418" s="25">
        <f t="shared" si="6"/>
        <v>1.25</v>
      </c>
      <c r="O418" s="28" t="s">
        <v>1906</v>
      </c>
      <c r="P418" s="28" t="s">
        <v>1907</v>
      </c>
      <c r="Q418" s="28" t="s">
        <v>1832</v>
      </c>
      <c r="R418" s="28" t="s">
        <v>1833</v>
      </c>
      <c r="S418" s="28" t="s">
        <v>1833</v>
      </c>
      <c r="T418" s="28" t="s">
        <v>1833</v>
      </c>
      <c r="U418" s="28" t="s">
        <v>1833</v>
      </c>
      <c r="V418" s="28" t="s">
        <v>2959</v>
      </c>
    </row>
    <row r="419" spans="1:22" ht="34.5" customHeight="1" x14ac:dyDescent="0.25">
      <c r="A419" s="26">
        <v>37</v>
      </c>
      <c r="B419" s="27" t="s">
        <v>2867</v>
      </c>
      <c r="C419" s="28" t="s">
        <v>2868</v>
      </c>
      <c r="D419" s="28" t="s">
        <v>2869</v>
      </c>
      <c r="E419" s="28" t="s">
        <v>2960</v>
      </c>
      <c r="F419" s="28" t="s">
        <v>1489</v>
      </c>
      <c r="G419" s="28" t="s">
        <v>2961</v>
      </c>
      <c r="H419" s="28" t="s">
        <v>2962</v>
      </c>
      <c r="I419" s="28" t="s">
        <v>2963</v>
      </c>
      <c r="J419" s="28" t="s">
        <v>161</v>
      </c>
      <c r="K419" s="28" t="s">
        <v>2032</v>
      </c>
      <c r="L419" s="28">
        <v>2</v>
      </c>
      <c r="M419" s="28">
        <v>0.75</v>
      </c>
      <c r="N419" s="25">
        <f t="shared" si="6"/>
        <v>1</v>
      </c>
      <c r="O419" s="28" t="s">
        <v>2859</v>
      </c>
      <c r="P419" s="28" t="s">
        <v>1907</v>
      </c>
      <c r="Q419" s="28" t="s">
        <v>1832</v>
      </c>
      <c r="R419" s="28" t="s">
        <v>1833</v>
      </c>
      <c r="S419" s="28" t="s">
        <v>1833</v>
      </c>
      <c r="T419" s="28" t="s">
        <v>1833</v>
      </c>
      <c r="U419" s="28" t="s">
        <v>1833</v>
      </c>
      <c r="V419" s="28" t="s">
        <v>2964</v>
      </c>
    </row>
    <row r="420" spans="1:22" ht="34.5" customHeight="1" x14ac:dyDescent="0.25">
      <c r="A420" s="26">
        <v>38</v>
      </c>
      <c r="B420" s="27" t="s">
        <v>2965</v>
      </c>
      <c r="C420" s="28" t="s">
        <v>2966</v>
      </c>
      <c r="D420" s="28" t="s">
        <v>2967</v>
      </c>
      <c r="E420" s="28" t="s">
        <v>2759</v>
      </c>
      <c r="F420" s="28" t="s">
        <v>26</v>
      </c>
      <c r="G420" s="28" t="s">
        <v>2968</v>
      </c>
      <c r="H420" s="28" t="s">
        <v>2969</v>
      </c>
      <c r="I420" s="28" t="s">
        <v>2970</v>
      </c>
      <c r="J420" s="28" t="s">
        <v>30</v>
      </c>
      <c r="K420" s="28" t="s">
        <v>1956</v>
      </c>
      <c r="L420" s="28">
        <v>2</v>
      </c>
      <c r="M420" s="28">
        <v>0.75</v>
      </c>
      <c r="N420" s="25">
        <f t="shared" si="6"/>
        <v>1</v>
      </c>
      <c r="O420" s="28" t="s">
        <v>1763</v>
      </c>
      <c r="P420" s="28" t="s">
        <v>1763</v>
      </c>
      <c r="Q420" s="28" t="s">
        <v>1813</v>
      </c>
      <c r="R420" s="28" t="s">
        <v>1026</v>
      </c>
      <c r="S420" s="28" t="s">
        <v>2971</v>
      </c>
      <c r="T420" s="28" t="s">
        <v>2972</v>
      </c>
      <c r="U420" s="28" t="s">
        <v>2973</v>
      </c>
      <c r="V420" s="28" t="s">
        <v>2974</v>
      </c>
    </row>
    <row r="421" spans="1:22" ht="34.5" customHeight="1" x14ac:dyDescent="0.25">
      <c r="A421" s="26">
        <v>38</v>
      </c>
      <c r="B421" s="27" t="s">
        <v>2965</v>
      </c>
      <c r="C421" s="28" t="s">
        <v>2966</v>
      </c>
      <c r="D421" s="28" t="s">
        <v>2967</v>
      </c>
      <c r="E421" s="28" t="s">
        <v>2870</v>
      </c>
      <c r="F421" s="28" t="s">
        <v>112</v>
      </c>
      <c r="G421" s="28" t="s">
        <v>2975</v>
      </c>
      <c r="H421" s="28" t="s">
        <v>2976</v>
      </c>
      <c r="I421" s="28" t="s">
        <v>2977</v>
      </c>
      <c r="J421" s="28" t="s">
        <v>116</v>
      </c>
      <c r="K421" s="28" t="s">
        <v>26</v>
      </c>
      <c r="L421" s="28">
        <v>1</v>
      </c>
      <c r="M421" s="28">
        <v>0.5</v>
      </c>
      <c r="N421" s="25">
        <f t="shared" si="6"/>
        <v>0.5</v>
      </c>
      <c r="O421" s="28" t="s">
        <v>1831</v>
      </c>
      <c r="P421" s="28" t="s">
        <v>1831</v>
      </c>
      <c r="Q421" s="28" t="s">
        <v>1832</v>
      </c>
      <c r="R421" s="28" t="s">
        <v>1833</v>
      </c>
      <c r="S421" s="28" t="s">
        <v>1833</v>
      </c>
      <c r="T421" s="28" t="s">
        <v>1833</v>
      </c>
      <c r="U421" s="28" t="s">
        <v>1833</v>
      </c>
      <c r="V421" s="28" t="s">
        <v>2978</v>
      </c>
    </row>
    <row r="422" spans="1:22" ht="34.5" customHeight="1" x14ac:dyDescent="0.25">
      <c r="A422" s="26">
        <v>38</v>
      </c>
      <c r="B422" s="27" t="s">
        <v>2965</v>
      </c>
      <c r="C422" s="28" t="s">
        <v>2966</v>
      </c>
      <c r="D422" s="28" t="s">
        <v>2967</v>
      </c>
      <c r="E422" s="28" t="s">
        <v>2979</v>
      </c>
      <c r="F422" s="28" t="s">
        <v>120</v>
      </c>
      <c r="G422" s="28" t="s">
        <v>2980</v>
      </c>
      <c r="H422" s="28" t="s">
        <v>2981</v>
      </c>
      <c r="I422" s="28" t="s">
        <v>2982</v>
      </c>
      <c r="J422" s="28" t="s">
        <v>116</v>
      </c>
      <c r="K422" s="28" t="s">
        <v>26</v>
      </c>
      <c r="L422" s="28">
        <v>0.25</v>
      </c>
      <c r="M422" s="28">
        <v>0.25</v>
      </c>
      <c r="N422" s="25">
        <f t="shared" si="6"/>
        <v>0.25</v>
      </c>
      <c r="O422" s="28" t="s">
        <v>1831</v>
      </c>
      <c r="P422" s="28" t="s">
        <v>1831</v>
      </c>
      <c r="Q422" s="28" t="s">
        <v>1832</v>
      </c>
      <c r="R422" s="28" t="s">
        <v>1833</v>
      </c>
      <c r="S422" s="28" t="s">
        <v>1833</v>
      </c>
      <c r="T422" s="28" t="s">
        <v>1833</v>
      </c>
      <c r="U422" s="28" t="s">
        <v>1833</v>
      </c>
      <c r="V422" s="28" t="s">
        <v>2983</v>
      </c>
    </row>
    <row r="423" spans="1:22" ht="34.5" customHeight="1" x14ac:dyDescent="0.25">
      <c r="A423" s="26">
        <v>38</v>
      </c>
      <c r="B423" s="27" t="s">
        <v>2965</v>
      </c>
      <c r="C423" s="28" t="s">
        <v>2966</v>
      </c>
      <c r="D423" s="28" t="s">
        <v>2967</v>
      </c>
      <c r="E423" s="28" t="s">
        <v>2984</v>
      </c>
      <c r="F423" s="28" t="s">
        <v>127</v>
      </c>
      <c r="G423" s="28" t="s">
        <v>2985</v>
      </c>
      <c r="H423" s="28" t="s">
        <v>2986</v>
      </c>
      <c r="I423" s="28" t="s">
        <v>2987</v>
      </c>
      <c r="J423" s="28" t="s">
        <v>116</v>
      </c>
      <c r="K423" s="28" t="s">
        <v>2988</v>
      </c>
      <c r="L423" s="28">
        <v>0.5</v>
      </c>
      <c r="M423" s="28">
        <v>0.25</v>
      </c>
      <c r="N423" s="25">
        <f t="shared" si="6"/>
        <v>0.25</v>
      </c>
      <c r="O423" s="28" t="s">
        <v>1831</v>
      </c>
      <c r="P423" s="28" t="s">
        <v>1831</v>
      </c>
      <c r="Q423" s="28" t="s">
        <v>1832</v>
      </c>
      <c r="R423" s="28" t="s">
        <v>1833</v>
      </c>
      <c r="S423" s="28" t="s">
        <v>1833</v>
      </c>
      <c r="T423" s="28" t="s">
        <v>1833</v>
      </c>
      <c r="U423" s="28" t="s">
        <v>1833</v>
      </c>
      <c r="V423" s="28" t="s">
        <v>2989</v>
      </c>
    </row>
    <row r="424" spans="1:22" ht="34.5" customHeight="1" x14ac:dyDescent="0.25">
      <c r="A424" s="26">
        <v>38</v>
      </c>
      <c r="B424" s="27" t="s">
        <v>2965</v>
      </c>
      <c r="C424" s="28" t="s">
        <v>2966</v>
      </c>
      <c r="D424" s="28" t="s">
        <v>2967</v>
      </c>
      <c r="E424" s="28" t="s">
        <v>2990</v>
      </c>
      <c r="F424" s="28" t="s">
        <v>134</v>
      </c>
      <c r="G424" s="28" t="s">
        <v>2991</v>
      </c>
      <c r="H424" s="28" t="s">
        <v>2992</v>
      </c>
      <c r="I424" s="28" t="s">
        <v>2993</v>
      </c>
      <c r="J424" s="28" t="s">
        <v>116</v>
      </c>
      <c r="K424" s="28" t="s">
        <v>2994</v>
      </c>
      <c r="L424" s="28">
        <v>0.5</v>
      </c>
      <c r="M424" s="28">
        <v>0.25</v>
      </c>
      <c r="N424" s="25">
        <f t="shared" si="6"/>
        <v>0.25</v>
      </c>
      <c r="O424" s="28" t="s">
        <v>1831</v>
      </c>
      <c r="P424" s="28" t="s">
        <v>1831</v>
      </c>
      <c r="Q424" s="28" t="s">
        <v>1832</v>
      </c>
      <c r="R424" s="28" t="s">
        <v>1833</v>
      </c>
      <c r="S424" s="28" t="s">
        <v>1833</v>
      </c>
      <c r="T424" s="28" t="s">
        <v>1833</v>
      </c>
      <c r="U424" s="28" t="s">
        <v>1833</v>
      </c>
      <c r="V424" s="28" t="s">
        <v>2995</v>
      </c>
    </row>
    <row r="425" spans="1:22" ht="34.5" customHeight="1" x14ac:dyDescent="0.25">
      <c r="A425" s="26">
        <v>38</v>
      </c>
      <c r="B425" s="27" t="s">
        <v>2965</v>
      </c>
      <c r="C425" s="28" t="s">
        <v>2966</v>
      </c>
      <c r="D425" s="28" t="s">
        <v>2967</v>
      </c>
      <c r="E425" s="28" t="s">
        <v>2996</v>
      </c>
      <c r="F425" s="28" t="s">
        <v>142</v>
      </c>
      <c r="G425" s="28" t="s">
        <v>2997</v>
      </c>
      <c r="H425" s="28" t="s">
        <v>2998</v>
      </c>
      <c r="I425" s="28" t="s">
        <v>2999</v>
      </c>
      <c r="J425" s="28" t="s">
        <v>116</v>
      </c>
      <c r="K425" s="28" t="s">
        <v>3000</v>
      </c>
      <c r="L425" s="28">
        <v>0.5</v>
      </c>
      <c r="M425" s="28">
        <v>0.25</v>
      </c>
      <c r="N425" s="25">
        <f t="shared" si="6"/>
        <v>0.25</v>
      </c>
      <c r="O425" s="28" t="s">
        <v>1831</v>
      </c>
      <c r="P425" s="28" t="s">
        <v>1831</v>
      </c>
      <c r="Q425" s="28" t="s">
        <v>1832</v>
      </c>
      <c r="R425" s="28" t="s">
        <v>1833</v>
      </c>
      <c r="S425" s="28" t="s">
        <v>1833</v>
      </c>
      <c r="T425" s="28" t="s">
        <v>1833</v>
      </c>
      <c r="U425" s="28" t="s">
        <v>1833</v>
      </c>
      <c r="V425" s="28" t="s">
        <v>3001</v>
      </c>
    </row>
    <row r="426" spans="1:22" ht="34.5" customHeight="1" x14ac:dyDescent="0.25">
      <c r="A426" s="26">
        <v>38</v>
      </c>
      <c r="B426" s="27" t="s">
        <v>2965</v>
      </c>
      <c r="C426" s="28" t="s">
        <v>2966</v>
      </c>
      <c r="D426" s="28" t="s">
        <v>2967</v>
      </c>
      <c r="E426" s="28" t="s">
        <v>3002</v>
      </c>
      <c r="F426" s="28" t="s">
        <v>150</v>
      </c>
      <c r="G426" s="28" t="s">
        <v>3003</v>
      </c>
      <c r="H426" s="28" t="s">
        <v>3004</v>
      </c>
      <c r="I426" s="28" t="s">
        <v>3005</v>
      </c>
      <c r="J426" s="28" t="s">
        <v>116</v>
      </c>
      <c r="K426" s="28" t="s">
        <v>3006</v>
      </c>
      <c r="L426" s="28">
        <v>0.5</v>
      </c>
      <c r="M426" s="28">
        <v>0.25</v>
      </c>
      <c r="N426" s="25">
        <f t="shared" si="6"/>
        <v>0.25</v>
      </c>
      <c r="O426" s="28" t="s">
        <v>1831</v>
      </c>
      <c r="P426" s="28" t="s">
        <v>1831</v>
      </c>
      <c r="Q426" s="28" t="s">
        <v>1832</v>
      </c>
      <c r="R426" s="28" t="s">
        <v>1833</v>
      </c>
      <c r="S426" s="28" t="s">
        <v>1833</v>
      </c>
      <c r="T426" s="28" t="s">
        <v>1833</v>
      </c>
      <c r="U426" s="28" t="s">
        <v>1833</v>
      </c>
      <c r="V426" s="28" t="s">
        <v>3007</v>
      </c>
    </row>
    <row r="427" spans="1:22" ht="34.5" customHeight="1" x14ac:dyDescent="0.25">
      <c r="A427" s="26">
        <v>38</v>
      </c>
      <c r="B427" s="27" t="s">
        <v>2965</v>
      </c>
      <c r="C427" s="28" t="s">
        <v>2966</v>
      </c>
      <c r="D427" s="28" t="s">
        <v>2967</v>
      </c>
      <c r="E427" s="28" t="s">
        <v>3008</v>
      </c>
      <c r="F427" s="28" t="s">
        <v>478</v>
      </c>
      <c r="G427" s="28" t="s">
        <v>3009</v>
      </c>
      <c r="H427" s="28" t="s">
        <v>3010</v>
      </c>
      <c r="I427" s="28" t="s">
        <v>3011</v>
      </c>
      <c r="J427" s="28" t="s">
        <v>116</v>
      </c>
      <c r="K427" s="28" t="s">
        <v>3012</v>
      </c>
      <c r="L427" s="28">
        <v>0.5</v>
      </c>
      <c r="M427" s="28">
        <v>0.25</v>
      </c>
      <c r="N427" s="25">
        <f t="shared" si="6"/>
        <v>0.25</v>
      </c>
      <c r="O427" s="28" t="s">
        <v>1831</v>
      </c>
      <c r="P427" s="28" t="s">
        <v>1831</v>
      </c>
      <c r="Q427" s="28" t="s">
        <v>1832</v>
      </c>
      <c r="R427" s="28" t="s">
        <v>1833</v>
      </c>
      <c r="S427" s="28" t="s">
        <v>1833</v>
      </c>
      <c r="T427" s="28" t="s">
        <v>1833</v>
      </c>
      <c r="U427" s="28" t="s">
        <v>1833</v>
      </c>
      <c r="V427" s="28" t="s">
        <v>3013</v>
      </c>
    </row>
    <row r="428" spans="1:22" ht="34.5" customHeight="1" x14ac:dyDescent="0.25">
      <c r="A428" s="26">
        <v>38</v>
      </c>
      <c r="B428" s="27" t="s">
        <v>2965</v>
      </c>
      <c r="C428" s="28" t="s">
        <v>2966</v>
      </c>
      <c r="D428" s="28" t="s">
        <v>2967</v>
      </c>
      <c r="E428" s="28" t="s">
        <v>2843</v>
      </c>
      <c r="F428" s="28" t="s">
        <v>487</v>
      </c>
      <c r="G428" s="28" t="s">
        <v>3014</v>
      </c>
      <c r="H428" s="28" t="s">
        <v>3015</v>
      </c>
      <c r="I428" s="28" t="s">
        <v>3016</v>
      </c>
      <c r="J428" s="28" t="s">
        <v>116</v>
      </c>
      <c r="K428" s="28" t="s">
        <v>26</v>
      </c>
      <c r="L428" s="28">
        <v>0.5</v>
      </c>
      <c r="M428" s="28">
        <v>0.25</v>
      </c>
      <c r="N428" s="25">
        <f t="shared" si="6"/>
        <v>0.25</v>
      </c>
      <c r="O428" s="28" t="s">
        <v>1831</v>
      </c>
      <c r="P428" s="28" t="s">
        <v>1831</v>
      </c>
      <c r="Q428" s="28" t="s">
        <v>1832</v>
      </c>
      <c r="R428" s="28" t="s">
        <v>1833</v>
      </c>
      <c r="S428" s="28" t="s">
        <v>1833</v>
      </c>
      <c r="T428" s="28" t="s">
        <v>1833</v>
      </c>
      <c r="U428" s="28" t="s">
        <v>1833</v>
      </c>
      <c r="V428" s="28" t="s">
        <v>3017</v>
      </c>
    </row>
    <row r="429" spans="1:22" ht="34.5" customHeight="1" x14ac:dyDescent="0.25">
      <c r="A429" s="26">
        <v>38</v>
      </c>
      <c r="B429" s="27" t="s">
        <v>2965</v>
      </c>
      <c r="C429" s="28" t="s">
        <v>2966</v>
      </c>
      <c r="D429" s="28" t="s">
        <v>2967</v>
      </c>
      <c r="E429" s="28" t="s">
        <v>3018</v>
      </c>
      <c r="F429" s="28" t="s">
        <v>157</v>
      </c>
      <c r="G429" s="28" t="s">
        <v>3019</v>
      </c>
      <c r="H429" s="28" t="s">
        <v>3020</v>
      </c>
      <c r="I429" s="28" t="s">
        <v>3021</v>
      </c>
      <c r="J429" s="28" t="s">
        <v>161</v>
      </c>
      <c r="K429" s="28" t="s">
        <v>3022</v>
      </c>
      <c r="L429" s="28">
        <v>2</v>
      </c>
      <c r="M429" s="28">
        <v>0.75</v>
      </c>
      <c r="N429" s="25">
        <f t="shared" si="6"/>
        <v>1</v>
      </c>
      <c r="O429" s="28" t="s">
        <v>1906</v>
      </c>
      <c r="P429" s="28" t="s">
        <v>1907</v>
      </c>
      <c r="Q429" s="28" t="s">
        <v>1832</v>
      </c>
      <c r="R429" s="28" t="s">
        <v>1833</v>
      </c>
      <c r="S429" s="28" t="s">
        <v>1833</v>
      </c>
      <c r="T429" s="28" t="s">
        <v>1833</v>
      </c>
      <c r="U429" s="28" t="s">
        <v>1833</v>
      </c>
      <c r="V429" s="28" t="s">
        <v>3023</v>
      </c>
    </row>
    <row r="430" spans="1:22" ht="34.5" customHeight="1" x14ac:dyDescent="0.25">
      <c r="A430" s="26">
        <v>39</v>
      </c>
      <c r="B430" s="27" t="s">
        <v>3024</v>
      </c>
      <c r="C430" s="28" t="s">
        <v>3025</v>
      </c>
      <c r="D430" s="28" t="s">
        <v>3026</v>
      </c>
      <c r="E430" s="28" t="s">
        <v>2759</v>
      </c>
      <c r="F430" s="28" t="s">
        <v>26</v>
      </c>
      <c r="G430" s="28" t="s">
        <v>3027</v>
      </c>
      <c r="H430" s="28" t="s">
        <v>3028</v>
      </c>
      <c r="I430" s="28" t="s">
        <v>3029</v>
      </c>
      <c r="J430" s="28" t="s">
        <v>30</v>
      </c>
      <c r="K430" s="28" t="s">
        <v>1956</v>
      </c>
      <c r="L430" s="28">
        <v>3</v>
      </c>
      <c r="M430" s="28">
        <v>1</v>
      </c>
      <c r="N430" s="25">
        <f t="shared" si="6"/>
        <v>1.25</v>
      </c>
      <c r="O430" s="28" t="s">
        <v>1763</v>
      </c>
      <c r="P430" s="28" t="s">
        <v>1763</v>
      </c>
      <c r="Q430" s="28" t="s">
        <v>1813</v>
      </c>
      <c r="R430" s="28" t="s">
        <v>1026</v>
      </c>
      <c r="S430" s="28" t="s">
        <v>3030</v>
      </c>
      <c r="T430" s="28" t="s">
        <v>3031</v>
      </c>
      <c r="U430" s="28" t="s">
        <v>3032</v>
      </c>
      <c r="V430" s="28" t="s">
        <v>3033</v>
      </c>
    </row>
    <row r="431" spans="1:22" ht="34.5" customHeight="1" x14ac:dyDescent="0.25">
      <c r="A431" s="26">
        <v>39</v>
      </c>
      <c r="B431" s="27" t="s">
        <v>3024</v>
      </c>
      <c r="C431" s="28" t="s">
        <v>3025</v>
      </c>
      <c r="D431" s="28" t="s">
        <v>3026</v>
      </c>
      <c r="E431" s="28" t="s">
        <v>3034</v>
      </c>
      <c r="F431" s="28" t="s">
        <v>38</v>
      </c>
      <c r="G431" s="28" t="s">
        <v>3035</v>
      </c>
      <c r="H431" s="28" t="s">
        <v>3036</v>
      </c>
      <c r="I431" s="28" t="s">
        <v>3037</v>
      </c>
      <c r="J431" s="28" t="s">
        <v>30</v>
      </c>
      <c r="K431" s="28" t="s">
        <v>26</v>
      </c>
      <c r="L431" s="28">
        <v>3</v>
      </c>
      <c r="M431" s="28">
        <v>1</v>
      </c>
      <c r="N431" s="25">
        <f t="shared" si="6"/>
        <v>1.25</v>
      </c>
      <c r="O431" s="28" t="s">
        <v>3038</v>
      </c>
      <c r="P431" s="28" t="s">
        <v>1802</v>
      </c>
      <c r="Q431" s="28" t="s">
        <v>1832</v>
      </c>
      <c r="R431" s="28" t="s">
        <v>1833</v>
      </c>
      <c r="S431" s="28" t="s">
        <v>1833</v>
      </c>
      <c r="T431" s="28" t="s">
        <v>1833</v>
      </c>
      <c r="U431" s="28" t="s">
        <v>3039</v>
      </c>
      <c r="V431" s="28" t="s">
        <v>3040</v>
      </c>
    </row>
    <row r="432" spans="1:22" ht="34.5" customHeight="1" x14ac:dyDescent="0.25">
      <c r="A432" s="26">
        <v>39</v>
      </c>
      <c r="B432" s="27" t="s">
        <v>3024</v>
      </c>
      <c r="C432" s="28" t="s">
        <v>3025</v>
      </c>
      <c r="D432" s="28" t="s">
        <v>3026</v>
      </c>
      <c r="E432" s="28" t="s">
        <v>3041</v>
      </c>
      <c r="F432" s="28" t="s">
        <v>46</v>
      </c>
      <c r="G432" s="28" t="s">
        <v>3042</v>
      </c>
      <c r="H432" s="28" t="s">
        <v>3043</v>
      </c>
      <c r="I432" s="28" t="s">
        <v>3044</v>
      </c>
      <c r="J432" s="28" t="s">
        <v>30</v>
      </c>
      <c r="K432" s="28" t="s">
        <v>26</v>
      </c>
      <c r="L432" s="28">
        <v>4</v>
      </c>
      <c r="M432" s="28">
        <v>1.5</v>
      </c>
      <c r="N432" s="25">
        <f t="shared" si="6"/>
        <v>1.75</v>
      </c>
      <c r="O432" s="28" t="s">
        <v>3045</v>
      </c>
      <c r="P432" s="28" t="s">
        <v>1802</v>
      </c>
      <c r="Q432" s="28" t="s">
        <v>1832</v>
      </c>
      <c r="R432" s="28" t="s">
        <v>1833</v>
      </c>
      <c r="S432" s="28" t="s">
        <v>1833</v>
      </c>
      <c r="T432" s="28" t="s">
        <v>1833</v>
      </c>
      <c r="U432" s="28" t="s">
        <v>3046</v>
      </c>
      <c r="V432" s="28" t="s">
        <v>3047</v>
      </c>
    </row>
    <row r="433" spans="1:22" ht="34.5" customHeight="1" x14ac:dyDescent="0.25">
      <c r="A433" s="26">
        <v>39</v>
      </c>
      <c r="B433" s="27" t="s">
        <v>3024</v>
      </c>
      <c r="C433" s="28" t="s">
        <v>3025</v>
      </c>
      <c r="D433" s="28" t="s">
        <v>3026</v>
      </c>
      <c r="E433" s="28" t="s">
        <v>2870</v>
      </c>
      <c r="F433" s="28" t="s">
        <v>112</v>
      </c>
      <c r="G433" s="28" t="s">
        <v>3048</v>
      </c>
      <c r="H433" s="28" t="s">
        <v>3049</v>
      </c>
      <c r="I433" s="28" t="s">
        <v>3050</v>
      </c>
      <c r="J433" s="28" t="s">
        <v>116</v>
      </c>
      <c r="K433" s="28" t="s">
        <v>26</v>
      </c>
      <c r="L433" s="28">
        <v>1</v>
      </c>
      <c r="M433" s="28">
        <v>0.5</v>
      </c>
      <c r="N433" s="25">
        <f t="shared" si="6"/>
        <v>0.5</v>
      </c>
      <c r="O433" s="28" t="s">
        <v>1831</v>
      </c>
      <c r="P433" s="28" t="s">
        <v>1831</v>
      </c>
      <c r="Q433" s="28" t="s">
        <v>1832</v>
      </c>
      <c r="R433" s="28" t="s">
        <v>1833</v>
      </c>
      <c r="S433" s="28" t="s">
        <v>1833</v>
      </c>
      <c r="T433" s="28" t="s">
        <v>1833</v>
      </c>
      <c r="U433" s="28" t="s">
        <v>1833</v>
      </c>
      <c r="V433" s="28" t="s">
        <v>3051</v>
      </c>
    </row>
    <row r="434" spans="1:22" ht="34.5" customHeight="1" x14ac:dyDescent="0.25">
      <c r="A434" s="26">
        <v>39</v>
      </c>
      <c r="B434" s="27" t="s">
        <v>3024</v>
      </c>
      <c r="C434" s="28" t="s">
        <v>3025</v>
      </c>
      <c r="D434" s="28" t="s">
        <v>3026</v>
      </c>
      <c r="E434" s="28" t="s">
        <v>2178</v>
      </c>
      <c r="F434" s="28" t="s">
        <v>120</v>
      </c>
      <c r="G434" s="28" t="s">
        <v>3052</v>
      </c>
      <c r="H434" s="28" t="s">
        <v>3053</v>
      </c>
      <c r="I434" s="28" t="s">
        <v>3054</v>
      </c>
      <c r="J434" s="28" t="s">
        <v>116</v>
      </c>
      <c r="K434" s="28" t="s">
        <v>26</v>
      </c>
      <c r="L434" s="28">
        <v>1</v>
      </c>
      <c r="M434" s="28">
        <v>0.5</v>
      </c>
      <c r="N434" s="25">
        <f t="shared" si="6"/>
        <v>0.5</v>
      </c>
      <c r="O434" s="28" t="s">
        <v>1831</v>
      </c>
      <c r="P434" s="28" t="s">
        <v>1831</v>
      </c>
      <c r="Q434" s="28" t="s">
        <v>1832</v>
      </c>
      <c r="R434" s="28" t="s">
        <v>1833</v>
      </c>
      <c r="S434" s="28" t="s">
        <v>1833</v>
      </c>
      <c r="T434" s="28" t="s">
        <v>1833</v>
      </c>
      <c r="U434" s="28" t="s">
        <v>1833</v>
      </c>
      <c r="V434" s="28" t="s">
        <v>3055</v>
      </c>
    </row>
    <row r="435" spans="1:22" ht="34.5" customHeight="1" x14ac:dyDescent="0.25">
      <c r="A435" s="26">
        <v>39</v>
      </c>
      <c r="B435" s="27" t="s">
        <v>3024</v>
      </c>
      <c r="C435" s="28" t="s">
        <v>3025</v>
      </c>
      <c r="D435" s="28" t="s">
        <v>3026</v>
      </c>
      <c r="E435" s="28" t="s">
        <v>3056</v>
      </c>
      <c r="F435" s="28" t="s">
        <v>127</v>
      </c>
      <c r="G435" s="28" t="s">
        <v>3057</v>
      </c>
      <c r="H435" s="28" t="s">
        <v>3058</v>
      </c>
      <c r="I435" s="28" t="s">
        <v>3059</v>
      </c>
      <c r="J435" s="28" t="s">
        <v>116</v>
      </c>
      <c r="K435" s="28" t="s">
        <v>26</v>
      </c>
      <c r="L435" s="28">
        <v>0.5</v>
      </c>
      <c r="M435" s="28">
        <v>0.25</v>
      </c>
      <c r="N435" s="25">
        <f t="shared" si="6"/>
        <v>0.25</v>
      </c>
      <c r="O435" s="28" t="s">
        <v>1831</v>
      </c>
      <c r="P435" s="28" t="s">
        <v>1831</v>
      </c>
      <c r="Q435" s="28" t="s">
        <v>1832</v>
      </c>
      <c r="R435" s="28" t="s">
        <v>1833</v>
      </c>
      <c r="S435" s="28" t="s">
        <v>1833</v>
      </c>
      <c r="T435" s="28" t="s">
        <v>1833</v>
      </c>
      <c r="U435" s="28" t="s">
        <v>1833</v>
      </c>
      <c r="V435" s="28" t="s">
        <v>3060</v>
      </c>
    </row>
    <row r="436" spans="1:22" ht="34.5" customHeight="1" x14ac:dyDescent="0.25">
      <c r="A436" s="26">
        <v>39</v>
      </c>
      <c r="B436" s="27" t="s">
        <v>3024</v>
      </c>
      <c r="C436" s="28" t="s">
        <v>3025</v>
      </c>
      <c r="D436" s="28" t="s">
        <v>3026</v>
      </c>
      <c r="E436" s="28" t="s">
        <v>3061</v>
      </c>
      <c r="F436" s="28" t="s">
        <v>134</v>
      </c>
      <c r="G436" s="28" t="s">
        <v>3062</v>
      </c>
      <c r="H436" s="28" t="s">
        <v>3063</v>
      </c>
      <c r="I436" s="28" t="s">
        <v>3064</v>
      </c>
      <c r="J436" s="28" t="s">
        <v>116</v>
      </c>
      <c r="K436" s="28" t="s">
        <v>26</v>
      </c>
      <c r="L436" s="28">
        <v>0.5</v>
      </c>
      <c r="M436" s="28">
        <v>0.25</v>
      </c>
      <c r="N436" s="25">
        <f t="shared" si="6"/>
        <v>0.25</v>
      </c>
      <c r="O436" s="28" t="s">
        <v>1831</v>
      </c>
      <c r="P436" s="28" t="s">
        <v>1831</v>
      </c>
      <c r="Q436" s="28" t="s">
        <v>1832</v>
      </c>
      <c r="R436" s="28" t="s">
        <v>1833</v>
      </c>
      <c r="S436" s="28" t="s">
        <v>1833</v>
      </c>
      <c r="T436" s="28" t="s">
        <v>1833</v>
      </c>
      <c r="U436" s="28" t="s">
        <v>1833</v>
      </c>
      <c r="V436" s="28" t="s">
        <v>3065</v>
      </c>
    </row>
    <row r="437" spans="1:22" ht="34.5" customHeight="1" x14ac:dyDescent="0.25">
      <c r="A437" s="26">
        <v>39</v>
      </c>
      <c r="B437" s="27" t="s">
        <v>3024</v>
      </c>
      <c r="C437" s="28" t="s">
        <v>3025</v>
      </c>
      <c r="D437" s="28" t="s">
        <v>3026</v>
      </c>
      <c r="E437" s="28" t="s">
        <v>3034</v>
      </c>
      <c r="F437" s="28" t="s">
        <v>142</v>
      </c>
      <c r="G437" s="28" t="s">
        <v>3066</v>
      </c>
      <c r="H437" s="28" t="s">
        <v>3067</v>
      </c>
      <c r="I437" s="28" t="s">
        <v>3068</v>
      </c>
      <c r="J437" s="28" t="s">
        <v>116</v>
      </c>
      <c r="K437" s="28" t="s">
        <v>38</v>
      </c>
      <c r="L437" s="28">
        <v>1</v>
      </c>
      <c r="M437" s="28">
        <v>0.5</v>
      </c>
      <c r="N437" s="25">
        <f t="shared" si="6"/>
        <v>0.5</v>
      </c>
      <c r="O437" s="28" t="s">
        <v>1831</v>
      </c>
      <c r="P437" s="28" t="s">
        <v>1831</v>
      </c>
      <c r="Q437" s="28" t="s">
        <v>1832</v>
      </c>
      <c r="R437" s="28" t="s">
        <v>1833</v>
      </c>
      <c r="S437" s="28" t="s">
        <v>1833</v>
      </c>
      <c r="T437" s="28" t="s">
        <v>1833</v>
      </c>
      <c r="U437" s="28" t="s">
        <v>1833</v>
      </c>
      <c r="V437" s="28" t="s">
        <v>3069</v>
      </c>
    </row>
    <row r="438" spans="1:22" ht="34.5" customHeight="1" x14ac:dyDescent="0.25">
      <c r="A438" s="26">
        <v>39</v>
      </c>
      <c r="B438" s="27" t="s">
        <v>3024</v>
      </c>
      <c r="C438" s="28" t="s">
        <v>3025</v>
      </c>
      <c r="D438" s="28" t="s">
        <v>3026</v>
      </c>
      <c r="E438" s="28" t="s">
        <v>3041</v>
      </c>
      <c r="F438" s="28" t="s">
        <v>150</v>
      </c>
      <c r="G438" s="28" t="s">
        <v>3070</v>
      </c>
      <c r="H438" s="28" t="s">
        <v>3071</v>
      </c>
      <c r="I438" s="28" t="s">
        <v>3072</v>
      </c>
      <c r="J438" s="28" t="s">
        <v>116</v>
      </c>
      <c r="K438" s="28" t="s">
        <v>46</v>
      </c>
      <c r="L438" s="28">
        <v>1</v>
      </c>
      <c r="M438" s="28">
        <v>0.5</v>
      </c>
      <c r="N438" s="25">
        <f t="shared" si="6"/>
        <v>0.5</v>
      </c>
      <c r="O438" s="28" t="s">
        <v>1831</v>
      </c>
      <c r="P438" s="28" t="s">
        <v>1831</v>
      </c>
      <c r="Q438" s="28" t="s">
        <v>1832</v>
      </c>
      <c r="R438" s="28" t="s">
        <v>1833</v>
      </c>
      <c r="S438" s="28" t="s">
        <v>1833</v>
      </c>
      <c r="T438" s="28" t="s">
        <v>1833</v>
      </c>
      <c r="U438" s="28" t="s">
        <v>1833</v>
      </c>
      <c r="V438" s="28" t="s">
        <v>3073</v>
      </c>
    </row>
    <row r="439" spans="1:22" ht="34.5" customHeight="1" x14ac:dyDescent="0.25">
      <c r="A439" s="26">
        <v>39</v>
      </c>
      <c r="B439" s="27" t="s">
        <v>3024</v>
      </c>
      <c r="C439" s="28" t="s">
        <v>3025</v>
      </c>
      <c r="D439" s="28" t="s">
        <v>3026</v>
      </c>
      <c r="E439" s="28" t="s">
        <v>2843</v>
      </c>
      <c r="F439" s="28" t="s">
        <v>478</v>
      </c>
      <c r="G439" s="28" t="s">
        <v>3074</v>
      </c>
      <c r="H439" s="28" t="s">
        <v>3075</v>
      </c>
      <c r="I439" s="28" t="s">
        <v>3076</v>
      </c>
      <c r="J439" s="28" t="s">
        <v>116</v>
      </c>
      <c r="K439" s="28" t="s">
        <v>26</v>
      </c>
      <c r="L439" s="28">
        <v>0.5</v>
      </c>
      <c r="M439" s="28">
        <v>0.25</v>
      </c>
      <c r="N439" s="25">
        <f t="shared" si="6"/>
        <v>0.25</v>
      </c>
      <c r="O439" s="28" t="s">
        <v>1831</v>
      </c>
      <c r="P439" s="28" t="s">
        <v>1831</v>
      </c>
      <c r="Q439" s="28" t="s">
        <v>1832</v>
      </c>
      <c r="R439" s="28" t="s">
        <v>1833</v>
      </c>
      <c r="S439" s="28" t="s">
        <v>1833</v>
      </c>
      <c r="T439" s="28" t="s">
        <v>1833</v>
      </c>
      <c r="U439" s="28" t="s">
        <v>1833</v>
      </c>
      <c r="V439" s="28" t="s">
        <v>3077</v>
      </c>
    </row>
    <row r="440" spans="1:22" ht="34.5" customHeight="1" x14ac:dyDescent="0.25">
      <c r="A440" s="26">
        <v>39</v>
      </c>
      <c r="B440" s="27" t="s">
        <v>3024</v>
      </c>
      <c r="C440" s="28" t="s">
        <v>3025</v>
      </c>
      <c r="D440" s="28" t="s">
        <v>3026</v>
      </c>
      <c r="E440" s="28" t="s">
        <v>3078</v>
      </c>
      <c r="F440" s="28" t="s">
        <v>157</v>
      </c>
      <c r="G440" s="28" t="s">
        <v>3079</v>
      </c>
      <c r="H440" s="28" t="s">
        <v>3080</v>
      </c>
      <c r="I440" s="28" t="s">
        <v>3081</v>
      </c>
      <c r="J440" s="28" t="s">
        <v>161</v>
      </c>
      <c r="K440" s="28" t="s">
        <v>1905</v>
      </c>
      <c r="L440" s="28">
        <v>3</v>
      </c>
      <c r="M440" s="28">
        <v>1</v>
      </c>
      <c r="N440" s="25">
        <f t="shared" si="6"/>
        <v>1.25</v>
      </c>
      <c r="O440" s="28" t="s">
        <v>1906</v>
      </c>
      <c r="P440" s="28" t="s">
        <v>1907</v>
      </c>
      <c r="Q440" s="28" t="s">
        <v>1832</v>
      </c>
      <c r="R440" s="28" t="s">
        <v>1833</v>
      </c>
      <c r="S440" s="28" t="s">
        <v>1833</v>
      </c>
      <c r="T440" s="28" t="s">
        <v>1833</v>
      </c>
      <c r="U440" s="28" t="s">
        <v>1833</v>
      </c>
      <c r="V440" s="28" t="s">
        <v>3082</v>
      </c>
    </row>
    <row r="441" spans="1:22" ht="34.5" customHeight="1" x14ac:dyDescent="0.25">
      <c r="A441" s="26">
        <v>40</v>
      </c>
      <c r="B441" s="27" t="s">
        <v>3083</v>
      </c>
      <c r="C441" s="28" t="s">
        <v>3084</v>
      </c>
      <c r="D441" s="28" t="s">
        <v>3085</v>
      </c>
      <c r="E441" s="28" t="s">
        <v>3086</v>
      </c>
      <c r="F441" s="28" t="s">
        <v>26</v>
      </c>
      <c r="G441" s="28" t="s">
        <v>3087</v>
      </c>
      <c r="H441" s="28" t="s">
        <v>3088</v>
      </c>
      <c r="I441" s="28" t="s">
        <v>3089</v>
      </c>
      <c r="J441" s="28" t="s">
        <v>30</v>
      </c>
      <c r="K441" s="28" t="s">
        <v>1956</v>
      </c>
      <c r="L441" s="28">
        <v>4</v>
      </c>
      <c r="M441" s="28">
        <v>1.5</v>
      </c>
      <c r="N441" s="25">
        <f t="shared" si="6"/>
        <v>1.75</v>
      </c>
      <c r="O441" s="28" t="s">
        <v>1763</v>
      </c>
      <c r="P441" s="28" t="s">
        <v>1763</v>
      </c>
      <c r="Q441" s="28" t="s">
        <v>1813</v>
      </c>
      <c r="R441" s="28" t="s">
        <v>1026</v>
      </c>
      <c r="S441" s="28" t="s">
        <v>3090</v>
      </c>
      <c r="T441" s="28" t="s">
        <v>3091</v>
      </c>
      <c r="U441" s="28" t="s">
        <v>3092</v>
      </c>
      <c r="V441" s="28" t="s">
        <v>3093</v>
      </c>
    </row>
    <row r="442" spans="1:22" ht="34.5" customHeight="1" x14ac:dyDescent="0.25">
      <c r="A442" s="26">
        <v>40</v>
      </c>
      <c r="B442" s="27" t="s">
        <v>3083</v>
      </c>
      <c r="C442" s="28" t="s">
        <v>3084</v>
      </c>
      <c r="D442" s="28" t="s">
        <v>3085</v>
      </c>
      <c r="E442" s="28" t="s">
        <v>3094</v>
      </c>
      <c r="F442" s="28" t="s">
        <v>38</v>
      </c>
      <c r="G442" s="28" t="s">
        <v>3095</v>
      </c>
      <c r="H442" s="28" t="s">
        <v>3096</v>
      </c>
      <c r="I442" s="28" t="s">
        <v>3097</v>
      </c>
      <c r="J442" s="28" t="s">
        <v>30</v>
      </c>
      <c r="K442" s="28" t="s">
        <v>26</v>
      </c>
      <c r="L442" s="28">
        <v>3</v>
      </c>
      <c r="M442" s="28">
        <v>1</v>
      </c>
      <c r="N442" s="25">
        <f t="shared" si="6"/>
        <v>1.25</v>
      </c>
      <c r="O442" s="28" t="s">
        <v>1763</v>
      </c>
      <c r="P442" s="28" t="s">
        <v>1763</v>
      </c>
      <c r="Q442" s="28" t="s">
        <v>1813</v>
      </c>
      <c r="R442" s="28" t="s">
        <v>1026</v>
      </c>
      <c r="S442" s="28" t="s">
        <v>3090</v>
      </c>
      <c r="T442" s="28" t="s">
        <v>3098</v>
      </c>
      <c r="U442" s="28" t="s">
        <v>3099</v>
      </c>
      <c r="V442" s="28" t="s">
        <v>3100</v>
      </c>
    </row>
    <row r="443" spans="1:22" ht="34.5" customHeight="1" x14ac:dyDescent="0.25">
      <c r="A443" s="26">
        <v>40</v>
      </c>
      <c r="B443" s="27" t="s">
        <v>3083</v>
      </c>
      <c r="C443" s="28" t="s">
        <v>3084</v>
      </c>
      <c r="D443" s="28" t="s">
        <v>3085</v>
      </c>
      <c r="E443" s="28" t="s">
        <v>3101</v>
      </c>
      <c r="F443" s="28" t="s">
        <v>46</v>
      </c>
      <c r="G443" s="28" t="s">
        <v>3102</v>
      </c>
      <c r="H443" s="28" t="s">
        <v>3103</v>
      </c>
      <c r="I443" s="28" t="s">
        <v>3104</v>
      </c>
      <c r="J443" s="28" t="s">
        <v>30</v>
      </c>
      <c r="K443" s="28" t="s">
        <v>26</v>
      </c>
      <c r="L443" s="28">
        <v>5</v>
      </c>
      <c r="M443" s="28">
        <v>2</v>
      </c>
      <c r="N443" s="25">
        <f t="shared" si="6"/>
        <v>2.5</v>
      </c>
      <c r="O443" s="28" t="s">
        <v>3105</v>
      </c>
      <c r="P443" s="28" t="s">
        <v>3105</v>
      </c>
      <c r="Q443" s="28" t="s">
        <v>419</v>
      </c>
      <c r="R443" s="28" t="s">
        <v>1026</v>
      </c>
      <c r="S443" s="28" t="s">
        <v>3090</v>
      </c>
      <c r="T443" s="28" t="s">
        <v>3106</v>
      </c>
      <c r="U443" s="28" t="s">
        <v>3107</v>
      </c>
      <c r="V443" s="28" t="s">
        <v>3108</v>
      </c>
    </row>
    <row r="444" spans="1:22" ht="34.5" customHeight="1" x14ac:dyDescent="0.25">
      <c r="A444" s="26">
        <v>40</v>
      </c>
      <c r="B444" s="27" t="s">
        <v>3083</v>
      </c>
      <c r="C444" s="28" t="s">
        <v>3084</v>
      </c>
      <c r="D444" s="28" t="s">
        <v>3085</v>
      </c>
      <c r="E444" s="28" t="s">
        <v>2870</v>
      </c>
      <c r="F444" s="28" t="s">
        <v>112</v>
      </c>
      <c r="G444" s="28" t="s">
        <v>3109</v>
      </c>
      <c r="H444" s="28" t="s">
        <v>3110</v>
      </c>
      <c r="I444" s="28" t="s">
        <v>3111</v>
      </c>
      <c r="J444" s="28" t="s">
        <v>116</v>
      </c>
      <c r="K444" s="28" t="s">
        <v>26</v>
      </c>
      <c r="L444" s="28">
        <v>1.5</v>
      </c>
      <c r="M444" s="28">
        <v>0.5</v>
      </c>
      <c r="N444" s="25">
        <f t="shared" si="6"/>
        <v>0.5</v>
      </c>
      <c r="O444" s="28" t="s">
        <v>1831</v>
      </c>
      <c r="P444" s="28" t="s">
        <v>1831</v>
      </c>
      <c r="Q444" s="28" t="s">
        <v>1832</v>
      </c>
      <c r="R444" s="28" t="s">
        <v>1833</v>
      </c>
      <c r="S444" s="28" t="s">
        <v>1833</v>
      </c>
      <c r="T444" s="28" t="s">
        <v>1833</v>
      </c>
      <c r="U444" s="28" t="s">
        <v>1833</v>
      </c>
      <c r="V444" s="28" t="s">
        <v>3112</v>
      </c>
    </row>
    <row r="445" spans="1:22" ht="34.5" customHeight="1" x14ac:dyDescent="0.25">
      <c r="A445" s="26">
        <v>40</v>
      </c>
      <c r="B445" s="27" t="s">
        <v>3083</v>
      </c>
      <c r="C445" s="28" t="s">
        <v>3084</v>
      </c>
      <c r="D445" s="28" t="s">
        <v>3085</v>
      </c>
      <c r="E445" s="28" t="s">
        <v>3113</v>
      </c>
      <c r="F445" s="28" t="s">
        <v>120</v>
      </c>
      <c r="G445" s="28" t="s">
        <v>3114</v>
      </c>
      <c r="H445" s="28" t="s">
        <v>3115</v>
      </c>
      <c r="I445" s="28" t="s">
        <v>3116</v>
      </c>
      <c r="J445" s="28" t="s">
        <v>116</v>
      </c>
      <c r="K445" s="28" t="s">
        <v>26</v>
      </c>
      <c r="L445" s="28">
        <v>2</v>
      </c>
      <c r="M445" s="28">
        <v>0.75</v>
      </c>
      <c r="N445" s="25">
        <f t="shared" si="6"/>
        <v>1</v>
      </c>
      <c r="O445" s="28" t="s">
        <v>1831</v>
      </c>
      <c r="P445" s="28" t="s">
        <v>1831</v>
      </c>
      <c r="Q445" s="28" t="s">
        <v>1832</v>
      </c>
      <c r="R445" s="28" t="s">
        <v>1833</v>
      </c>
      <c r="S445" s="28" t="s">
        <v>1833</v>
      </c>
      <c r="T445" s="28" t="s">
        <v>1833</v>
      </c>
      <c r="U445" s="28" t="s">
        <v>1833</v>
      </c>
      <c r="V445" s="28" t="s">
        <v>3117</v>
      </c>
    </row>
    <row r="446" spans="1:22" ht="34.5" customHeight="1" x14ac:dyDescent="0.25">
      <c r="A446" s="26">
        <v>40</v>
      </c>
      <c r="B446" s="27" t="s">
        <v>3083</v>
      </c>
      <c r="C446" s="28" t="s">
        <v>3084</v>
      </c>
      <c r="D446" s="28" t="s">
        <v>3085</v>
      </c>
      <c r="E446" s="28" t="s">
        <v>3118</v>
      </c>
      <c r="F446" s="28" t="s">
        <v>127</v>
      </c>
      <c r="G446" s="28" t="s">
        <v>3119</v>
      </c>
      <c r="H446" s="28" t="s">
        <v>3120</v>
      </c>
      <c r="I446" s="28" t="s">
        <v>3121</v>
      </c>
      <c r="J446" s="28" t="s">
        <v>116</v>
      </c>
      <c r="K446" s="28" t="s">
        <v>38</v>
      </c>
      <c r="L446" s="28">
        <v>2</v>
      </c>
      <c r="M446" s="28">
        <v>0.75</v>
      </c>
      <c r="N446" s="25">
        <f t="shared" si="6"/>
        <v>1</v>
      </c>
      <c r="O446" s="28" t="s">
        <v>1831</v>
      </c>
      <c r="P446" s="28" t="s">
        <v>1831</v>
      </c>
      <c r="Q446" s="28" t="s">
        <v>1832</v>
      </c>
      <c r="R446" s="28" t="s">
        <v>1833</v>
      </c>
      <c r="S446" s="28" t="s">
        <v>1833</v>
      </c>
      <c r="T446" s="28" t="s">
        <v>1833</v>
      </c>
      <c r="U446" s="28" t="s">
        <v>1833</v>
      </c>
      <c r="V446" s="28" t="s">
        <v>3122</v>
      </c>
    </row>
    <row r="447" spans="1:22" ht="34.5" customHeight="1" x14ac:dyDescent="0.25">
      <c r="A447" s="26">
        <v>40</v>
      </c>
      <c r="B447" s="27" t="s">
        <v>3083</v>
      </c>
      <c r="C447" s="28" t="s">
        <v>3084</v>
      </c>
      <c r="D447" s="28" t="s">
        <v>3085</v>
      </c>
      <c r="E447" s="28" t="s">
        <v>3123</v>
      </c>
      <c r="F447" s="28" t="s">
        <v>134</v>
      </c>
      <c r="G447" s="28" t="s">
        <v>3124</v>
      </c>
      <c r="H447" s="28" t="s">
        <v>3125</v>
      </c>
      <c r="I447" s="28" t="s">
        <v>3126</v>
      </c>
      <c r="J447" s="28" t="s">
        <v>116</v>
      </c>
      <c r="K447" s="28" t="s">
        <v>38</v>
      </c>
      <c r="L447" s="28">
        <v>0.75</v>
      </c>
      <c r="M447" s="28">
        <v>0.25</v>
      </c>
      <c r="N447" s="25">
        <f t="shared" si="6"/>
        <v>0.25</v>
      </c>
      <c r="O447" s="28" t="s">
        <v>1831</v>
      </c>
      <c r="P447" s="28" t="s">
        <v>1831</v>
      </c>
      <c r="Q447" s="28" t="s">
        <v>1832</v>
      </c>
      <c r="R447" s="28" t="s">
        <v>1833</v>
      </c>
      <c r="S447" s="28" t="s">
        <v>1833</v>
      </c>
      <c r="T447" s="28" t="s">
        <v>1833</v>
      </c>
      <c r="U447" s="28" t="s">
        <v>1833</v>
      </c>
      <c r="V447" s="28" t="s">
        <v>3127</v>
      </c>
    </row>
    <row r="448" spans="1:22" ht="34.5" customHeight="1" x14ac:dyDescent="0.25">
      <c r="A448" s="26">
        <v>40</v>
      </c>
      <c r="B448" s="27" t="s">
        <v>3083</v>
      </c>
      <c r="C448" s="28" t="s">
        <v>3084</v>
      </c>
      <c r="D448" s="28" t="s">
        <v>3085</v>
      </c>
      <c r="E448" s="28" t="s">
        <v>3128</v>
      </c>
      <c r="F448" s="28" t="s">
        <v>142</v>
      </c>
      <c r="G448" s="28" t="s">
        <v>3129</v>
      </c>
      <c r="H448" s="28" t="s">
        <v>3130</v>
      </c>
      <c r="I448" s="28" t="s">
        <v>3131</v>
      </c>
      <c r="J448" s="28" t="s">
        <v>116</v>
      </c>
      <c r="K448" s="28" t="s">
        <v>46</v>
      </c>
      <c r="L448" s="28">
        <v>0.5</v>
      </c>
      <c r="M448" s="28">
        <v>0.25</v>
      </c>
      <c r="N448" s="25">
        <f t="shared" si="6"/>
        <v>0.25</v>
      </c>
      <c r="O448" s="28" t="s">
        <v>1831</v>
      </c>
      <c r="P448" s="28" t="s">
        <v>1831</v>
      </c>
      <c r="Q448" s="28" t="s">
        <v>1832</v>
      </c>
      <c r="R448" s="28" t="s">
        <v>1833</v>
      </c>
      <c r="S448" s="28" t="s">
        <v>1833</v>
      </c>
      <c r="T448" s="28" t="s">
        <v>1833</v>
      </c>
      <c r="U448" s="28" t="s">
        <v>1833</v>
      </c>
      <c r="V448" s="28" t="s">
        <v>3132</v>
      </c>
    </row>
    <row r="449" spans="1:22" ht="34.5" customHeight="1" x14ac:dyDescent="0.25">
      <c r="A449" s="26">
        <v>40</v>
      </c>
      <c r="B449" s="27" t="s">
        <v>3083</v>
      </c>
      <c r="C449" s="28" t="s">
        <v>3084</v>
      </c>
      <c r="D449" s="28" t="s">
        <v>3085</v>
      </c>
      <c r="E449" s="28" t="s">
        <v>3133</v>
      </c>
      <c r="F449" s="28" t="s">
        <v>157</v>
      </c>
      <c r="G449" s="28" t="s">
        <v>3134</v>
      </c>
      <c r="H449" s="28" t="s">
        <v>3135</v>
      </c>
      <c r="I449" s="28" t="s">
        <v>3136</v>
      </c>
      <c r="J449" s="28" t="s">
        <v>161</v>
      </c>
      <c r="K449" s="28" t="s">
        <v>1905</v>
      </c>
      <c r="L449" s="28">
        <v>3</v>
      </c>
      <c r="M449" s="28">
        <v>1</v>
      </c>
      <c r="N449" s="25">
        <f t="shared" si="6"/>
        <v>1.25</v>
      </c>
      <c r="O449" s="28" t="s">
        <v>1906</v>
      </c>
      <c r="P449" s="28" t="s">
        <v>1907</v>
      </c>
      <c r="Q449" s="28" t="s">
        <v>1832</v>
      </c>
      <c r="R449" s="28" t="s">
        <v>1833</v>
      </c>
      <c r="S449" s="28" t="s">
        <v>1833</v>
      </c>
      <c r="T449" s="28" t="s">
        <v>1833</v>
      </c>
      <c r="U449" s="28" t="s">
        <v>1833</v>
      </c>
      <c r="V449" s="28" t="s">
        <v>3137</v>
      </c>
    </row>
    <row r="450" spans="1:22" ht="34.5" customHeight="1" x14ac:dyDescent="0.25">
      <c r="A450" s="26">
        <v>41</v>
      </c>
      <c r="B450" s="27" t="s">
        <v>3138</v>
      </c>
      <c r="C450" s="28" t="s">
        <v>3139</v>
      </c>
      <c r="D450" s="28" t="s">
        <v>3140</v>
      </c>
      <c r="E450" s="28" t="s">
        <v>2759</v>
      </c>
      <c r="F450" s="28" t="s">
        <v>26</v>
      </c>
      <c r="G450" s="28" t="s">
        <v>3141</v>
      </c>
      <c r="H450" s="28" t="s">
        <v>3142</v>
      </c>
      <c r="I450" s="28" t="s">
        <v>3143</v>
      </c>
      <c r="J450" s="28" t="s">
        <v>30</v>
      </c>
      <c r="K450" s="28" t="s">
        <v>1956</v>
      </c>
      <c r="L450" s="28">
        <v>3</v>
      </c>
      <c r="M450" s="28">
        <v>1</v>
      </c>
      <c r="N450" s="25">
        <f t="shared" ref="N450:N513" si="7">MAX(ROUND(M450*1.2/0.25,0)*0.25,0.25)</f>
        <v>1.25</v>
      </c>
      <c r="O450" s="28" t="s">
        <v>1763</v>
      </c>
      <c r="P450" s="28" t="s">
        <v>1763</v>
      </c>
      <c r="Q450" s="28" t="s">
        <v>1813</v>
      </c>
      <c r="R450" s="28" t="s">
        <v>1026</v>
      </c>
      <c r="S450" s="28" t="s">
        <v>3144</v>
      </c>
      <c r="T450" s="28" t="s">
        <v>3145</v>
      </c>
      <c r="U450" s="28" t="s">
        <v>3146</v>
      </c>
      <c r="V450" s="28" t="s">
        <v>3147</v>
      </c>
    </row>
    <row r="451" spans="1:22" ht="34.5" customHeight="1" x14ac:dyDescent="0.25">
      <c r="A451" s="26">
        <v>41</v>
      </c>
      <c r="B451" s="27" t="s">
        <v>3138</v>
      </c>
      <c r="C451" s="28" t="s">
        <v>3139</v>
      </c>
      <c r="D451" s="28" t="s">
        <v>3140</v>
      </c>
      <c r="E451" s="28" t="s">
        <v>3148</v>
      </c>
      <c r="F451" s="28" t="s">
        <v>38</v>
      </c>
      <c r="G451" s="28" t="s">
        <v>3149</v>
      </c>
      <c r="H451" s="28" t="s">
        <v>3150</v>
      </c>
      <c r="I451" s="28" t="s">
        <v>3151</v>
      </c>
      <c r="J451" s="28" t="s">
        <v>30</v>
      </c>
      <c r="K451" s="28" t="s">
        <v>3152</v>
      </c>
      <c r="L451" s="28">
        <v>4</v>
      </c>
      <c r="M451" s="28">
        <v>1.5</v>
      </c>
      <c r="N451" s="25">
        <f t="shared" si="7"/>
        <v>1.75</v>
      </c>
      <c r="O451" s="28" t="s">
        <v>3153</v>
      </c>
      <c r="P451" s="28" t="s">
        <v>1802</v>
      </c>
      <c r="Q451" s="28" t="s">
        <v>419</v>
      </c>
      <c r="R451" s="28" t="s">
        <v>1026</v>
      </c>
      <c r="S451" s="28" t="s">
        <v>3154</v>
      </c>
      <c r="T451" s="28" t="s">
        <v>3155</v>
      </c>
      <c r="U451" s="28" t="s">
        <v>3156</v>
      </c>
      <c r="V451" s="28" t="s">
        <v>3157</v>
      </c>
    </row>
    <row r="452" spans="1:22" ht="34.5" customHeight="1" x14ac:dyDescent="0.25">
      <c r="A452" s="26">
        <v>41</v>
      </c>
      <c r="B452" s="27" t="s">
        <v>3138</v>
      </c>
      <c r="C452" s="28" t="s">
        <v>3139</v>
      </c>
      <c r="D452" s="28" t="s">
        <v>3140</v>
      </c>
      <c r="E452" s="28" t="s">
        <v>3158</v>
      </c>
      <c r="F452" s="28" t="s">
        <v>46</v>
      </c>
      <c r="G452" s="28" t="s">
        <v>3159</v>
      </c>
      <c r="H452" s="28" t="s">
        <v>3160</v>
      </c>
      <c r="I452" s="28" t="s">
        <v>3161</v>
      </c>
      <c r="J452" s="28" t="s">
        <v>30</v>
      </c>
      <c r="K452" s="28" t="s">
        <v>26</v>
      </c>
      <c r="L452" s="28">
        <v>2</v>
      </c>
      <c r="M452" s="28">
        <v>0.75</v>
      </c>
      <c r="N452" s="25">
        <f t="shared" si="7"/>
        <v>1</v>
      </c>
      <c r="O452" s="28" t="s">
        <v>3162</v>
      </c>
      <c r="P452" s="28" t="s">
        <v>1802</v>
      </c>
      <c r="Q452" s="28" t="s">
        <v>1832</v>
      </c>
      <c r="R452" s="28" t="s">
        <v>1833</v>
      </c>
      <c r="S452" s="28" t="s">
        <v>1833</v>
      </c>
      <c r="T452" s="28" t="s">
        <v>1833</v>
      </c>
      <c r="U452" s="28" t="s">
        <v>3163</v>
      </c>
      <c r="V452" s="28" t="s">
        <v>3164</v>
      </c>
    </row>
    <row r="453" spans="1:22" ht="34.5" customHeight="1" x14ac:dyDescent="0.25">
      <c r="A453" s="26">
        <v>41</v>
      </c>
      <c r="B453" s="27" t="s">
        <v>3138</v>
      </c>
      <c r="C453" s="28" t="s">
        <v>3139</v>
      </c>
      <c r="D453" s="28" t="s">
        <v>3140</v>
      </c>
      <c r="E453" s="28" t="s">
        <v>2870</v>
      </c>
      <c r="F453" s="28" t="s">
        <v>112</v>
      </c>
      <c r="G453" s="28" t="s">
        <v>3165</v>
      </c>
      <c r="H453" s="28" t="s">
        <v>3166</v>
      </c>
      <c r="I453" s="28" t="s">
        <v>3167</v>
      </c>
      <c r="J453" s="28" t="s">
        <v>116</v>
      </c>
      <c r="K453" s="28" t="s">
        <v>26</v>
      </c>
      <c r="L453" s="28">
        <v>1</v>
      </c>
      <c r="M453" s="28">
        <v>0.5</v>
      </c>
      <c r="N453" s="25">
        <f t="shared" si="7"/>
        <v>0.5</v>
      </c>
      <c r="O453" s="28" t="s">
        <v>1831</v>
      </c>
      <c r="P453" s="28" t="s">
        <v>1831</v>
      </c>
      <c r="Q453" s="28" t="s">
        <v>1832</v>
      </c>
      <c r="R453" s="28" t="s">
        <v>1833</v>
      </c>
      <c r="S453" s="28" t="s">
        <v>1833</v>
      </c>
      <c r="T453" s="28" t="s">
        <v>1833</v>
      </c>
      <c r="U453" s="28" t="s">
        <v>1833</v>
      </c>
      <c r="V453" s="28" t="s">
        <v>3168</v>
      </c>
    </row>
    <row r="454" spans="1:22" ht="34.5" customHeight="1" x14ac:dyDescent="0.25">
      <c r="A454" s="26">
        <v>41</v>
      </c>
      <c r="B454" s="27" t="s">
        <v>3138</v>
      </c>
      <c r="C454" s="28" t="s">
        <v>3139</v>
      </c>
      <c r="D454" s="28" t="s">
        <v>3140</v>
      </c>
      <c r="E454" s="28" t="s">
        <v>3169</v>
      </c>
      <c r="F454" s="28" t="s">
        <v>120</v>
      </c>
      <c r="G454" s="28" t="s">
        <v>3170</v>
      </c>
      <c r="H454" s="28" t="s">
        <v>3171</v>
      </c>
      <c r="I454" s="28" t="s">
        <v>3172</v>
      </c>
      <c r="J454" s="28" t="s">
        <v>116</v>
      </c>
      <c r="K454" s="28" t="s">
        <v>26</v>
      </c>
      <c r="L454" s="28">
        <v>2</v>
      </c>
      <c r="M454" s="28">
        <v>0.75</v>
      </c>
      <c r="N454" s="25">
        <f t="shared" si="7"/>
        <v>1</v>
      </c>
      <c r="O454" s="28" t="s">
        <v>1831</v>
      </c>
      <c r="P454" s="28" t="s">
        <v>1831</v>
      </c>
      <c r="Q454" s="28" t="s">
        <v>1832</v>
      </c>
      <c r="R454" s="28" t="s">
        <v>1833</v>
      </c>
      <c r="S454" s="28" t="s">
        <v>1833</v>
      </c>
      <c r="T454" s="28" t="s">
        <v>1833</v>
      </c>
      <c r="U454" s="28" t="s">
        <v>1833</v>
      </c>
      <c r="V454" s="28" t="s">
        <v>3173</v>
      </c>
    </row>
    <row r="455" spans="1:22" ht="34.5" customHeight="1" x14ac:dyDescent="0.25">
      <c r="A455" s="26">
        <v>41</v>
      </c>
      <c r="B455" s="27" t="s">
        <v>3138</v>
      </c>
      <c r="C455" s="28" t="s">
        <v>3139</v>
      </c>
      <c r="D455" s="28" t="s">
        <v>3140</v>
      </c>
      <c r="E455" s="28" t="s">
        <v>3174</v>
      </c>
      <c r="F455" s="28" t="s">
        <v>127</v>
      </c>
      <c r="G455" s="28" t="s">
        <v>3175</v>
      </c>
      <c r="H455" s="28" t="s">
        <v>3176</v>
      </c>
      <c r="I455" s="28" t="s">
        <v>3177</v>
      </c>
      <c r="J455" s="28" t="s">
        <v>116</v>
      </c>
      <c r="K455" s="28" t="s">
        <v>26</v>
      </c>
      <c r="L455" s="28">
        <v>0.5</v>
      </c>
      <c r="M455" s="28">
        <v>0.25</v>
      </c>
      <c r="N455" s="25">
        <f t="shared" si="7"/>
        <v>0.25</v>
      </c>
      <c r="O455" s="28" t="s">
        <v>1831</v>
      </c>
      <c r="P455" s="28" t="s">
        <v>1831</v>
      </c>
      <c r="Q455" s="28" t="s">
        <v>1832</v>
      </c>
      <c r="R455" s="28" t="s">
        <v>1833</v>
      </c>
      <c r="S455" s="28" t="s">
        <v>1833</v>
      </c>
      <c r="T455" s="28" t="s">
        <v>1833</v>
      </c>
      <c r="U455" s="28" t="s">
        <v>1833</v>
      </c>
      <c r="V455" s="28" t="s">
        <v>3178</v>
      </c>
    </row>
    <row r="456" spans="1:22" ht="34.5" customHeight="1" x14ac:dyDescent="0.25">
      <c r="A456" s="26">
        <v>41</v>
      </c>
      <c r="B456" s="27" t="s">
        <v>3138</v>
      </c>
      <c r="C456" s="28" t="s">
        <v>3139</v>
      </c>
      <c r="D456" s="28" t="s">
        <v>3140</v>
      </c>
      <c r="E456" s="28" t="s">
        <v>3158</v>
      </c>
      <c r="F456" s="28" t="s">
        <v>134</v>
      </c>
      <c r="G456" s="28" t="s">
        <v>3179</v>
      </c>
      <c r="H456" s="28" t="s">
        <v>3180</v>
      </c>
      <c r="I456" s="28" t="s">
        <v>3181</v>
      </c>
      <c r="J456" s="28" t="s">
        <v>116</v>
      </c>
      <c r="K456" s="28" t="s">
        <v>46</v>
      </c>
      <c r="L456" s="28">
        <v>1</v>
      </c>
      <c r="M456" s="28">
        <v>0.5</v>
      </c>
      <c r="N456" s="25">
        <f t="shared" si="7"/>
        <v>0.5</v>
      </c>
      <c r="O456" s="28" t="s">
        <v>1831</v>
      </c>
      <c r="P456" s="28" t="s">
        <v>1831</v>
      </c>
      <c r="Q456" s="28" t="s">
        <v>1832</v>
      </c>
      <c r="R456" s="28" t="s">
        <v>1833</v>
      </c>
      <c r="S456" s="28" t="s">
        <v>1833</v>
      </c>
      <c r="T456" s="28" t="s">
        <v>1833</v>
      </c>
      <c r="U456" s="28" t="s">
        <v>1833</v>
      </c>
      <c r="V456" s="28" t="s">
        <v>3182</v>
      </c>
    </row>
    <row r="457" spans="1:22" ht="34.5" customHeight="1" x14ac:dyDescent="0.25">
      <c r="A457" s="26">
        <v>41</v>
      </c>
      <c r="B457" s="27" t="s">
        <v>3138</v>
      </c>
      <c r="C457" s="28" t="s">
        <v>3139</v>
      </c>
      <c r="D457" s="28" t="s">
        <v>3140</v>
      </c>
      <c r="E457" s="28" t="s">
        <v>2843</v>
      </c>
      <c r="F457" s="28" t="s">
        <v>142</v>
      </c>
      <c r="G457" s="28" t="s">
        <v>3183</v>
      </c>
      <c r="H457" s="28" t="s">
        <v>3184</v>
      </c>
      <c r="I457" s="28" t="s">
        <v>3185</v>
      </c>
      <c r="J457" s="28" t="s">
        <v>116</v>
      </c>
      <c r="K457" s="28" t="s">
        <v>26</v>
      </c>
      <c r="L457" s="28">
        <v>0.5</v>
      </c>
      <c r="M457" s="28">
        <v>0.25</v>
      </c>
      <c r="N457" s="25">
        <f t="shared" si="7"/>
        <v>0.25</v>
      </c>
      <c r="O457" s="28" t="s">
        <v>1831</v>
      </c>
      <c r="P457" s="28" t="s">
        <v>1831</v>
      </c>
      <c r="Q457" s="28" t="s">
        <v>1832</v>
      </c>
      <c r="R457" s="28" t="s">
        <v>1833</v>
      </c>
      <c r="S457" s="28" t="s">
        <v>1833</v>
      </c>
      <c r="T457" s="28" t="s">
        <v>1833</v>
      </c>
      <c r="U457" s="28" t="s">
        <v>1833</v>
      </c>
      <c r="V457" s="28" t="s">
        <v>3186</v>
      </c>
    </row>
    <row r="458" spans="1:22" ht="34.5" customHeight="1" x14ac:dyDescent="0.25">
      <c r="A458" s="26">
        <v>41</v>
      </c>
      <c r="B458" s="27" t="s">
        <v>3138</v>
      </c>
      <c r="C458" s="28" t="s">
        <v>3139</v>
      </c>
      <c r="D458" s="28" t="s">
        <v>3140</v>
      </c>
      <c r="E458" s="28" t="s">
        <v>3187</v>
      </c>
      <c r="F458" s="28" t="s">
        <v>157</v>
      </c>
      <c r="G458" s="28" t="s">
        <v>3188</v>
      </c>
      <c r="H458" s="28" t="s">
        <v>3189</v>
      </c>
      <c r="I458" s="28" t="s">
        <v>3190</v>
      </c>
      <c r="J458" s="28" t="s">
        <v>161</v>
      </c>
      <c r="K458" s="28" t="s">
        <v>3191</v>
      </c>
      <c r="L458" s="28">
        <v>3</v>
      </c>
      <c r="M458" s="28">
        <v>1</v>
      </c>
      <c r="N458" s="25">
        <f t="shared" si="7"/>
        <v>1.25</v>
      </c>
      <c r="O458" s="28" t="s">
        <v>3192</v>
      </c>
      <c r="P458" s="28" t="s">
        <v>1907</v>
      </c>
      <c r="Q458" s="28" t="s">
        <v>1832</v>
      </c>
      <c r="R458" s="28" t="s">
        <v>1833</v>
      </c>
      <c r="S458" s="28" t="s">
        <v>1833</v>
      </c>
      <c r="T458" s="28" t="s">
        <v>1833</v>
      </c>
      <c r="U458" s="28" t="s">
        <v>1833</v>
      </c>
      <c r="V458" s="28" t="s">
        <v>3193</v>
      </c>
    </row>
    <row r="459" spans="1:22" ht="34.5" customHeight="1" x14ac:dyDescent="0.25">
      <c r="A459" s="26">
        <v>42</v>
      </c>
      <c r="B459" s="27" t="s">
        <v>3194</v>
      </c>
      <c r="C459" s="28" t="s">
        <v>3195</v>
      </c>
      <c r="D459" s="28" t="s">
        <v>3196</v>
      </c>
      <c r="E459" s="28" t="s">
        <v>3197</v>
      </c>
      <c r="F459" s="28" t="s">
        <v>26</v>
      </c>
      <c r="G459" s="28" t="s">
        <v>3198</v>
      </c>
      <c r="H459" s="28" t="s">
        <v>3199</v>
      </c>
      <c r="I459" s="28" t="s">
        <v>3200</v>
      </c>
      <c r="J459" s="28" t="s">
        <v>30</v>
      </c>
      <c r="K459" s="28" t="s">
        <v>1142</v>
      </c>
      <c r="L459" s="28">
        <v>5</v>
      </c>
      <c r="M459" s="28">
        <v>2</v>
      </c>
      <c r="N459" s="25">
        <f t="shared" si="7"/>
        <v>2.5</v>
      </c>
      <c r="O459" s="28" t="s">
        <v>1763</v>
      </c>
      <c r="P459" s="28" t="s">
        <v>1763</v>
      </c>
      <c r="Q459" s="28" t="s">
        <v>484</v>
      </c>
      <c r="R459" s="28" t="s">
        <v>1026</v>
      </c>
      <c r="S459" s="28" t="s">
        <v>3201</v>
      </c>
      <c r="T459" s="28" t="s">
        <v>3202</v>
      </c>
      <c r="U459" s="28" t="s">
        <v>3203</v>
      </c>
      <c r="V459" s="28" t="s">
        <v>3204</v>
      </c>
    </row>
    <row r="460" spans="1:22" ht="34.5" customHeight="1" x14ac:dyDescent="0.25">
      <c r="A460" s="26">
        <v>42</v>
      </c>
      <c r="B460" s="27" t="s">
        <v>3194</v>
      </c>
      <c r="C460" s="28" t="s">
        <v>3195</v>
      </c>
      <c r="D460" s="28" t="s">
        <v>3196</v>
      </c>
      <c r="E460" s="28" t="s">
        <v>3205</v>
      </c>
      <c r="F460" s="28" t="s">
        <v>38</v>
      </c>
      <c r="G460" s="28" t="s">
        <v>3206</v>
      </c>
      <c r="H460" s="28" t="s">
        <v>3207</v>
      </c>
      <c r="I460" s="28" t="s">
        <v>3208</v>
      </c>
      <c r="J460" s="28" t="s">
        <v>30</v>
      </c>
      <c r="K460" s="28" t="s">
        <v>26</v>
      </c>
      <c r="L460" s="28">
        <v>3</v>
      </c>
      <c r="M460" s="28">
        <v>1</v>
      </c>
      <c r="N460" s="25">
        <f t="shared" si="7"/>
        <v>1.25</v>
      </c>
      <c r="O460" s="28" t="s">
        <v>1763</v>
      </c>
      <c r="P460" s="28" t="s">
        <v>1763</v>
      </c>
      <c r="Q460" s="28" t="s">
        <v>484</v>
      </c>
      <c r="R460" s="28" t="s">
        <v>1026</v>
      </c>
      <c r="S460" s="28" t="s">
        <v>3209</v>
      </c>
      <c r="T460" s="28" t="s">
        <v>3210</v>
      </c>
      <c r="U460" s="28" t="s">
        <v>3211</v>
      </c>
      <c r="V460" s="28" t="s">
        <v>3212</v>
      </c>
    </row>
    <row r="461" spans="1:22" ht="34.5" customHeight="1" x14ac:dyDescent="0.25">
      <c r="A461" s="26">
        <v>42</v>
      </c>
      <c r="B461" s="27" t="s">
        <v>3194</v>
      </c>
      <c r="C461" s="28" t="s">
        <v>3195</v>
      </c>
      <c r="D461" s="28" t="s">
        <v>3196</v>
      </c>
      <c r="E461" s="28" t="s">
        <v>3213</v>
      </c>
      <c r="F461" s="28" t="s">
        <v>46</v>
      </c>
      <c r="G461" s="28" t="s">
        <v>3214</v>
      </c>
      <c r="H461" s="28" t="s">
        <v>3215</v>
      </c>
      <c r="I461" s="28" t="s">
        <v>3216</v>
      </c>
      <c r="J461" s="28" t="s">
        <v>30</v>
      </c>
      <c r="K461" s="28" t="s">
        <v>26</v>
      </c>
      <c r="L461" s="28">
        <v>3</v>
      </c>
      <c r="M461" s="28">
        <v>1</v>
      </c>
      <c r="N461" s="25">
        <f t="shared" si="7"/>
        <v>1.25</v>
      </c>
      <c r="O461" s="28" t="s">
        <v>1763</v>
      </c>
      <c r="P461" s="28" t="s">
        <v>1763</v>
      </c>
      <c r="Q461" s="28" t="s">
        <v>1813</v>
      </c>
      <c r="R461" s="28" t="s">
        <v>1026</v>
      </c>
      <c r="S461" s="28" t="s">
        <v>3217</v>
      </c>
      <c r="T461" s="28" t="s">
        <v>3218</v>
      </c>
      <c r="U461" s="28" t="s">
        <v>3219</v>
      </c>
      <c r="V461" s="28" t="s">
        <v>3220</v>
      </c>
    </row>
    <row r="462" spans="1:22" ht="34.5" customHeight="1" x14ac:dyDescent="0.25">
      <c r="A462" s="26">
        <v>42</v>
      </c>
      <c r="B462" s="27" t="s">
        <v>3194</v>
      </c>
      <c r="C462" s="28" t="s">
        <v>3195</v>
      </c>
      <c r="D462" s="28" t="s">
        <v>3196</v>
      </c>
      <c r="E462" s="28" t="s">
        <v>3221</v>
      </c>
      <c r="F462" s="28" t="s">
        <v>53</v>
      </c>
      <c r="G462" s="28" t="s">
        <v>3222</v>
      </c>
      <c r="H462" s="28" t="s">
        <v>3223</v>
      </c>
      <c r="I462" s="28" t="s">
        <v>3224</v>
      </c>
      <c r="J462" s="28" t="s">
        <v>30</v>
      </c>
      <c r="K462" s="28" t="s">
        <v>3225</v>
      </c>
      <c r="L462" s="28">
        <v>2</v>
      </c>
      <c r="M462" s="28">
        <v>0.75</v>
      </c>
      <c r="N462" s="25">
        <f t="shared" si="7"/>
        <v>1</v>
      </c>
      <c r="O462" s="28" t="s">
        <v>1763</v>
      </c>
      <c r="P462" s="28" t="s">
        <v>1763</v>
      </c>
      <c r="Q462" s="28" t="s">
        <v>419</v>
      </c>
      <c r="R462" s="28" t="s">
        <v>1026</v>
      </c>
      <c r="S462" s="28" t="s">
        <v>3217</v>
      </c>
      <c r="T462" s="28" t="s">
        <v>3226</v>
      </c>
      <c r="U462" s="28" t="s">
        <v>3227</v>
      </c>
      <c r="V462" s="28" t="s">
        <v>3228</v>
      </c>
    </row>
    <row r="463" spans="1:22" ht="34.5" customHeight="1" x14ac:dyDescent="0.25">
      <c r="A463" s="26">
        <v>42</v>
      </c>
      <c r="B463" s="27" t="s">
        <v>3194</v>
      </c>
      <c r="C463" s="28" t="s">
        <v>3195</v>
      </c>
      <c r="D463" s="28" t="s">
        <v>3196</v>
      </c>
      <c r="E463" s="28" t="s">
        <v>3229</v>
      </c>
      <c r="F463" s="28" t="s">
        <v>112</v>
      </c>
      <c r="G463" s="28" t="s">
        <v>3230</v>
      </c>
      <c r="H463" s="28" t="s">
        <v>3231</v>
      </c>
      <c r="I463" s="28" t="s">
        <v>3232</v>
      </c>
      <c r="J463" s="28" t="s">
        <v>116</v>
      </c>
      <c r="K463" s="28" t="s">
        <v>53</v>
      </c>
      <c r="L463" s="28">
        <v>1</v>
      </c>
      <c r="M463" s="28">
        <v>0.5</v>
      </c>
      <c r="N463" s="25">
        <f t="shared" si="7"/>
        <v>0.5</v>
      </c>
      <c r="O463" s="28" t="s">
        <v>1831</v>
      </c>
      <c r="P463" s="28" t="s">
        <v>1831</v>
      </c>
      <c r="Q463" s="28" t="s">
        <v>1832</v>
      </c>
      <c r="R463" s="28" t="s">
        <v>1833</v>
      </c>
      <c r="S463" s="28" t="s">
        <v>1833</v>
      </c>
      <c r="T463" s="28" t="s">
        <v>1833</v>
      </c>
      <c r="U463" s="28" t="s">
        <v>1833</v>
      </c>
      <c r="V463" s="28" t="s">
        <v>3233</v>
      </c>
    </row>
    <row r="464" spans="1:22" ht="34.5" customHeight="1" x14ac:dyDescent="0.25">
      <c r="A464" s="26">
        <v>42</v>
      </c>
      <c r="B464" s="27" t="s">
        <v>3194</v>
      </c>
      <c r="C464" s="28" t="s">
        <v>3195</v>
      </c>
      <c r="D464" s="28" t="s">
        <v>3196</v>
      </c>
      <c r="E464" s="28" t="s">
        <v>3221</v>
      </c>
      <c r="F464" s="28" t="s">
        <v>120</v>
      </c>
      <c r="G464" s="28" t="s">
        <v>3234</v>
      </c>
      <c r="H464" s="28" t="s">
        <v>3235</v>
      </c>
      <c r="I464" s="28" t="s">
        <v>3236</v>
      </c>
      <c r="J464" s="28" t="s">
        <v>116</v>
      </c>
      <c r="K464" s="28" t="s">
        <v>53</v>
      </c>
      <c r="L464" s="28">
        <v>1.5</v>
      </c>
      <c r="M464" s="28">
        <v>0.5</v>
      </c>
      <c r="N464" s="25">
        <f t="shared" si="7"/>
        <v>0.5</v>
      </c>
      <c r="O464" s="28" t="s">
        <v>1831</v>
      </c>
      <c r="P464" s="28" t="s">
        <v>1831</v>
      </c>
      <c r="Q464" s="28" t="s">
        <v>1832</v>
      </c>
      <c r="R464" s="28" t="s">
        <v>1833</v>
      </c>
      <c r="S464" s="28" t="s">
        <v>1833</v>
      </c>
      <c r="T464" s="28" t="s">
        <v>1833</v>
      </c>
      <c r="U464" s="28" t="s">
        <v>1833</v>
      </c>
      <c r="V464" s="28" t="s">
        <v>3237</v>
      </c>
    </row>
    <row r="465" spans="1:22" ht="34.5" customHeight="1" x14ac:dyDescent="0.25">
      <c r="A465" s="26">
        <v>42</v>
      </c>
      <c r="B465" s="27" t="s">
        <v>3194</v>
      </c>
      <c r="C465" s="28" t="s">
        <v>3195</v>
      </c>
      <c r="D465" s="28" t="s">
        <v>3196</v>
      </c>
      <c r="E465" s="28" t="s">
        <v>3238</v>
      </c>
      <c r="F465" s="28" t="s">
        <v>127</v>
      </c>
      <c r="G465" s="28" t="s">
        <v>3239</v>
      </c>
      <c r="H465" s="28" t="s">
        <v>3240</v>
      </c>
      <c r="I465" s="28" t="s">
        <v>3241</v>
      </c>
      <c r="J465" s="28" t="s">
        <v>116</v>
      </c>
      <c r="K465" s="28" t="s">
        <v>3242</v>
      </c>
      <c r="L465" s="28">
        <v>5</v>
      </c>
      <c r="M465" s="28">
        <v>2</v>
      </c>
      <c r="N465" s="25">
        <f t="shared" si="7"/>
        <v>2.5</v>
      </c>
      <c r="O465" s="28" t="s">
        <v>1831</v>
      </c>
      <c r="P465" s="28" t="s">
        <v>1831</v>
      </c>
      <c r="Q465" s="28" t="s">
        <v>1832</v>
      </c>
      <c r="R465" s="28" t="s">
        <v>1833</v>
      </c>
      <c r="S465" s="28" t="s">
        <v>1833</v>
      </c>
      <c r="T465" s="28" t="s">
        <v>1833</v>
      </c>
      <c r="U465" s="28" t="s">
        <v>1833</v>
      </c>
      <c r="V465" s="28" t="s">
        <v>3243</v>
      </c>
    </row>
    <row r="466" spans="1:22" ht="34.5" customHeight="1" x14ac:dyDescent="0.25">
      <c r="A466" s="26">
        <v>42</v>
      </c>
      <c r="B466" s="27" t="s">
        <v>3194</v>
      </c>
      <c r="C466" s="28" t="s">
        <v>3195</v>
      </c>
      <c r="D466" s="28" t="s">
        <v>3196</v>
      </c>
      <c r="E466" s="28" t="s">
        <v>3244</v>
      </c>
      <c r="F466" s="28" t="s">
        <v>134</v>
      </c>
      <c r="G466" s="28" t="s">
        <v>3245</v>
      </c>
      <c r="H466" s="28" t="s">
        <v>3246</v>
      </c>
      <c r="I466" s="28" t="s">
        <v>3247</v>
      </c>
      <c r="J466" s="28" t="s">
        <v>116</v>
      </c>
      <c r="K466" s="28" t="s">
        <v>46</v>
      </c>
      <c r="L466" s="28">
        <v>1.5</v>
      </c>
      <c r="M466" s="28">
        <v>0.5</v>
      </c>
      <c r="N466" s="25">
        <f t="shared" si="7"/>
        <v>0.5</v>
      </c>
      <c r="O466" s="28" t="s">
        <v>1831</v>
      </c>
      <c r="P466" s="28" t="s">
        <v>1831</v>
      </c>
      <c r="Q466" s="28" t="s">
        <v>1832</v>
      </c>
      <c r="R466" s="28" t="s">
        <v>1833</v>
      </c>
      <c r="S466" s="28" t="s">
        <v>1833</v>
      </c>
      <c r="T466" s="28" t="s">
        <v>1833</v>
      </c>
      <c r="U466" s="28" t="s">
        <v>1833</v>
      </c>
      <c r="V466" s="28" t="s">
        <v>3248</v>
      </c>
    </row>
    <row r="467" spans="1:22" ht="34.5" customHeight="1" x14ac:dyDescent="0.25">
      <c r="A467" s="26">
        <v>42</v>
      </c>
      <c r="B467" s="27" t="s">
        <v>3194</v>
      </c>
      <c r="C467" s="28" t="s">
        <v>3195</v>
      </c>
      <c r="D467" s="28" t="s">
        <v>3196</v>
      </c>
      <c r="E467" s="28" t="s">
        <v>3249</v>
      </c>
      <c r="F467" s="28" t="s">
        <v>142</v>
      </c>
      <c r="G467" s="28" t="s">
        <v>3250</v>
      </c>
      <c r="H467" s="28" t="s">
        <v>3251</v>
      </c>
      <c r="I467" s="28" t="s">
        <v>3252</v>
      </c>
      <c r="J467" s="28" t="s">
        <v>116</v>
      </c>
      <c r="K467" s="28" t="s">
        <v>26</v>
      </c>
      <c r="L467" s="28">
        <v>1</v>
      </c>
      <c r="M467" s="28">
        <v>0.5</v>
      </c>
      <c r="N467" s="25">
        <f t="shared" si="7"/>
        <v>0.5</v>
      </c>
      <c r="O467" s="28" t="s">
        <v>1831</v>
      </c>
      <c r="P467" s="28" t="s">
        <v>1831</v>
      </c>
      <c r="Q467" s="28" t="s">
        <v>1832</v>
      </c>
      <c r="R467" s="28" t="s">
        <v>1833</v>
      </c>
      <c r="S467" s="28" t="s">
        <v>1833</v>
      </c>
      <c r="T467" s="28" t="s">
        <v>1833</v>
      </c>
      <c r="U467" s="28" t="s">
        <v>1833</v>
      </c>
      <c r="V467" s="28" t="s">
        <v>3253</v>
      </c>
    </row>
    <row r="468" spans="1:22" ht="34.5" customHeight="1" x14ac:dyDescent="0.25">
      <c r="A468" s="26">
        <v>42</v>
      </c>
      <c r="B468" s="27" t="s">
        <v>3194</v>
      </c>
      <c r="C468" s="28" t="s">
        <v>3195</v>
      </c>
      <c r="D468" s="28" t="s">
        <v>3196</v>
      </c>
      <c r="E468" s="28" t="s">
        <v>3254</v>
      </c>
      <c r="F468" s="28" t="s">
        <v>150</v>
      </c>
      <c r="G468" s="28" t="s">
        <v>3255</v>
      </c>
      <c r="H468" s="28" t="s">
        <v>3256</v>
      </c>
      <c r="I468" s="28" t="s">
        <v>3257</v>
      </c>
      <c r="J468" s="28" t="s">
        <v>116</v>
      </c>
      <c r="K468" s="28" t="s">
        <v>3258</v>
      </c>
      <c r="L468" s="28">
        <v>2</v>
      </c>
      <c r="M468" s="28">
        <v>0.75</v>
      </c>
      <c r="N468" s="25">
        <f t="shared" si="7"/>
        <v>1</v>
      </c>
      <c r="O468" s="28" t="s">
        <v>1831</v>
      </c>
      <c r="P468" s="28" t="s">
        <v>1831</v>
      </c>
      <c r="Q468" s="28" t="s">
        <v>1832</v>
      </c>
      <c r="R468" s="28" t="s">
        <v>1833</v>
      </c>
      <c r="S468" s="28" t="s">
        <v>1833</v>
      </c>
      <c r="T468" s="28" t="s">
        <v>1833</v>
      </c>
      <c r="U468" s="28" t="s">
        <v>1833</v>
      </c>
      <c r="V468" s="28" t="s">
        <v>3259</v>
      </c>
    </row>
    <row r="469" spans="1:22" ht="34.5" customHeight="1" x14ac:dyDescent="0.25">
      <c r="A469" s="26">
        <v>42</v>
      </c>
      <c r="B469" s="27" t="s">
        <v>3194</v>
      </c>
      <c r="C469" s="28" t="s">
        <v>3195</v>
      </c>
      <c r="D469" s="28" t="s">
        <v>3196</v>
      </c>
      <c r="E469" s="28" t="s">
        <v>3260</v>
      </c>
      <c r="F469" s="28" t="s">
        <v>478</v>
      </c>
      <c r="G469" s="28" t="s">
        <v>3261</v>
      </c>
      <c r="H469" s="28" t="s">
        <v>3262</v>
      </c>
      <c r="I469" s="28" t="s">
        <v>3263</v>
      </c>
      <c r="J469" s="28" t="s">
        <v>116</v>
      </c>
      <c r="K469" s="28" t="s">
        <v>3264</v>
      </c>
      <c r="L469" s="28">
        <v>2</v>
      </c>
      <c r="M469" s="28">
        <v>0.75</v>
      </c>
      <c r="N469" s="25">
        <f t="shared" si="7"/>
        <v>1</v>
      </c>
      <c r="O469" s="28" t="s">
        <v>1831</v>
      </c>
      <c r="P469" s="28" t="s">
        <v>1831</v>
      </c>
      <c r="Q469" s="28" t="s">
        <v>1832</v>
      </c>
      <c r="R469" s="28" t="s">
        <v>1833</v>
      </c>
      <c r="S469" s="28" t="s">
        <v>1833</v>
      </c>
      <c r="T469" s="28" t="s">
        <v>1833</v>
      </c>
      <c r="U469" s="28" t="s">
        <v>1833</v>
      </c>
      <c r="V469" s="28" t="s">
        <v>3265</v>
      </c>
    </row>
    <row r="470" spans="1:22" ht="34.5" customHeight="1" x14ac:dyDescent="0.25">
      <c r="A470" s="26">
        <v>42</v>
      </c>
      <c r="B470" s="27" t="s">
        <v>3194</v>
      </c>
      <c r="C470" s="28" t="s">
        <v>3195</v>
      </c>
      <c r="D470" s="28" t="s">
        <v>3196</v>
      </c>
      <c r="E470" s="28" t="s">
        <v>3266</v>
      </c>
      <c r="F470" s="28" t="s">
        <v>487</v>
      </c>
      <c r="G470" s="28" t="s">
        <v>3267</v>
      </c>
      <c r="H470" s="28" t="s">
        <v>3268</v>
      </c>
      <c r="I470" s="28" t="s">
        <v>3269</v>
      </c>
      <c r="J470" s="28" t="s">
        <v>116</v>
      </c>
      <c r="K470" s="28" t="s">
        <v>46</v>
      </c>
      <c r="L470" s="28">
        <v>1</v>
      </c>
      <c r="M470" s="28">
        <v>0.5</v>
      </c>
      <c r="N470" s="25">
        <f t="shared" si="7"/>
        <v>0.5</v>
      </c>
      <c r="O470" s="28" t="s">
        <v>1831</v>
      </c>
      <c r="P470" s="28" t="s">
        <v>1831</v>
      </c>
      <c r="Q470" s="28" t="s">
        <v>1832</v>
      </c>
      <c r="R470" s="28" t="s">
        <v>1833</v>
      </c>
      <c r="S470" s="28" t="s">
        <v>1833</v>
      </c>
      <c r="T470" s="28" t="s">
        <v>1833</v>
      </c>
      <c r="U470" s="28" t="s">
        <v>1833</v>
      </c>
      <c r="V470" s="28" t="s">
        <v>3270</v>
      </c>
    </row>
    <row r="471" spans="1:22" ht="34.5" customHeight="1" x14ac:dyDescent="0.25">
      <c r="A471" s="26">
        <v>42</v>
      </c>
      <c r="B471" s="27" t="s">
        <v>3194</v>
      </c>
      <c r="C471" s="28" t="s">
        <v>3195</v>
      </c>
      <c r="D471" s="28" t="s">
        <v>3196</v>
      </c>
      <c r="E471" s="28" t="s">
        <v>3271</v>
      </c>
      <c r="F471" s="28" t="s">
        <v>157</v>
      </c>
      <c r="G471" s="28" t="s">
        <v>3272</v>
      </c>
      <c r="H471" s="28" t="s">
        <v>3273</v>
      </c>
      <c r="I471" s="28" t="s">
        <v>3274</v>
      </c>
      <c r="J471" s="28" t="s">
        <v>161</v>
      </c>
      <c r="K471" s="28" t="s">
        <v>3275</v>
      </c>
      <c r="L471" s="28">
        <v>3</v>
      </c>
      <c r="M471" s="28">
        <v>1</v>
      </c>
      <c r="N471" s="25">
        <f t="shared" si="7"/>
        <v>1.25</v>
      </c>
      <c r="O471" s="28" t="s">
        <v>1906</v>
      </c>
      <c r="P471" s="28" t="s">
        <v>1907</v>
      </c>
      <c r="Q471" s="28" t="s">
        <v>1832</v>
      </c>
      <c r="R471" s="28" t="s">
        <v>1833</v>
      </c>
      <c r="S471" s="28" t="s">
        <v>1833</v>
      </c>
      <c r="T471" s="28" t="s">
        <v>1833</v>
      </c>
      <c r="U471" s="28" t="s">
        <v>1833</v>
      </c>
      <c r="V471" s="28" t="s">
        <v>3276</v>
      </c>
    </row>
    <row r="472" spans="1:22" ht="34.5" customHeight="1" x14ac:dyDescent="0.25">
      <c r="A472" s="26">
        <v>42</v>
      </c>
      <c r="B472" s="27" t="s">
        <v>3194</v>
      </c>
      <c r="C472" s="28" t="s">
        <v>3195</v>
      </c>
      <c r="D472" s="28" t="s">
        <v>3196</v>
      </c>
      <c r="E472" s="28" t="s">
        <v>3277</v>
      </c>
      <c r="F472" s="28" t="s">
        <v>166</v>
      </c>
      <c r="G472" s="28" t="s">
        <v>3278</v>
      </c>
      <c r="H472" s="28" t="s">
        <v>3279</v>
      </c>
      <c r="I472" s="28" t="s">
        <v>3280</v>
      </c>
      <c r="J472" s="28" t="s">
        <v>161</v>
      </c>
      <c r="K472" s="28" t="s">
        <v>1905</v>
      </c>
      <c r="L472" s="28">
        <v>4</v>
      </c>
      <c r="M472" s="28">
        <v>1.5</v>
      </c>
      <c r="N472" s="25">
        <f t="shared" si="7"/>
        <v>1.75</v>
      </c>
      <c r="O472" s="28" t="s">
        <v>1906</v>
      </c>
      <c r="P472" s="28" t="s">
        <v>1907</v>
      </c>
      <c r="Q472" s="28" t="s">
        <v>1832</v>
      </c>
      <c r="R472" s="28" t="s">
        <v>1833</v>
      </c>
      <c r="S472" s="28" t="s">
        <v>1833</v>
      </c>
      <c r="T472" s="28" t="s">
        <v>1833</v>
      </c>
      <c r="U472" s="28" t="s">
        <v>1833</v>
      </c>
      <c r="V472" s="28" t="s">
        <v>3281</v>
      </c>
    </row>
    <row r="473" spans="1:22" ht="34.5" customHeight="1" x14ac:dyDescent="0.25">
      <c r="A473" s="26">
        <v>43</v>
      </c>
      <c r="B473" s="27" t="s">
        <v>3282</v>
      </c>
      <c r="C473" s="28" t="s">
        <v>3283</v>
      </c>
      <c r="D473" s="28" t="s">
        <v>3284</v>
      </c>
      <c r="E473" s="28" t="s">
        <v>3285</v>
      </c>
      <c r="F473" s="28" t="s">
        <v>26</v>
      </c>
      <c r="G473" s="28" t="s">
        <v>3286</v>
      </c>
      <c r="H473" s="28" t="s">
        <v>3287</v>
      </c>
      <c r="I473" s="28" t="s">
        <v>3288</v>
      </c>
      <c r="J473" s="28" t="s">
        <v>30</v>
      </c>
      <c r="K473" s="28" t="s">
        <v>3289</v>
      </c>
      <c r="L473" s="28">
        <v>3</v>
      </c>
      <c r="M473" s="28">
        <v>1</v>
      </c>
      <c r="N473" s="25">
        <f t="shared" si="7"/>
        <v>1.25</v>
      </c>
      <c r="O473" s="28" t="s">
        <v>1763</v>
      </c>
      <c r="P473" s="28" t="s">
        <v>1763</v>
      </c>
      <c r="Q473" s="28" t="s">
        <v>419</v>
      </c>
      <c r="R473" s="28" t="s">
        <v>1026</v>
      </c>
      <c r="S473" s="28" t="s">
        <v>1803</v>
      </c>
      <c r="T473" s="28" t="s">
        <v>3290</v>
      </c>
      <c r="U473" s="28" t="s">
        <v>3291</v>
      </c>
      <c r="V473" s="28" t="s">
        <v>3292</v>
      </c>
    </row>
    <row r="474" spans="1:22" ht="34.5" customHeight="1" x14ac:dyDescent="0.25">
      <c r="A474" s="26">
        <v>43</v>
      </c>
      <c r="B474" s="27" t="s">
        <v>3282</v>
      </c>
      <c r="C474" s="28" t="s">
        <v>3283</v>
      </c>
      <c r="D474" s="28" t="s">
        <v>3284</v>
      </c>
      <c r="E474" s="28" t="s">
        <v>3293</v>
      </c>
      <c r="F474" s="28" t="s">
        <v>38</v>
      </c>
      <c r="G474" s="28" t="s">
        <v>3294</v>
      </c>
      <c r="H474" s="28" t="s">
        <v>3295</v>
      </c>
      <c r="I474" s="28" t="s">
        <v>3296</v>
      </c>
      <c r="J474" s="28" t="s">
        <v>30</v>
      </c>
      <c r="K474" s="28" t="s">
        <v>3289</v>
      </c>
      <c r="L474" s="28">
        <v>3</v>
      </c>
      <c r="M474" s="28">
        <v>1</v>
      </c>
      <c r="N474" s="25">
        <f t="shared" si="7"/>
        <v>1.25</v>
      </c>
      <c r="O474" s="28" t="s">
        <v>1763</v>
      </c>
      <c r="P474" s="28" t="s">
        <v>1763</v>
      </c>
      <c r="Q474" s="28" t="s">
        <v>419</v>
      </c>
      <c r="R474" s="28" t="s">
        <v>1026</v>
      </c>
      <c r="S474" s="28" t="s">
        <v>3297</v>
      </c>
      <c r="T474" s="28" t="s">
        <v>3298</v>
      </c>
      <c r="U474" s="28" t="s">
        <v>3299</v>
      </c>
      <c r="V474" s="28" t="s">
        <v>3300</v>
      </c>
    </row>
    <row r="475" spans="1:22" ht="34.5" customHeight="1" x14ac:dyDescent="0.25">
      <c r="A475" s="26">
        <v>43</v>
      </c>
      <c r="B475" s="27" t="s">
        <v>3282</v>
      </c>
      <c r="C475" s="28" t="s">
        <v>3283</v>
      </c>
      <c r="D475" s="28" t="s">
        <v>3284</v>
      </c>
      <c r="E475" s="28" t="s">
        <v>3301</v>
      </c>
      <c r="F475" s="28" t="s">
        <v>46</v>
      </c>
      <c r="G475" s="28" t="s">
        <v>3302</v>
      </c>
      <c r="H475" s="28" t="s">
        <v>3303</v>
      </c>
      <c r="I475" s="28" t="s">
        <v>3304</v>
      </c>
      <c r="J475" s="28" t="s">
        <v>30</v>
      </c>
      <c r="K475" s="28" t="s">
        <v>3289</v>
      </c>
      <c r="L475" s="28">
        <v>2</v>
      </c>
      <c r="M475" s="28">
        <v>0.75</v>
      </c>
      <c r="N475" s="25">
        <f t="shared" si="7"/>
        <v>1</v>
      </c>
      <c r="O475" s="28" t="s">
        <v>1763</v>
      </c>
      <c r="P475" s="28" t="s">
        <v>1763</v>
      </c>
      <c r="Q475" s="28" t="s">
        <v>1813</v>
      </c>
      <c r="R475" s="28" t="s">
        <v>1026</v>
      </c>
      <c r="S475" s="28" t="s">
        <v>3305</v>
      </c>
      <c r="T475" s="28" t="s">
        <v>3306</v>
      </c>
      <c r="U475" s="28" t="s">
        <v>3307</v>
      </c>
      <c r="V475" s="28" t="s">
        <v>3308</v>
      </c>
    </row>
    <row r="476" spans="1:22" ht="34.5" customHeight="1" x14ac:dyDescent="0.25">
      <c r="A476" s="26">
        <v>43</v>
      </c>
      <c r="B476" s="27" t="s">
        <v>3282</v>
      </c>
      <c r="C476" s="28" t="s">
        <v>3283</v>
      </c>
      <c r="D476" s="28" t="s">
        <v>3284</v>
      </c>
      <c r="E476" s="28" t="s">
        <v>3309</v>
      </c>
      <c r="F476" s="28" t="s">
        <v>53</v>
      </c>
      <c r="G476" s="28" t="s">
        <v>3310</v>
      </c>
      <c r="H476" s="28" t="s">
        <v>3311</v>
      </c>
      <c r="I476" s="28" t="s">
        <v>3312</v>
      </c>
      <c r="J476" s="28" t="s">
        <v>30</v>
      </c>
      <c r="K476" s="28" t="s">
        <v>3313</v>
      </c>
      <c r="L476" s="28">
        <v>5</v>
      </c>
      <c r="M476" s="28">
        <v>2</v>
      </c>
      <c r="N476" s="25">
        <f t="shared" si="7"/>
        <v>2.5</v>
      </c>
      <c r="O476" s="28" t="s">
        <v>3314</v>
      </c>
      <c r="P476" s="28" t="s">
        <v>3314</v>
      </c>
      <c r="Q476" s="28" t="s">
        <v>484</v>
      </c>
      <c r="R476" s="28" t="s">
        <v>1026</v>
      </c>
      <c r="S476" s="28" t="s">
        <v>3315</v>
      </c>
      <c r="T476" s="28" t="s">
        <v>3316</v>
      </c>
      <c r="U476" s="28" t="s">
        <v>3317</v>
      </c>
      <c r="V476" s="28" t="s">
        <v>3318</v>
      </c>
    </row>
    <row r="477" spans="1:22" ht="34.5" customHeight="1" x14ac:dyDescent="0.25">
      <c r="A477" s="26">
        <v>43</v>
      </c>
      <c r="B477" s="27" t="s">
        <v>3282</v>
      </c>
      <c r="C477" s="28" t="s">
        <v>3283</v>
      </c>
      <c r="D477" s="28" t="s">
        <v>3284</v>
      </c>
      <c r="E477" s="28" t="s">
        <v>3319</v>
      </c>
      <c r="F477" s="28" t="s">
        <v>64</v>
      </c>
      <c r="G477" s="28" t="s">
        <v>3320</v>
      </c>
      <c r="H477" s="28" t="s">
        <v>3321</v>
      </c>
      <c r="I477" s="28" t="s">
        <v>3322</v>
      </c>
      <c r="J477" s="28" t="s">
        <v>30</v>
      </c>
      <c r="K477" s="28" t="s">
        <v>3323</v>
      </c>
      <c r="L477" s="28">
        <v>4</v>
      </c>
      <c r="M477" s="28">
        <v>1.5</v>
      </c>
      <c r="N477" s="25">
        <f t="shared" si="7"/>
        <v>1.75</v>
      </c>
      <c r="O477" s="28" t="s">
        <v>3324</v>
      </c>
      <c r="P477" s="28" t="s">
        <v>1802</v>
      </c>
      <c r="Q477" s="28" t="s">
        <v>419</v>
      </c>
      <c r="R477" s="28" t="s">
        <v>1026</v>
      </c>
      <c r="S477" s="28" t="s">
        <v>3325</v>
      </c>
      <c r="T477" s="28" t="s">
        <v>3326</v>
      </c>
      <c r="U477" s="28" t="s">
        <v>3327</v>
      </c>
      <c r="V477" s="28" t="s">
        <v>3328</v>
      </c>
    </row>
    <row r="478" spans="1:22" ht="34.5" customHeight="1" x14ac:dyDescent="0.25">
      <c r="A478" s="26">
        <v>43</v>
      </c>
      <c r="B478" s="27" t="s">
        <v>3282</v>
      </c>
      <c r="C478" s="28" t="s">
        <v>3283</v>
      </c>
      <c r="D478" s="28" t="s">
        <v>3284</v>
      </c>
      <c r="E478" s="28" t="s">
        <v>3329</v>
      </c>
      <c r="F478" s="28" t="s">
        <v>72</v>
      </c>
      <c r="G478" s="28" t="s">
        <v>3330</v>
      </c>
      <c r="H478" s="28" t="s">
        <v>3331</v>
      </c>
      <c r="I478" s="28" t="s">
        <v>3332</v>
      </c>
      <c r="J478" s="28" t="s">
        <v>30</v>
      </c>
      <c r="K478" s="28" t="s">
        <v>3333</v>
      </c>
      <c r="L478" s="28">
        <v>3</v>
      </c>
      <c r="M478" s="28">
        <v>1</v>
      </c>
      <c r="N478" s="25">
        <f t="shared" si="7"/>
        <v>1.25</v>
      </c>
      <c r="O478" s="28" t="s">
        <v>3334</v>
      </c>
      <c r="P478" s="28" t="s">
        <v>1802</v>
      </c>
      <c r="Q478" s="28" t="s">
        <v>1832</v>
      </c>
      <c r="R478" s="28" t="s">
        <v>1833</v>
      </c>
      <c r="S478" s="28" t="s">
        <v>1833</v>
      </c>
      <c r="T478" s="28" t="s">
        <v>1833</v>
      </c>
      <c r="U478" s="28" t="s">
        <v>3335</v>
      </c>
      <c r="V478" s="28" t="s">
        <v>3336</v>
      </c>
    </row>
    <row r="479" spans="1:22" ht="34.5" customHeight="1" x14ac:dyDescent="0.25">
      <c r="A479" s="26">
        <v>43</v>
      </c>
      <c r="B479" s="27" t="s">
        <v>3282</v>
      </c>
      <c r="C479" s="28" t="s">
        <v>3283</v>
      </c>
      <c r="D479" s="28" t="s">
        <v>3284</v>
      </c>
      <c r="E479" s="28" t="s">
        <v>1896</v>
      </c>
      <c r="F479" s="28" t="s">
        <v>112</v>
      </c>
      <c r="G479" s="28" t="s">
        <v>3337</v>
      </c>
      <c r="H479" s="28" t="s">
        <v>3338</v>
      </c>
      <c r="I479" s="28" t="s">
        <v>3339</v>
      </c>
      <c r="J479" s="28" t="s">
        <v>116</v>
      </c>
      <c r="K479" s="28" t="s">
        <v>2032</v>
      </c>
      <c r="L479" s="28">
        <v>3</v>
      </c>
      <c r="M479" s="28">
        <v>1</v>
      </c>
      <c r="N479" s="25">
        <f t="shared" si="7"/>
        <v>1.25</v>
      </c>
      <c r="O479" s="28" t="s">
        <v>1831</v>
      </c>
      <c r="P479" s="28" t="s">
        <v>1831</v>
      </c>
      <c r="Q479" s="28" t="s">
        <v>1832</v>
      </c>
      <c r="R479" s="28" t="s">
        <v>1833</v>
      </c>
      <c r="S479" s="28" t="s">
        <v>1833</v>
      </c>
      <c r="T479" s="28" t="s">
        <v>1833</v>
      </c>
      <c r="U479" s="28" t="s">
        <v>1833</v>
      </c>
      <c r="V479" s="28" t="s">
        <v>3340</v>
      </c>
    </row>
    <row r="480" spans="1:22" ht="34.5" customHeight="1" x14ac:dyDescent="0.25">
      <c r="A480" s="26">
        <v>43</v>
      </c>
      <c r="B480" s="27" t="s">
        <v>3282</v>
      </c>
      <c r="C480" s="28" t="s">
        <v>3283</v>
      </c>
      <c r="D480" s="28" t="s">
        <v>3284</v>
      </c>
      <c r="E480" s="28" t="s">
        <v>3341</v>
      </c>
      <c r="F480" s="28" t="s">
        <v>120</v>
      </c>
      <c r="G480" s="28" t="s">
        <v>3342</v>
      </c>
      <c r="H480" s="28" t="s">
        <v>3343</v>
      </c>
      <c r="I480" s="28" t="s">
        <v>3344</v>
      </c>
      <c r="J480" s="28" t="s">
        <v>116</v>
      </c>
      <c r="K480" s="28" t="s">
        <v>38</v>
      </c>
      <c r="L480" s="28">
        <v>2</v>
      </c>
      <c r="M480" s="28">
        <v>0.75</v>
      </c>
      <c r="N480" s="25">
        <f t="shared" si="7"/>
        <v>1</v>
      </c>
      <c r="O480" s="28" t="s">
        <v>1831</v>
      </c>
      <c r="P480" s="28" t="s">
        <v>1831</v>
      </c>
      <c r="Q480" s="28" t="s">
        <v>1832</v>
      </c>
      <c r="R480" s="28" t="s">
        <v>1833</v>
      </c>
      <c r="S480" s="28" t="s">
        <v>1833</v>
      </c>
      <c r="T480" s="28" t="s">
        <v>1833</v>
      </c>
      <c r="U480" s="28" t="s">
        <v>1833</v>
      </c>
      <c r="V480" s="28" t="s">
        <v>3345</v>
      </c>
    </row>
    <row r="481" spans="1:22" ht="34.5" customHeight="1" x14ac:dyDescent="0.25">
      <c r="A481" s="26">
        <v>43</v>
      </c>
      <c r="B481" s="27" t="s">
        <v>3282</v>
      </c>
      <c r="C481" s="28" t="s">
        <v>3283</v>
      </c>
      <c r="D481" s="28" t="s">
        <v>3284</v>
      </c>
      <c r="E481" s="28" t="s">
        <v>3346</v>
      </c>
      <c r="F481" s="28" t="s">
        <v>127</v>
      </c>
      <c r="G481" s="28" t="s">
        <v>3347</v>
      </c>
      <c r="H481" s="28" t="s">
        <v>3348</v>
      </c>
      <c r="I481" s="28" t="s">
        <v>3349</v>
      </c>
      <c r="J481" s="28" t="s">
        <v>116</v>
      </c>
      <c r="K481" s="28" t="s">
        <v>2926</v>
      </c>
      <c r="L481" s="28">
        <v>1</v>
      </c>
      <c r="M481" s="28">
        <v>0.5</v>
      </c>
      <c r="N481" s="25">
        <f t="shared" si="7"/>
        <v>0.5</v>
      </c>
      <c r="O481" s="28" t="s">
        <v>1831</v>
      </c>
      <c r="P481" s="28" t="s">
        <v>1831</v>
      </c>
      <c r="Q481" s="28" t="s">
        <v>1832</v>
      </c>
      <c r="R481" s="28" t="s">
        <v>1833</v>
      </c>
      <c r="S481" s="28" t="s">
        <v>1833</v>
      </c>
      <c r="T481" s="28" t="s">
        <v>1833</v>
      </c>
      <c r="U481" s="28" t="s">
        <v>1833</v>
      </c>
      <c r="V481" s="28" t="s">
        <v>3350</v>
      </c>
    </row>
    <row r="482" spans="1:22" ht="34.5" customHeight="1" x14ac:dyDescent="0.25">
      <c r="A482" s="26">
        <v>43</v>
      </c>
      <c r="B482" s="27" t="s">
        <v>3282</v>
      </c>
      <c r="C482" s="28" t="s">
        <v>3283</v>
      </c>
      <c r="D482" s="28" t="s">
        <v>3284</v>
      </c>
      <c r="E482" s="28" t="s">
        <v>3351</v>
      </c>
      <c r="F482" s="28" t="s">
        <v>134</v>
      </c>
      <c r="G482" s="28" t="s">
        <v>3352</v>
      </c>
      <c r="H482" s="28" t="s">
        <v>3353</v>
      </c>
      <c r="I482" s="28" t="s">
        <v>3354</v>
      </c>
      <c r="J482" s="28" t="s">
        <v>116</v>
      </c>
      <c r="K482" s="28" t="s">
        <v>3355</v>
      </c>
      <c r="L482" s="28">
        <v>2</v>
      </c>
      <c r="M482" s="28">
        <v>0.75</v>
      </c>
      <c r="N482" s="25">
        <f t="shared" si="7"/>
        <v>1</v>
      </c>
      <c r="O482" s="28" t="s">
        <v>1831</v>
      </c>
      <c r="P482" s="28" t="s">
        <v>1831</v>
      </c>
      <c r="Q482" s="28" t="s">
        <v>1832</v>
      </c>
      <c r="R482" s="28" t="s">
        <v>1833</v>
      </c>
      <c r="S482" s="28" t="s">
        <v>1833</v>
      </c>
      <c r="T482" s="28" t="s">
        <v>1833</v>
      </c>
      <c r="U482" s="28" t="s">
        <v>1833</v>
      </c>
      <c r="V482" s="28" t="s">
        <v>3356</v>
      </c>
    </row>
    <row r="483" spans="1:22" ht="34.5" customHeight="1" x14ac:dyDescent="0.25">
      <c r="A483" s="26">
        <v>43</v>
      </c>
      <c r="B483" s="27" t="s">
        <v>3282</v>
      </c>
      <c r="C483" s="28" t="s">
        <v>3283</v>
      </c>
      <c r="D483" s="28" t="s">
        <v>3284</v>
      </c>
      <c r="E483" s="28" t="s">
        <v>3319</v>
      </c>
      <c r="F483" s="28" t="s">
        <v>142</v>
      </c>
      <c r="G483" s="28" t="s">
        <v>3357</v>
      </c>
      <c r="H483" s="28" t="s">
        <v>3358</v>
      </c>
      <c r="I483" s="28" t="s">
        <v>3359</v>
      </c>
      <c r="J483" s="28" t="s">
        <v>116</v>
      </c>
      <c r="K483" s="28" t="s">
        <v>64</v>
      </c>
      <c r="L483" s="28">
        <v>0.75</v>
      </c>
      <c r="M483" s="28">
        <v>0.25</v>
      </c>
      <c r="N483" s="25">
        <f t="shared" si="7"/>
        <v>0.25</v>
      </c>
      <c r="O483" s="28" t="s">
        <v>1831</v>
      </c>
      <c r="P483" s="28" t="s">
        <v>1831</v>
      </c>
      <c r="Q483" s="28" t="s">
        <v>1832</v>
      </c>
      <c r="R483" s="28" t="s">
        <v>1833</v>
      </c>
      <c r="S483" s="28" t="s">
        <v>1833</v>
      </c>
      <c r="T483" s="28" t="s">
        <v>1833</v>
      </c>
      <c r="U483" s="28" t="s">
        <v>1833</v>
      </c>
      <c r="V483" s="28" t="s">
        <v>3360</v>
      </c>
    </row>
    <row r="484" spans="1:22" ht="34.5" customHeight="1" x14ac:dyDescent="0.25">
      <c r="A484" s="26">
        <v>43</v>
      </c>
      <c r="B484" s="27" t="s">
        <v>3282</v>
      </c>
      <c r="C484" s="28" t="s">
        <v>3283</v>
      </c>
      <c r="D484" s="28" t="s">
        <v>3284</v>
      </c>
      <c r="E484" s="28" t="s">
        <v>3361</v>
      </c>
      <c r="F484" s="28" t="s">
        <v>157</v>
      </c>
      <c r="G484" s="28" t="s">
        <v>3362</v>
      </c>
      <c r="H484" s="28" t="s">
        <v>3363</v>
      </c>
      <c r="I484" s="28" t="s">
        <v>3364</v>
      </c>
      <c r="J484" s="28" t="s">
        <v>161</v>
      </c>
      <c r="K484" s="28" t="s">
        <v>3365</v>
      </c>
      <c r="L484" s="28">
        <v>3</v>
      </c>
      <c r="M484" s="28">
        <v>1</v>
      </c>
      <c r="N484" s="25">
        <f t="shared" si="7"/>
        <v>1.25</v>
      </c>
      <c r="O484" s="28" t="s">
        <v>1906</v>
      </c>
      <c r="P484" s="28" t="s">
        <v>1907</v>
      </c>
      <c r="Q484" s="28" t="s">
        <v>1832</v>
      </c>
      <c r="R484" s="28" t="s">
        <v>1833</v>
      </c>
      <c r="S484" s="28" t="s">
        <v>1833</v>
      </c>
      <c r="T484" s="28" t="s">
        <v>1833</v>
      </c>
      <c r="U484" s="28" t="s">
        <v>1833</v>
      </c>
      <c r="V484" s="28" t="s">
        <v>3366</v>
      </c>
    </row>
    <row r="485" spans="1:22" ht="34.5" customHeight="1" x14ac:dyDescent="0.25">
      <c r="A485" s="26">
        <v>43</v>
      </c>
      <c r="B485" s="27" t="s">
        <v>3282</v>
      </c>
      <c r="C485" s="28" t="s">
        <v>3283</v>
      </c>
      <c r="D485" s="28" t="s">
        <v>3284</v>
      </c>
      <c r="E485" s="28" t="s">
        <v>3367</v>
      </c>
      <c r="F485" s="28" t="s">
        <v>166</v>
      </c>
      <c r="G485" s="28" t="s">
        <v>3368</v>
      </c>
      <c r="H485" s="28" t="s">
        <v>3369</v>
      </c>
      <c r="I485" s="28" t="s">
        <v>3370</v>
      </c>
      <c r="J485" s="28" t="s">
        <v>161</v>
      </c>
      <c r="K485" s="28" t="s">
        <v>3371</v>
      </c>
      <c r="L485" s="28">
        <v>3</v>
      </c>
      <c r="M485" s="28">
        <v>1</v>
      </c>
      <c r="N485" s="25">
        <f t="shared" si="7"/>
        <v>1.25</v>
      </c>
      <c r="O485" s="28" t="s">
        <v>1906</v>
      </c>
      <c r="P485" s="28" t="s">
        <v>1907</v>
      </c>
      <c r="Q485" s="28" t="s">
        <v>1832</v>
      </c>
      <c r="R485" s="28" t="s">
        <v>1833</v>
      </c>
      <c r="S485" s="28" t="s">
        <v>1833</v>
      </c>
      <c r="T485" s="28" t="s">
        <v>1833</v>
      </c>
      <c r="U485" s="28" t="s">
        <v>1833</v>
      </c>
      <c r="V485" s="28" t="s">
        <v>3372</v>
      </c>
    </row>
    <row r="486" spans="1:22" ht="34.5" customHeight="1" x14ac:dyDescent="0.25">
      <c r="A486" s="26">
        <v>43</v>
      </c>
      <c r="B486" s="27" t="s">
        <v>3282</v>
      </c>
      <c r="C486" s="28" t="s">
        <v>3283</v>
      </c>
      <c r="D486" s="28" t="s">
        <v>3284</v>
      </c>
      <c r="E486" s="28" t="s">
        <v>3373</v>
      </c>
      <c r="F486" s="28" t="s">
        <v>1489</v>
      </c>
      <c r="G486" s="28" t="s">
        <v>3374</v>
      </c>
      <c r="H486" s="28" t="s">
        <v>3375</v>
      </c>
      <c r="I486" s="28" t="s">
        <v>3376</v>
      </c>
      <c r="J486" s="28" t="s">
        <v>161</v>
      </c>
      <c r="K486" s="28" t="s">
        <v>3377</v>
      </c>
      <c r="L486" s="28">
        <v>2</v>
      </c>
      <c r="M486" s="28">
        <v>0.75</v>
      </c>
      <c r="N486" s="25">
        <f t="shared" si="7"/>
        <v>1</v>
      </c>
      <c r="O486" s="28" t="s">
        <v>1906</v>
      </c>
      <c r="P486" s="28" t="s">
        <v>1907</v>
      </c>
      <c r="Q486" s="28" t="s">
        <v>1832</v>
      </c>
      <c r="R486" s="28" t="s">
        <v>1833</v>
      </c>
      <c r="S486" s="28" t="s">
        <v>1833</v>
      </c>
      <c r="T486" s="28" t="s">
        <v>1833</v>
      </c>
      <c r="U486" s="28" t="s">
        <v>1833</v>
      </c>
      <c r="V486" s="28" t="s">
        <v>3378</v>
      </c>
    </row>
    <row r="487" spans="1:22" ht="34.5" customHeight="1" x14ac:dyDescent="0.25">
      <c r="A487" s="26">
        <v>44</v>
      </c>
      <c r="B487" s="27" t="s">
        <v>3379</v>
      </c>
      <c r="C487" s="28" t="s">
        <v>3380</v>
      </c>
      <c r="D487" s="28" t="s">
        <v>3379</v>
      </c>
      <c r="E487" s="28" t="s">
        <v>3381</v>
      </c>
      <c r="F487" s="28" t="s">
        <v>26</v>
      </c>
      <c r="G487" s="28" t="s">
        <v>3382</v>
      </c>
      <c r="H487" s="28" t="s">
        <v>3383</v>
      </c>
      <c r="I487" s="28" t="s">
        <v>3384</v>
      </c>
      <c r="J487" s="28" t="s">
        <v>30</v>
      </c>
      <c r="K487" s="28" t="s">
        <v>1142</v>
      </c>
      <c r="L487" s="28">
        <v>4</v>
      </c>
      <c r="M487" s="28">
        <v>1.5</v>
      </c>
      <c r="N487" s="25">
        <f t="shared" si="7"/>
        <v>1.75</v>
      </c>
      <c r="O487" s="28" t="s">
        <v>3385</v>
      </c>
      <c r="P487" s="28" t="s">
        <v>3386</v>
      </c>
      <c r="Q487" s="28" t="s">
        <v>484</v>
      </c>
      <c r="R487" s="28" t="s">
        <v>1026</v>
      </c>
      <c r="S487" s="28" t="s">
        <v>2461</v>
      </c>
      <c r="T487" s="28" t="s">
        <v>3387</v>
      </c>
      <c r="U487" s="28" t="s">
        <v>3388</v>
      </c>
      <c r="V487" s="28" t="s">
        <v>3389</v>
      </c>
    </row>
    <row r="488" spans="1:22" ht="34.5" customHeight="1" x14ac:dyDescent="0.25">
      <c r="A488" s="26">
        <v>44</v>
      </c>
      <c r="B488" s="27" t="s">
        <v>3379</v>
      </c>
      <c r="C488" s="28" t="s">
        <v>3380</v>
      </c>
      <c r="D488" s="28" t="s">
        <v>3379</v>
      </c>
      <c r="E488" s="28" t="s">
        <v>3381</v>
      </c>
      <c r="F488" s="28" t="s">
        <v>38</v>
      </c>
      <c r="G488" s="28" t="s">
        <v>3390</v>
      </c>
      <c r="H488" s="28" t="s">
        <v>3391</v>
      </c>
      <c r="I488" s="28" t="s">
        <v>3392</v>
      </c>
      <c r="J488" s="28" t="s">
        <v>30</v>
      </c>
      <c r="K488" s="28" t="s">
        <v>26</v>
      </c>
      <c r="L488" s="28">
        <v>3</v>
      </c>
      <c r="M488" s="28">
        <v>1</v>
      </c>
      <c r="N488" s="25">
        <f t="shared" si="7"/>
        <v>1.25</v>
      </c>
      <c r="O488" s="28" t="s">
        <v>3393</v>
      </c>
      <c r="P488" s="28" t="s">
        <v>3394</v>
      </c>
      <c r="Q488" s="28" t="s">
        <v>484</v>
      </c>
      <c r="R488" s="28" t="s">
        <v>1026</v>
      </c>
      <c r="S488" s="28" t="s">
        <v>2461</v>
      </c>
      <c r="T488" s="28" t="s">
        <v>3395</v>
      </c>
      <c r="U488" s="28" t="s">
        <v>3396</v>
      </c>
      <c r="V488" s="28" t="s">
        <v>3397</v>
      </c>
    </row>
    <row r="489" spans="1:22" ht="34.5" customHeight="1" x14ac:dyDescent="0.25">
      <c r="A489" s="26">
        <v>44</v>
      </c>
      <c r="B489" s="27" t="s">
        <v>3379</v>
      </c>
      <c r="C489" s="28" t="s">
        <v>3380</v>
      </c>
      <c r="D489" s="28" t="s">
        <v>3379</v>
      </c>
      <c r="E489" s="28" t="s">
        <v>3398</v>
      </c>
      <c r="F489" s="28" t="s">
        <v>46</v>
      </c>
      <c r="G489" s="28" t="s">
        <v>3399</v>
      </c>
      <c r="H489" s="28" t="s">
        <v>3400</v>
      </c>
      <c r="I489" s="28" t="s">
        <v>3401</v>
      </c>
      <c r="J489" s="28" t="s">
        <v>30</v>
      </c>
      <c r="K489" s="28" t="s">
        <v>3402</v>
      </c>
      <c r="L489" s="28">
        <v>3</v>
      </c>
      <c r="M489" s="28">
        <v>1</v>
      </c>
      <c r="N489" s="25">
        <f t="shared" si="7"/>
        <v>1.25</v>
      </c>
      <c r="O489" s="28" t="s">
        <v>3403</v>
      </c>
      <c r="P489" s="28" t="s">
        <v>1802</v>
      </c>
      <c r="Q489" s="28" t="s">
        <v>419</v>
      </c>
      <c r="R489" s="28" t="s">
        <v>1026</v>
      </c>
      <c r="S489" s="28" t="s">
        <v>3404</v>
      </c>
      <c r="T489" s="28" t="s">
        <v>3405</v>
      </c>
      <c r="U489" s="28" t="s">
        <v>3406</v>
      </c>
      <c r="V489" s="28" t="s">
        <v>3407</v>
      </c>
    </row>
    <row r="490" spans="1:22" ht="34.5" customHeight="1" x14ac:dyDescent="0.25">
      <c r="A490" s="26">
        <v>44</v>
      </c>
      <c r="B490" s="27" t="s">
        <v>3379</v>
      </c>
      <c r="C490" s="28" t="s">
        <v>3380</v>
      </c>
      <c r="D490" s="28" t="s">
        <v>3379</v>
      </c>
      <c r="E490" s="28" t="s">
        <v>3408</v>
      </c>
      <c r="F490" s="28" t="s">
        <v>53</v>
      </c>
      <c r="G490" s="28" t="s">
        <v>3409</v>
      </c>
      <c r="H490" s="28" t="s">
        <v>3410</v>
      </c>
      <c r="I490" s="28" t="s">
        <v>3411</v>
      </c>
      <c r="J490" s="28" t="s">
        <v>30</v>
      </c>
      <c r="K490" s="28" t="s">
        <v>3412</v>
      </c>
      <c r="L490" s="28">
        <v>4</v>
      </c>
      <c r="M490" s="28">
        <v>1.5</v>
      </c>
      <c r="N490" s="25">
        <f t="shared" si="7"/>
        <v>1.75</v>
      </c>
      <c r="O490" s="28" t="s">
        <v>3413</v>
      </c>
      <c r="P490" s="28" t="s">
        <v>1802</v>
      </c>
      <c r="Q490" s="28" t="s">
        <v>1832</v>
      </c>
      <c r="R490" s="28" t="s">
        <v>1833</v>
      </c>
      <c r="S490" s="28" t="s">
        <v>1833</v>
      </c>
      <c r="T490" s="28" t="s">
        <v>1833</v>
      </c>
      <c r="U490" s="28" t="s">
        <v>3414</v>
      </c>
      <c r="V490" s="28" t="s">
        <v>3415</v>
      </c>
    </row>
    <row r="491" spans="1:22" ht="34.5" customHeight="1" x14ac:dyDescent="0.25">
      <c r="A491" s="26">
        <v>44</v>
      </c>
      <c r="B491" s="27" t="s">
        <v>3379</v>
      </c>
      <c r="C491" s="28" t="s">
        <v>3380</v>
      </c>
      <c r="D491" s="28" t="s">
        <v>3379</v>
      </c>
      <c r="E491" s="28" t="s">
        <v>3416</v>
      </c>
      <c r="F491" s="28" t="s">
        <v>64</v>
      </c>
      <c r="G491" s="28" t="s">
        <v>3417</v>
      </c>
      <c r="H491" s="28" t="s">
        <v>3418</v>
      </c>
      <c r="I491" s="28" t="s">
        <v>3419</v>
      </c>
      <c r="J491" s="28" t="s">
        <v>30</v>
      </c>
      <c r="K491" s="28" t="s">
        <v>3420</v>
      </c>
      <c r="L491" s="28">
        <v>3</v>
      </c>
      <c r="M491" s="28">
        <v>1</v>
      </c>
      <c r="N491" s="25">
        <f t="shared" si="7"/>
        <v>1.25</v>
      </c>
      <c r="O491" s="28" t="s">
        <v>3403</v>
      </c>
      <c r="P491" s="28" t="s">
        <v>1802</v>
      </c>
      <c r="Q491" s="28" t="s">
        <v>1813</v>
      </c>
      <c r="R491" s="28" t="s">
        <v>1026</v>
      </c>
      <c r="S491" s="28" t="s">
        <v>3421</v>
      </c>
      <c r="T491" s="28" t="s">
        <v>3422</v>
      </c>
      <c r="U491" s="28" t="s">
        <v>3423</v>
      </c>
      <c r="V491" s="28" t="s">
        <v>3424</v>
      </c>
    </row>
    <row r="492" spans="1:22" ht="34.5" customHeight="1" x14ac:dyDescent="0.25">
      <c r="A492" s="26">
        <v>44</v>
      </c>
      <c r="B492" s="27" t="s">
        <v>3379</v>
      </c>
      <c r="C492" s="28" t="s">
        <v>3380</v>
      </c>
      <c r="D492" s="28" t="s">
        <v>3379</v>
      </c>
      <c r="E492" s="28" t="s">
        <v>3416</v>
      </c>
      <c r="F492" s="28" t="s">
        <v>72</v>
      </c>
      <c r="G492" s="28" t="s">
        <v>3425</v>
      </c>
      <c r="H492" s="28" t="s">
        <v>3426</v>
      </c>
      <c r="I492" s="28" t="s">
        <v>3427</v>
      </c>
      <c r="J492" s="28" t="s">
        <v>30</v>
      </c>
      <c r="K492" s="28" t="s">
        <v>64</v>
      </c>
      <c r="L492" s="28">
        <v>3</v>
      </c>
      <c r="M492" s="28">
        <v>1</v>
      </c>
      <c r="N492" s="25">
        <f t="shared" si="7"/>
        <v>1.25</v>
      </c>
      <c r="O492" s="28" t="s">
        <v>1802</v>
      </c>
      <c r="P492" s="28" t="s">
        <v>1802</v>
      </c>
      <c r="Q492" s="28" t="s">
        <v>484</v>
      </c>
      <c r="R492" s="28" t="s">
        <v>1026</v>
      </c>
      <c r="S492" s="28" t="s">
        <v>3428</v>
      </c>
      <c r="T492" s="28" t="s">
        <v>3429</v>
      </c>
      <c r="U492" s="28" t="s">
        <v>3430</v>
      </c>
      <c r="V492" s="28" t="s">
        <v>3431</v>
      </c>
    </row>
    <row r="493" spans="1:22" ht="34.5" customHeight="1" x14ac:dyDescent="0.25">
      <c r="A493" s="26">
        <v>44</v>
      </c>
      <c r="B493" s="27" t="s">
        <v>3379</v>
      </c>
      <c r="C493" s="28" t="s">
        <v>3380</v>
      </c>
      <c r="D493" s="28" t="s">
        <v>3379</v>
      </c>
      <c r="E493" s="28" t="s">
        <v>3432</v>
      </c>
      <c r="F493" s="28" t="s">
        <v>80</v>
      </c>
      <c r="G493" s="28" t="s">
        <v>3433</v>
      </c>
      <c r="H493" s="28" t="s">
        <v>3434</v>
      </c>
      <c r="I493" s="28" t="s">
        <v>3435</v>
      </c>
      <c r="J493" s="28" t="s">
        <v>30</v>
      </c>
      <c r="K493" s="28" t="s">
        <v>64</v>
      </c>
      <c r="L493" s="28">
        <v>3</v>
      </c>
      <c r="M493" s="28">
        <v>1</v>
      </c>
      <c r="N493" s="25">
        <f t="shared" si="7"/>
        <v>1.25</v>
      </c>
      <c r="O493" s="28" t="s">
        <v>3436</v>
      </c>
      <c r="P493" s="28" t="s">
        <v>3437</v>
      </c>
      <c r="Q493" s="28" t="s">
        <v>484</v>
      </c>
      <c r="R493" s="28" t="s">
        <v>1026</v>
      </c>
      <c r="S493" s="28" t="s">
        <v>3428</v>
      </c>
      <c r="T493" s="28" t="s">
        <v>3438</v>
      </c>
      <c r="U493" s="28" t="s">
        <v>3439</v>
      </c>
      <c r="V493" s="28" t="s">
        <v>3440</v>
      </c>
    </row>
    <row r="494" spans="1:22" ht="34.5" customHeight="1" x14ac:dyDescent="0.25">
      <c r="A494" s="26">
        <v>44</v>
      </c>
      <c r="B494" s="27" t="s">
        <v>3379</v>
      </c>
      <c r="C494" s="28" t="s">
        <v>3380</v>
      </c>
      <c r="D494" s="28" t="s">
        <v>3379</v>
      </c>
      <c r="E494" s="28" t="s">
        <v>3441</v>
      </c>
      <c r="F494" s="28" t="s">
        <v>88</v>
      </c>
      <c r="G494" s="28" t="s">
        <v>3442</v>
      </c>
      <c r="H494" s="28" t="s">
        <v>3443</v>
      </c>
      <c r="I494" s="28" t="s">
        <v>3444</v>
      </c>
      <c r="J494" s="28" t="s">
        <v>30</v>
      </c>
      <c r="K494" s="28" t="s">
        <v>80</v>
      </c>
      <c r="L494" s="28">
        <v>3</v>
      </c>
      <c r="M494" s="28">
        <v>1</v>
      </c>
      <c r="N494" s="25">
        <f t="shared" si="7"/>
        <v>1.25</v>
      </c>
      <c r="O494" s="28" t="s">
        <v>1763</v>
      </c>
      <c r="P494" s="28" t="s">
        <v>1763</v>
      </c>
      <c r="Q494" s="28" t="s">
        <v>419</v>
      </c>
      <c r="R494" s="28" t="s">
        <v>1026</v>
      </c>
      <c r="S494" s="28" t="s">
        <v>3428</v>
      </c>
      <c r="T494" s="28" t="s">
        <v>3445</v>
      </c>
      <c r="U494" s="28" t="s">
        <v>3446</v>
      </c>
      <c r="V494" s="28" t="s">
        <v>3447</v>
      </c>
    </row>
    <row r="495" spans="1:22" ht="34.5" customHeight="1" x14ac:dyDescent="0.25">
      <c r="A495" s="26">
        <v>44</v>
      </c>
      <c r="B495" s="27" t="s">
        <v>3379</v>
      </c>
      <c r="C495" s="28" t="s">
        <v>3380</v>
      </c>
      <c r="D495" s="28" t="s">
        <v>3379</v>
      </c>
      <c r="E495" s="28" t="s">
        <v>3448</v>
      </c>
      <c r="F495" s="28" t="s">
        <v>95</v>
      </c>
      <c r="G495" s="28" t="s">
        <v>3449</v>
      </c>
      <c r="H495" s="28" t="s">
        <v>3450</v>
      </c>
      <c r="I495" s="28" t="s">
        <v>3451</v>
      </c>
      <c r="J495" s="28" t="s">
        <v>30</v>
      </c>
      <c r="K495" s="28" t="s">
        <v>80</v>
      </c>
      <c r="L495" s="28">
        <v>3</v>
      </c>
      <c r="M495" s="28">
        <v>1</v>
      </c>
      <c r="N495" s="25">
        <f t="shared" si="7"/>
        <v>1.25</v>
      </c>
      <c r="O495" s="28" t="s">
        <v>3452</v>
      </c>
      <c r="P495" s="28" t="s">
        <v>1802</v>
      </c>
      <c r="Q495" s="28" t="s">
        <v>419</v>
      </c>
      <c r="R495" s="28" t="s">
        <v>1026</v>
      </c>
      <c r="S495" s="28" t="s">
        <v>3428</v>
      </c>
      <c r="T495" s="28" t="s">
        <v>3453</v>
      </c>
      <c r="U495" s="28" t="s">
        <v>3454</v>
      </c>
      <c r="V495" s="28" t="s">
        <v>3455</v>
      </c>
    </row>
    <row r="496" spans="1:22" ht="34.5" customHeight="1" x14ac:dyDescent="0.25">
      <c r="A496" s="26">
        <v>44</v>
      </c>
      <c r="B496" s="27" t="s">
        <v>3379</v>
      </c>
      <c r="C496" s="28" t="s">
        <v>3380</v>
      </c>
      <c r="D496" s="28" t="s">
        <v>3379</v>
      </c>
      <c r="E496" s="28" t="s">
        <v>3456</v>
      </c>
      <c r="F496" s="28" t="s">
        <v>103</v>
      </c>
      <c r="G496" s="28" t="s">
        <v>3457</v>
      </c>
      <c r="H496" s="28" t="s">
        <v>3458</v>
      </c>
      <c r="I496" s="28" t="s">
        <v>3459</v>
      </c>
      <c r="J496" s="28" t="s">
        <v>30</v>
      </c>
      <c r="K496" s="28" t="s">
        <v>53</v>
      </c>
      <c r="L496" s="28">
        <v>4</v>
      </c>
      <c r="M496" s="28">
        <v>1.5</v>
      </c>
      <c r="N496" s="25">
        <f t="shared" si="7"/>
        <v>1.75</v>
      </c>
      <c r="O496" s="28" t="s">
        <v>3460</v>
      </c>
      <c r="P496" s="28" t="s">
        <v>3461</v>
      </c>
      <c r="Q496" s="28" t="s">
        <v>1832</v>
      </c>
      <c r="R496" s="28" t="s">
        <v>1833</v>
      </c>
      <c r="S496" s="28" t="s">
        <v>1833</v>
      </c>
      <c r="T496" s="28" t="s">
        <v>1833</v>
      </c>
      <c r="U496" s="28" t="s">
        <v>3462</v>
      </c>
      <c r="V496" s="28" t="s">
        <v>3463</v>
      </c>
    </row>
    <row r="497" spans="1:22" ht="34.5" customHeight="1" x14ac:dyDescent="0.25">
      <c r="A497" s="26">
        <v>44</v>
      </c>
      <c r="B497" s="27" t="s">
        <v>3379</v>
      </c>
      <c r="C497" s="28" t="s">
        <v>3380</v>
      </c>
      <c r="D497" s="28" t="s">
        <v>3379</v>
      </c>
      <c r="E497" s="28" t="s">
        <v>3464</v>
      </c>
      <c r="F497" s="28" t="s">
        <v>112</v>
      </c>
      <c r="G497" s="28" t="s">
        <v>3465</v>
      </c>
      <c r="H497" s="28" t="s">
        <v>3466</v>
      </c>
      <c r="I497" s="28" t="s">
        <v>3467</v>
      </c>
      <c r="J497" s="28" t="s">
        <v>116</v>
      </c>
      <c r="K497" s="28" t="s">
        <v>3468</v>
      </c>
      <c r="L497" s="28">
        <v>1</v>
      </c>
      <c r="M497" s="28">
        <v>0.5</v>
      </c>
      <c r="N497" s="25">
        <f t="shared" si="7"/>
        <v>0.5</v>
      </c>
      <c r="O497" s="28" t="s">
        <v>1831</v>
      </c>
      <c r="P497" s="28" t="s">
        <v>1831</v>
      </c>
      <c r="Q497" s="28" t="s">
        <v>1832</v>
      </c>
      <c r="R497" s="28" t="s">
        <v>1833</v>
      </c>
      <c r="S497" s="28" t="s">
        <v>1833</v>
      </c>
      <c r="T497" s="28" t="s">
        <v>1833</v>
      </c>
      <c r="U497" s="28" t="s">
        <v>1833</v>
      </c>
      <c r="V497" s="28" t="s">
        <v>3469</v>
      </c>
    </row>
    <row r="498" spans="1:22" ht="34.5" customHeight="1" x14ac:dyDescent="0.25">
      <c r="A498" s="26">
        <v>44</v>
      </c>
      <c r="B498" s="27" t="s">
        <v>3379</v>
      </c>
      <c r="C498" s="28" t="s">
        <v>3380</v>
      </c>
      <c r="D498" s="28" t="s">
        <v>3379</v>
      </c>
      <c r="E498" s="28" t="s">
        <v>3470</v>
      </c>
      <c r="F498" s="28" t="s">
        <v>120</v>
      </c>
      <c r="G498" s="28" t="s">
        <v>3471</v>
      </c>
      <c r="H498" s="28" t="s">
        <v>3472</v>
      </c>
      <c r="I498" s="28" t="s">
        <v>3473</v>
      </c>
      <c r="J498" s="28" t="s">
        <v>116</v>
      </c>
      <c r="K498" s="28" t="s">
        <v>3474</v>
      </c>
      <c r="L498" s="28">
        <v>4</v>
      </c>
      <c r="M498" s="28">
        <v>1.5</v>
      </c>
      <c r="N498" s="25">
        <f t="shared" si="7"/>
        <v>1.75</v>
      </c>
      <c r="O498" s="28" t="s">
        <v>1831</v>
      </c>
      <c r="P498" s="28" t="s">
        <v>1831</v>
      </c>
      <c r="Q498" s="28" t="s">
        <v>1832</v>
      </c>
      <c r="R498" s="28" t="s">
        <v>1833</v>
      </c>
      <c r="S498" s="28" t="s">
        <v>1833</v>
      </c>
      <c r="T498" s="28" t="s">
        <v>1833</v>
      </c>
      <c r="U498" s="28" t="s">
        <v>1833</v>
      </c>
      <c r="V498" s="28" t="s">
        <v>3475</v>
      </c>
    </row>
    <row r="499" spans="1:22" ht="34.5" customHeight="1" x14ac:dyDescent="0.25">
      <c r="A499" s="26">
        <v>44</v>
      </c>
      <c r="B499" s="27" t="s">
        <v>3379</v>
      </c>
      <c r="C499" s="28" t="s">
        <v>3380</v>
      </c>
      <c r="D499" s="28" t="s">
        <v>3379</v>
      </c>
      <c r="E499" s="28" t="s">
        <v>3476</v>
      </c>
      <c r="F499" s="28" t="s">
        <v>157</v>
      </c>
      <c r="G499" s="28" t="s">
        <v>3477</v>
      </c>
      <c r="H499" s="28" t="s">
        <v>3478</v>
      </c>
      <c r="I499" s="28" t="s">
        <v>3479</v>
      </c>
      <c r="J499" s="28" t="s">
        <v>161</v>
      </c>
      <c r="K499" s="28" t="s">
        <v>2032</v>
      </c>
      <c r="L499" s="28">
        <v>2</v>
      </c>
      <c r="M499" s="28">
        <v>0.75</v>
      </c>
      <c r="N499" s="25">
        <f t="shared" si="7"/>
        <v>1</v>
      </c>
      <c r="O499" s="28" t="s">
        <v>3480</v>
      </c>
      <c r="P499" s="28" t="s">
        <v>3481</v>
      </c>
      <c r="Q499" s="28" t="s">
        <v>1832</v>
      </c>
      <c r="R499" s="28" t="s">
        <v>1833</v>
      </c>
      <c r="S499" s="28" t="s">
        <v>1833</v>
      </c>
      <c r="T499" s="28" t="s">
        <v>1833</v>
      </c>
      <c r="U499" s="28" t="s">
        <v>1833</v>
      </c>
      <c r="V499" s="28" t="s">
        <v>3482</v>
      </c>
    </row>
    <row r="500" spans="1:22" ht="34.5" customHeight="1" x14ac:dyDescent="0.25">
      <c r="A500" s="26">
        <v>44</v>
      </c>
      <c r="B500" s="27" t="s">
        <v>3379</v>
      </c>
      <c r="C500" s="28" t="s">
        <v>3380</v>
      </c>
      <c r="D500" s="28" t="s">
        <v>3379</v>
      </c>
      <c r="E500" s="28" t="s">
        <v>3483</v>
      </c>
      <c r="F500" s="28" t="s">
        <v>166</v>
      </c>
      <c r="G500" s="28" t="s">
        <v>3484</v>
      </c>
      <c r="H500" s="28" t="s">
        <v>3485</v>
      </c>
      <c r="I500" s="28" t="s">
        <v>3486</v>
      </c>
      <c r="J500" s="28" t="s">
        <v>161</v>
      </c>
      <c r="K500" s="28" t="s">
        <v>3487</v>
      </c>
      <c r="L500" s="28">
        <v>2</v>
      </c>
      <c r="M500" s="28">
        <v>0.75</v>
      </c>
      <c r="N500" s="25">
        <f t="shared" si="7"/>
        <v>1</v>
      </c>
      <c r="O500" s="28" t="s">
        <v>1906</v>
      </c>
      <c r="P500" s="28" t="s">
        <v>1907</v>
      </c>
      <c r="Q500" s="28" t="s">
        <v>1832</v>
      </c>
      <c r="R500" s="28" t="s">
        <v>1833</v>
      </c>
      <c r="S500" s="28" t="s">
        <v>1833</v>
      </c>
      <c r="T500" s="28" t="s">
        <v>1833</v>
      </c>
      <c r="U500" s="28" t="s">
        <v>1833</v>
      </c>
      <c r="V500" s="28" t="s">
        <v>3488</v>
      </c>
    </row>
    <row r="501" spans="1:22" ht="34.5" customHeight="1" x14ac:dyDescent="0.25">
      <c r="A501" s="26">
        <v>44</v>
      </c>
      <c r="B501" s="27" t="s">
        <v>3379</v>
      </c>
      <c r="C501" s="28" t="s">
        <v>3380</v>
      </c>
      <c r="D501" s="28" t="s">
        <v>3379</v>
      </c>
      <c r="E501" s="28" t="s">
        <v>3489</v>
      </c>
      <c r="F501" s="28" t="s">
        <v>1489</v>
      </c>
      <c r="G501" s="28" t="s">
        <v>3490</v>
      </c>
      <c r="H501" s="28" t="s">
        <v>3491</v>
      </c>
      <c r="I501" s="28" t="s">
        <v>3492</v>
      </c>
      <c r="J501" s="28" t="s">
        <v>161</v>
      </c>
      <c r="K501" s="28" t="s">
        <v>3493</v>
      </c>
      <c r="L501" s="28">
        <v>4</v>
      </c>
      <c r="M501" s="28">
        <v>1.5</v>
      </c>
      <c r="N501" s="25">
        <f t="shared" si="7"/>
        <v>1.75</v>
      </c>
      <c r="O501" s="28" t="s">
        <v>3494</v>
      </c>
      <c r="P501" s="28" t="s">
        <v>1907</v>
      </c>
      <c r="Q501" s="28" t="s">
        <v>1832</v>
      </c>
      <c r="R501" s="28" t="s">
        <v>1833</v>
      </c>
      <c r="S501" s="28" t="s">
        <v>1833</v>
      </c>
      <c r="T501" s="28" t="s">
        <v>1833</v>
      </c>
      <c r="U501" s="28" t="s">
        <v>1833</v>
      </c>
      <c r="V501" s="28" t="s">
        <v>3495</v>
      </c>
    </row>
    <row r="502" spans="1:22" ht="34.5" customHeight="1" x14ac:dyDescent="0.25">
      <c r="A502" s="26">
        <v>44</v>
      </c>
      <c r="B502" s="27" t="s">
        <v>3379</v>
      </c>
      <c r="C502" s="28" t="s">
        <v>3380</v>
      </c>
      <c r="D502" s="28" t="s">
        <v>3379</v>
      </c>
      <c r="E502" s="28" t="s">
        <v>3496</v>
      </c>
      <c r="F502" s="28" t="s">
        <v>1496</v>
      </c>
      <c r="G502" s="28" t="s">
        <v>3497</v>
      </c>
      <c r="H502" s="28" t="s">
        <v>3498</v>
      </c>
      <c r="I502" s="28" t="s">
        <v>3499</v>
      </c>
      <c r="J502" s="28" t="s">
        <v>161</v>
      </c>
      <c r="K502" s="28" t="s">
        <v>3500</v>
      </c>
      <c r="L502" s="28">
        <v>3</v>
      </c>
      <c r="M502" s="28">
        <v>1</v>
      </c>
      <c r="N502" s="25">
        <f t="shared" si="7"/>
        <v>1.25</v>
      </c>
      <c r="O502" s="28" t="s">
        <v>1906</v>
      </c>
      <c r="P502" s="28" t="s">
        <v>1907</v>
      </c>
      <c r="Q502" s="28" t="s">
        <v>1832</v>
      </c>
      <c r="R502" s="28" t="s">
        <v>1833</v>
      </c>
      <c r="S502" s="28" t="s">
        <v>1833</v>
      </c>
      <c r="T502" s="28" t="s">
        <v>1833</v>
      </c>
      <c r="U502" s="28" t="s">
        <v>1833</v>
      </c>
      <c r="V502" s="28" t="s">
        <v>3501</v>
      </c>
    </row>
    <row r="503" spans="1:22" ht="34.5" customHeight="1" x14ac:dyDescent="0.25">
      <c r="A503" s="26">
        <v>45</v>
      </c>
      <c r="B503" s="27" t="s">
        <v>3502</v>
      </c>
      <c r="C503" s="28" t="s">
        <v>3503</v>
      </c>
      <c r="D503" s="28" t="s">
        <v>3504</v>
      </c>
      <c r="E503" s="28" t="s">
        <v>3505</v>
      </c>
      <c r="F503" s="28" t="s">
        <v>26</v>
      </c>
      <c r="G503" s="28" t="s">
        <v>3506</v>
      </c>
      <c r="H503" s="28" t="s">
        <v>3507</v>
      </c>
      <c r="I503" s="28" t="s">
        <v>3508</v>
      </c>
      <c r="J503" s="28" t="s">
        <v>30</v>
      </c>
      <c r="K503" s="28" t="s">
        <v>1833</v>
      </c>
      <c r="L503" s="28">
        <v>8</v>
      </c>
      <c r="M503" s="28">
        <v>2.5</v>
      </c>
      <c r="N503" s="25">
        <f t="shared" si="7"/>
        <v>3</v>
      </c>
      <c r="O503" s="28" t="s">
        <v>3509</v>
      </c>
      <c r="P503" s="28" t="s">
        <v>3510</v>
      </c>
      <c r="Q503" s="28" t="s">
        <v>1832</v>
      </c>
      <c r="R503" s="28" t="s">
        <v>3511</v>
      </c>
      <c r="S503" s="28" t="s">
        <v>3512</v>
      </c>
      <c r="T503" s="28" t="s">
        <v>3513</v>
      </c>
      <c r="U503" s="28" t="s">
        <v>3514</v>
      </c>
      <c r="V503" s="28"/>
    </row>
    <row r="504" spans="1:22" ht="34.5" customHeight="1" x14ac:dyDescent="0.25">
      <c r="A504" s="26">
        <v>45</v>
      </c>
      <c r="B504" s="27" t="s">
        <v>3502</v>
      </c>
      <c r="C504" s="28" t="s">
        <v>3503</v>
      </c>
      <c r="D504" s="28" t="s">
        <v>3504</v>
      </c>
      <c r="E504" s="28" t="s">
        <v>3515</v>
      </c>
      <c r="F504" s="28" t="s">
        <v>38</v>
      </c>
      <c r="G504" s="28" t="s">
        <v>3516</v>
      </c>
      <c r="H504" s="28" t="s">
        <v>3517</v>
      </c>
      <c r="I504" s="28" t="s">
        <v>3518</v>
      </c>
      <c r="J504" s="28" t="s">
        <v>30</v>
      </c>
      <c r="K504" s="28" t="s">
        <v>1833</v>
      </c>
      <c r="L504" s="28">
        <v>6</v>
      </c>
      <c r="M504" s="28">
        <v>2</v>
      </c>
      <c r="N504" s="25">
        <f t="shared" si="7"/>
        <v>2.5</v>
      </c>
      <c r="O504" s="28" t="s">
        <v>3519</v>
      </c>
      <c r="P504" s="28" t="s">
        <v>3520</v>
      </c>
      <c r="Q504" s="28" t="s">
        <v>1832</v>
      </c>
      <c r="R504" s="28" t="s">
        <v>3511</v>
      </c>
      <c r="S504" s="28" t="s">
        <v>3512</v>
      </c>
      <c r="T504" s="28" t="s">
        <v>3521</v>
      </c>
      <c r="U504" s="28" t="s">
        <v>3522</v>
      </c>
      <c r="V504" s="28"/>
    </row>
    <row r="505" spans="1:22" ht="34.5" customHeight="1" x14ac:dyDescent="0.25">
      <c r="A505" s="26">
        <v>45</v>
      </c>
      <c r="B505" s="27" t="s">
        <v>3502</v>
      </c>
      <c r="C505" s="28" t="s">
        <v>3503</v>
      </c>
      <c r="D505" s="28" t="s">
        <v>3504</v>
      </c>
      <c r="E505" s="28" t="s">
        <v>3523</v>
      </c>
      <c r="F505" s="28" t="s">
        <v>46</v>
      </c>
      <c r="G505" s="28" t="s">
        <v>3524</v>
      </c>
      <c r="H505" s="28" t="s">
        <v>3525</v>
      </c>
      <c r="I505" s="28" t="s">
        <v>3526</v>
      </c>
      <c r="J505" s="28" t="s">
        <v>30</v>
      </c>
      <c r="K505" s="28" t="s">
        <v>1833</v>
      </c>
      <c r="L505" s="28">
        <v>5</v>
      </c>
      <c r="M505" s="28">
        <v>1.5</v>
      </c>
      <c r="N505" s="25">
        <f t="shared" si="7"/>
        <v>1.75</v>
      </c>
      <c r="O505" s="28" t="s">
        <v>3527</v>
      </c>
      <c r="P505" s="28" t="s">
        <v>3528</v>
      </c>
      <c r="Q505" s="28" t="s">
        <v>1832</v>
      </c>
      <c r="R505" s="28" t="s">
        <v>3512</v>
      </c>
      <c r="S505" s="28" t="s">
        <v>3512</v>
      </c>
      <c r="T505" s="28" t="s">
        <v>3521</v>
      </c>
      <c r="U505" s="28" t="s">
        <v>3522</v>
      </c>
      <c r="V505" s="28"/>
    </row>
    <row r="506" spans="1:22" ht="34.5" customHeight="1" x14ac:dyDescent="0.25">
      <c r="A506" s="26">
        <v>45</v>
      </c>
      <c r="B506" s="27" t="s">
        <v>3502</v>
      </c>
      <c r="C506" s="28" t="s">
        <v>3503</v>
      </c>
      <c r="D506" s="28" t="s">
        <v>3504</v>
      </c>
      <c r="E506" s="28" t="s">
        <v>3529</v>
      </c>
      <c r="F506" s="28" t="s">
        <v>53</v>
      </c>
      <c r="G506" s="28" t="s">
        <v>3530</v>
      </c>
      <c r="H506" s="28" t="s">
        <v>3531</v>
      </c>
      <c r="I506" s="28" t="s">
        <v>3532</v>
      </c>
      <c r="J506" s="28" t="s">
        <v>30</v>
      </c>
      <c r="K506" s="28" t="s">
        <v>1833</v>
      </c>
      <c r="L506" s="28">
        <v>6</v>
      </c>
      <c r="M506" s="28">
        <v>2</v>
      </c>
      <c r="N506" s="25">
        <f t="shared" si="7"/>
        <v>2.5</v>
      </c>
      <c r="O506" s="28" t="s">
        <v>3533</v>
      </c>
      <c r="P506" s="28" t="s">
        <v>3534</v>
      </c>
      <c r="Q506" s="28" t="s">
        <v>1832</v>
      </c>
      <c r="R506" s="28" t="s">
        <v>3512</v>
      </c>
      <c r="S506" s="28" t="s">
        <v>3512</v>
      </c>
      <c r="T506" s="28" t="s">
        <v>3521</v>
      </c>
      <c r="U506" s="28" t="s">
        <v>3522</v>
      </c>
      <c r="V506" s="28"/>
    </row>
    <row r="507" spans="1:22" ht="34.5" customHeight="1" x14ac:dyDescent="0.25">
      <c r="A507" s="26">
        <v>45</v>
      </c>
      <c r="B507" s="27" t="s">
        <v>3502</v>
      </c>
      <c r="C507" s="28" t="s">
        <v>3503</v>
      </c>
      <c r="D507" s="28" t="s">
        <v>3504</v>
      </c>
      <c r="E507" s="28" t="s">
        <v>3535</v>
      </c>
      <c r="F507" s="28" t="s">
        <v>64</v>
      </c>
      <c r="G507" s="28" t="s">
        <v>3536</v>
      </c>
      <c r="H507" s="28" t="s">
        <v>3537</v>
      </c>
      <c r="I507" s="28" t="s">
        <v>3538</v>
      </c>
      <c r="J507" s="28" t="s">
        <v>30</v>
      </c>
      <c r="K507" s="28" t="s">
        <v>1833</v>
      </c>
      <c r="L507" s="28">
        <v>5</v>
      </c>
      <c r="M507" s="28">
        <v>1.5</v>
      </c>
      <c r="N507" s="25">
        <f t="shared" si="7"/>
        <v>1.75</v>
      </c>
      <c r="O507" s="28" t="s">
        <v>3539</v>
      </c>
      <c r="P507" s="28" t="s">
        <v>3540</v>
      </c>
      <c r="Q507" s="28" t="s">
        <v>484</v>
      </c>
      <c r="R507" s="28" t="s">
        <v>3541</v>
      </c>
      <c r="S507" s="28" t="s">
        <v>3542</v>
      </c>
      <c r="T507" s="28" t="s">
        <v>3543</v>
      </c>
      <c r="U507" s="28" t="s">
        <v>3544</v>
      </c>
      <c r="V507" s="28"/>
    </row>
    <row r="508" spans="1:22" ht="34.5" customHeight="1" x14ac:dyDescent="0.25">
      <c r="A508" s="26">
        <v>45</v>
      </c>
      <c r="B508" s="27" t="s">
        <v>3502</v>
      </c>
      <c r="C508" s="28" t="s">
        <v>3503</v>
      </c>
      <c r="D508" s="28" t="s">
        <v>3504</v>
      </c>
      <c r="E508" s="28" t="s">
        <v>3545</v>
      </c>
      <c r="F508" s="28" t="s">
        <v>72</v>
      </c>
      <c r="G508" s="28" t="s">
        <v>3546</v>
      </c>
      <c r="H508" s="28" t="s">
        <v>3547</v>
      </c>
      <c r="I508" s="28" t="s">
        <v>3548</v>
      </c>
      <c r="J508" s="28" t="s">
        <v>30</v>
      </c>
      <c r="K508" s="28" t="s">
        <v>3549</v>
      </c>
      <c r="L508" s="28">
        <v>4</v>
      </c>
      <c r="M508" s="28">
        <v>1</v>
      </c>
      <c r="N508" s="25">
        <f t="shared" si="7"/>
        <v>1.25</v>
      </c>
      <c r="O508" s="28" t="s">
        <v>3550</v>
      </c>
      <c r="P508" s="28" t="s">
        <v>3551</v>
      </c>
      <c r="Q508" s="28" t="s">
        <v>484</v>
      </c>
      <c r="R508" s="28" t="s">
        <v>3552</v>
      </c>
      <c r="S508" s="28" t="s">
        <v>3553</v>
      </c>
      <c r="T508" s="28" t="s">
        <v>3554</v>
      </c>
      <c r="U508" s="28" t="s">
        <v>3555</v>
      </c>
      <c r="V508" s="28"/>
    </row>
    <row r="509" spans="1:22" ht="34.5" customHeight="1" x14ac:dyDescent="0.25">
      <c r="A509" s="26">
        <v>45</v>
      </c>
      <c r="B509" s="27" t="s">
        <v>3502</v>
      </c>
      <c r="C509" s="28" t="s">
        <v>3503</v>
      </c>
      <c r="D509" s="28" t="s">
        <v>3504</v>
      </c>
      <c r="E509" s="28" t="s">
        <v>3556</v>
      </c>
      <c r="F509" s="28" t="s">
        <v>80</v>
      </c>
      <c r="G509" s="28" t="s">
        <v>3557</v>
      </c>
      <c r="H509" s="28" t="s">
        <v>3558</v>
      </c>
      <c r="I509" s="28" t="s">
        <v>3559</v>
      </c>
      <c r="J509" s="28" t="s">
        <v>30</v>
      </c>
      <c r="K509" s="28" t="s">
        <v>3560</v>
      </c>
      <c r="L509" s="28">
        <v>5</v>
      </c>
      <c r="M509" s="28">
        <v>1.5</v>
      </c>
      <c r="N509" s="25">
        <f t="shared" si="7"/>
        <v>1.75</v>
      </c>
      <c r="O509" s="28" t="s">
        <v>3561</v>
      </c>
      <c r="P509" s="28" t="s">
        <v>3562</v>
      </c>
      <c r="Q509" s="28" t="s">
        <v>484</v>
      </c>
      <c r="R509" s="28" t="s">
        <v>3563</v>
      </c>
      <c r="S509" s="28" t="s">
        <v>3564</v>
      </c>
      <c r="T509" s="28" t="s">
        <v>3565</v>
      </c>
      <c r="U509" s="28" t="s">
        <v>3566</v>
      </c>
      <c r="V509" s="28"/>
    </row>
    <row r="510" spans="1:22" ht="34.5" customHeight="1" x14ac:dyDescent="0.25">
      <c r="A510" s="26">
        <v>45</v>
      </c>
      <c r="B510" s="27" t="s">
        <v>3502</v>
      </c>
      <c r="C510" s="28" t="s">
        <v>3503</v>
      </c>
      <c r="D510" s="28" t="s">
        <v>3504</v>
      </c>
      <c r="E510" s="28" t="s">
        <v>3567</v>
      </c>
      <c r="F510" s="28" t="s">
        <v>88</v>
      </c>
      <c r="G510" s="28" t="s">
        <v>3568</v>
      </c>
      <c r="H510" s="28" t="s">
        <v>3569</v>
      </c>
      <c r="I510" s="28" t="s">
        <v>3570</v>
      </c>
      <c r="J510" s="28" t="s">
        <v>30</v>
      </c>
      <c r="K510" s="28" t="s">
        <v>3571</v>
      </c>
      <c r="L510" s="28">
        <v>4</v>
      </c>
      <c r="M510" s="28">
        <v>1</v>
      </c>
      <c r="N510" s="25">
        <f t="shared" si="7"/>
        <v>1.25</v>
      </c>
      <c r="O510" s="28" t="s">
        <v>3572</v>
      </c>
      <c r="P510" s="28" t="s">
        <v>3573</v>
      </c>
      <c r="Q510" s="28" t="s">
        <v>484</v>
      </c>
      <c r="R510" s="28" t="s">
        <v>3552</v>
      </c>
      <c r="S510" s="28" t="s">
        <v>3574</v>
      </c>
      <c r="T510" s="28" t="s">
        <v>3575</v>
      </c>
      <c r="U510" s="28" t="s">
        <v>3555</v>
      </c>
      <c r="V510" s="28"/>
    </row>
    <row r="511" spans="1:22" ht="34.5" customHeight="1" x14ac:dyDescent="0.25">
      <c r="A511" s="26">
        <v>45</v>
      </c>
      <c r="B511" s="27" t="s">
        <v>3502</v>
      </c>
      <c r="C511" s="28" t="s">
        <v>3503</v>
      </c>
      <c r="D511" s="28" t="s">
        <v>3504</v>
      </c>
      <c r="E511" s="28" t="s">
        <v>3576</v>
      </c>
      <c r="F511" s="28" t="s">
        <v>95</v>
      </c>
      <c r="G511" s="28" t="s">
        <v>3577</v>
      </c>
      <c r="H511" s="28" t="s">
        <v>3578</v>
      </c>
      <c r="I511" s="28" t="s">
        <v>3579</v>
      </c>
      <c r="J511" s="28" t="s">
        <v>30</v>
      </c>
      <c r="K511" s="28" t="s">
        <v>3580</v>
      </c>
      <c r="L511" s="28">
        <v>6</v>
      </c>
      <c r="M511" s="28">
        <v>2</v>
      </c>
      <c r="N511" s="25">
        <f t="shared" si="7"/>
        <v>2.5</v>
      </c>
      <c r="O511" s="28" t="s">
        <v>3581</v>
      </c>
      <c r="P511" s="28" t="s">
        <v>3582</v>
      </c>
      <c r="Q511" s="28" t="s">
        <v>484</v>
      </c>
      <c r="R511" s="28" t="s">
        <v>3552</v>
      </c>
      <c r="S511" s="28" t="s">
        <v>3583</v>
      </c>
      <c r="T511" s="28" t="s">
        <v>3584</v>
      </c>
      <c r="U511" s="28" t="s">
        <v>3555</v>
      </c>
      <c r="V511" s="28"/>
    </row>
    <row r="512" spans="1:22" ht="34.5" customHeight="1" x14ac:dyDescent="0.25">
      <c r="A512" s="26">
        <v>45</v>
      </c>
      <c r="B512" s="27" t="s">
        <v>3502</v>
      </c>
      <c r="C512" s="28" t="s">
        <v>3503</v>
      </c>
      <c r="D512" s="28" t="s">
        <v>3504</v>
      </c>
      <c r="E512" s="28" t="s">
        <v>3585</v>
      </c>
      <c r="F512" s="28" t="s">
        <v>103</v>
      </c>
      <c r="G512" s="28" t="s">
        <v>3586</v>
      </c>
      <c r="H512" s="28" t="s">
        <v>3587</v>
      </c>
      <c r="I512" s="28" t="s">
        <v>3588</v>
      </c>
      <c r="J512" s="28" t="s">
        <v>30</v>
      </c>
      <c r="K512" s="28" t="s">
        <v>3589</v>
      </c>
      <c r="L512" s="28">
        <v>5</v>
      </c>
      <c r="M512" s="28">
        <v>2</v>
      </c>
      <c r="N512" s="25">
        <f t="shared" si="7"/>
        <v>2.5</v>
      </c>
      <c r="O512" s="28" t="s">
        <v>3590</v>
      </c>
      <c r="P512" s="28" t="s">
        <v>3591</v>
      </c>
      <c r="Q512" s="28" t="s">
        <v>1832</v>
      </c>
      <c r="R512" s="28" t="s">
        <v>3592</v>
      </c>
      <c r="S512" s="28" t="s">
        <v>3593</v>
      </c>
      <c r="T512" s="28" t="s">
        <v>3594</v>
      </c>
      <c r="U512" s="28" t="s">
        <v>3595</v>
      </c>
      <c r="V512" s="28"/>
    </row>
    <row r="513" spans="1:22" ht="34.5" customHeight="1" x14ac:dyDescent="0.25">
      <c r="A513" s="26">
        <v>45</v>
      </c>
      <c r="B513" s="27" t="s">
        <v>3502</v>
      </c>
      <c r="C513" s="28" t="s">
        <v>3503</v>
      </c>
      <c r="D513" s="28" t="s">
        <v>3504</v>
      </c>
      <c r="E513" s="28" t="s">
        <v>3596</v>
      </c>
      <c r="F513" s="28" t="s">
        <v>1240</v>
      </c>
      <c r="G513" s="28" t="s">
        <v>3597</v>
      </c>
      <c r="H513" s="28" t="s">
        <v>3598</v>
      </c>
      <c r="I513" s="28" t="s">
        <v>3599</v>
      </c>
      <c r="J513" s="28" t="s">
        <v>30</v>
      </c>
      <c r="K513" s="28" t="s">
        <v>3600</v>
      </c>
      <c r="L513" s="28">
        <v>4</v>
      </c>
      <c r="M513" s="28">
        <v>1</v>
      </c>
      <c r="N513" s="25">
        <f t="shared" si="7"/>
        <v>1.25</v>
      </c>
      <c r="O513" s="28" t="s">
        <v>3601</v>
      </c>
      <c r="P513" s="28" t="s">
        <v>3602</v>
      </c>
      <c r="Q513" s="28" t="s">
        <v>419</v>
      </c>
      <c r="R513" s="28" t="s">
        <v>1026</v>
      </c>
      <c r="S513" s="28" t="s">
        <v>3603</v>
      </c>
      <c r="T513" s="28" t="s">
        <v>3604</v>
      </c>
      <c r="U513" s="28" t="s">
        <v>3605</v>
      </c>
      <c r="V513" s="28"/>
    </row>
    <row r="514" spans="1:22" ht="34.5" customHeight="1" x14ac:dyDescent="0.25">
      <c r="A514" s="26">
        <v>45</v>
      </c>
      <c r="B514" s="27" t="s">
        <v>3502</v>
      </c>
      <c r="C514" s="28" t="s">
        <v>3503</v>
      </c>
      <c r="D514" s="28" t="s">
        <v>3504</v>
      </c>
      <c r="E514" s="28" t="s">
        <v>3606</v>
      </c>
      <c r="F514" s="28" t="s">
        <v>157</v>
      </c>
      <c r="G514" s="28" t="s">
        <v>3607</v>
      </c>
      <c r="H514" s="28" t="s">
        <v>3608</v>
      </c>
      <c r="I514" s="28" t="s">
        <v>3609</v>
      </c>
      <c r="J514" s="28" t="s">
        <v>161</v>
      </c>
      <c r="K514" s="28" t="s">
        <v>1833</v>
      </c>
      <c r="L514" s="28">
        <v>4</v>
      </c>
      <c r="M514" s="28">
        <v>1</v>
      </c>
      <c r="N514" s="25">
        <f t="shared" ref="N514:N577" si="8">MAX(ROUND(M514*1.2/0.25,0)*0.25,0.25)</f>
        <v>1.25</v>
      </c>
      <c r="O514" s="28" t="s">
        <v>3610</v>
      </c>
      <c r="P514" s="28" t="s">
        <v>3611</v>
      </c>
      <c r="Q514" s="28" t="s">
        <v>419</v>
      </c>
      <c r="R514" s="28" t="s">
        <v>3552</v>
      </c>
      <c r="S514" s="28" t="s">
        <v>3612</v>
      </c>
      <c r="T514" s="28" t="s">
        <v>3613</v>
      </c>
      <c r="U514" s="28" t="s">
        <v>3614</v>
      </c>
      <c r="V514" s="28"/>
    </row>
    <row r="515" spans="1:22" ht="34.5" customHeight="1" x14ac:dyDescent="0.25">
      <c r="A515" s="26">
        <v>45</v>
      </c>
      <c r="B515" s="27" t="s">
        <v>3502</v>
      </c>
      <c r="C515" s="28" t="s">
        <v>3503</v>
      </c>
      <c r="D515" s="28" t="s">
        <v>3504</v>
      </c>
      <c r="E515" s="28" t="s">
        <v>3615</v>
      </c>
      <c r="F515" s="28" t="s">
        <v>166</v>
      </c>
      <c r="G515" s="28" t="s">
        <v>3616</v>
      </c>
      <c r="H515" s="28" t="s">
        <v>3617</v>
      </c>
      <c r="I515" s="28" t="s">
        <v>3618</v>
      </c>
      <c r="J515" s="28" t="s">
        <v>161</v>
      </c>
      <c r="K515" s="28" t="s">
        <v>1833</v>
      </c>
      <c r="L515" s="28">
        <v>3</v>
      </c>
      <c r="M515" s="28">
        <v>1</v>
      </c>
      <c r="N515" s="25">
        <f t="shared" si="8"/>
        <v>1.25</v>
      </c>
      <c r="O515" s="28" t="s">
        <v>3619</v>
      </c>
      <c r="P515" s="28" t="s">
        <v>3620</v>
      </c>
      <c r="Q515" s="28" t="s">
        <v>419</v>
      </c>
      <c r="R515" s="28" t="s">
        <v>3552</v>
      </c>
      <c r="S515" s="28" t="s">
        <v>3612</v>
      </c>
      <c r="T515" s="28" t="s">
        <v>3613</v>
      </c>
      <c r="U515" s="28" t="s">
        <v>3614</v>
      </c>
      <c r="V515" s="28"/>
    </row>
    <row r="516" spans="1:22" ht="34.5" customHeight="1" x14ac:dyDescent="0.25">
      <c r="A516" s="26">
        <v>45</v>
      </c>
      <c r="B516" s="27" t="s">
        <v>3502</v>
      </c>
      <c r="C516" s="28" t="s">
        <v>3503</v>
      </c>
      <c r="D516" s="28" t="s">
        <v>3504</v>
      </c>
      <c r="E516" s="28" t="s">
        <v>3621</v>
      </c>
      <c r="F516" s="28" t="s">
        <v>1489</v>
      </c>
      <c r="G516" s="28" t="s">
        <v>3622</v>
      </c>
      <c r="H516" s="28" t="s">
        <v>3623</v>
      </c>
      <c r="I516" s="28" t="s">
        <v>3624</v>
      </c>
      <c r="J516" s="28" t="s">
        <v>161</v>
      </c>
      <c r="K516" s="28" t="s">
        <v>1833</v>
      </c>
      <c r="L516" s="28">
        <v>2</v>
      </c>
      <c r="M516" s="28">
        <v>0.5</v>
      </c>
      <c r="N516" s="25">
        <f t="shared" si="8"/>
        <v>0.5</v>
      </c>
      <c r="O516" s="28" t="s">
        <v>3625</v>
      </c>
      <c r="P516" s="28" t="s">
        <v>3626</v>
      </c>
      <c r="Q516" s="28" t="s">
        <v>419</v>
      </c>
      <c r="R516" s="28" t="s">
        <v>3552</v>
      </c>
      <c r="S516" s="28" t="s">
        <v>3627</v>
      </c>
      <c r="T516" s="28" t="s">
        <v>3628</v>
      </c>
      <c r="U516" s="28" t="s">
        <v>3629</v>
      </c>
      <c r="V516" s="28"/>
    </row>
    <row r="517" spans="1:22" ht="34.5" customHeight="1" x14ac:dyDescent="0.25">
      <c r="A517" s="26">
        <v>46</v>
      </c>
      <c r="B517" s="27" t="s">
        <v>3630</v>
      </c>
      <c r="C517" s="28" t="s">
        <v>3631</v>
      </c>
      <c r="D517" s="28" t="s">
        <v>3630</v>
      </c>
      <c r="E517" s="28" t="s">
        <v>3632</v>
      </c>
      <c r="F517" s="28" t="s">
        <v>26</v>
      </c>
      <c r="G517" s="28" t="s">
        <v>3633</v>
      </c>
      <c r="H517" s="28" t="s">
        <v>3634</v>
      </c>
      <c r="I517" s="28" t="s">
        <v>3635</v>
      </c>
      <c r="J517" s="28" t="s">
        <v>30</v>
      </c>
      <c r="K517" s="28" t="s">
        <v>1142</v>
      </c>
      <c r="L517" s="28">
        <v>4</v>
      </c>
      <c r="M517" s="28">
        <v>1.5</v>
      </c>
      <c r="N517" s="25">
        <f t="shared" si="8"/>
        <v>1.75</v>
      </c>
      <c r="O517" s="28" t="s">
        <v>3636</v>
      </c>
      <c r="P517" s="28" t="s">
        <v>3637</v>
      </c>
      <c r="Q517" s="28" t="s">
        <v>1832</v>
      </c>
      <c r="R517" s="28" t="s">
        <v>1833</v>
      </c>
      <c r="S517" s="28" t="s">
        <v>1833</v>
      </c>
      <c r="T517" s="28" t="s">
        <v>1833</v>
      </c>
      <c r="U517" s="28" t="s">
        <v>3638</v>
      </c>
      <c r="V517" s="28" t="s">
        <v>3639</v>
      </c>
    </row>
    <row r="518" spans="1:22" ht="34.5" customHeight="1" x14ac:dyDescent="0.25">
      <c r="A518" s="26">
        <v>46</v>
      </c>
      <c r="B518" s="27" t="s">
        <v>3630</v>
      </c>
      <c r="C518" s="28" t="s">
        <v>3631</v>
      </c>
      <c r="D518" s="28" t="s">
        <v>3630</v>
      </c>
      <c r="E518" s="28" t="s">
        <v>3640</v>
      </c>
      <c r="F518" s="28" t="s">
        <v>38</v>
      </c>
      <c r="G518" s="28" t="s">
        <v>3641</v>
      </c>
      <c r="H518" s="28" t="s">
        <v>3642</v>
      </c>
      <c r="I518" s="28" t="s">
        <v>3643</v>
      </c>
      <c r="J518" s="28" t="s">
        <v>30</v>
      </c>
      <c r="K518" s="28" t="s">
        <v>3644</v>
      </c>
      <c r="L518" s="28">
        <v>3</v>
      </c>
      <c r="M518" s="28">
        <v>1</v>
      </c>
      <c r="N518" s="25">
        <f t="shared" si="8"/>
        <v>1.25</v>
      </c>
      <c r="O518" s="28" t="s">
        <v>3645</v>
      </c>
      <c r="P518" s="28" t="s">
        <v>1802</v>
      </c>
      <c r="Q518" s="28" t="s">
        <v>1813</v>
      </c>
      <c r="R518" s="28" t="s">
        <v>3646</v>
      </c>
      <c r="S518" s="28" t="s">
        <v>3647</v>
      </c>
      <c r="T518" s="28" t="s">
        <v>3648</v>
      </c>
      <c r="U518" s="28" t="s">
        <v>3649</v>
      </c>
      <c r="V518" s="28" t="s">
        <v>3650</v>
      </c>
    </row>
    <row r="519" spans="1:22" ht="34.5" customHeight="1" x14ac:dyDescent="0.25">
      <c r="A519" s="26">
        <v>46</v>
      </c>
      <c r="B519" s="27" t="s">
        <v>3630</v>
      </c>
      <c r="C519" s="28" t="s">
        <v>3631</v>
      </c>
      <c r="D519" s="28" t="s">
        <v>3630</v>
      </c>
      <c r="E519" s="28" t="s">
        <v>3651</v>
      </c>
      <c r="F519" s="28" t="s">
        <v>46</v>
      </c>
      <c r="G519" s="28" t="s">
        <v>3652</v>
      </c>
      <c r="H519" s="28" t="s">
        <v>3653</v>
      </c>
      <c r="I519" s="28" t="s">
        <v>3654</v>
      </c>
      <c r="J519" s="28" t="s">
        <v>30</v>
      </c>
      <c r="K519" s="28" t="s">
        <v>3655</v>
      </c>
      <c r="L519" s="28">
        <v>2</v>
      </c>
      <c r="M519" s="28">
        <v>0.5</v>
      </c>
      <c r="N519" s="25">
        <f t="shared" si="8"/>
        <v>0.5</v>
      </c>
      <c r="O519" s="28" t="s">
        <v>3403</v>
      </c>
      <c r="P519" s="28" t="s">
        <v>1802</v>
      </c>
      <c r="Q519" s="28" t="s">
        <v>419</v>
      </c>
      <c r="R519" s="28" t="s">
        <v>1026</v>
      </c>
      <c r="S519" s="28" t="s">
        <v>3656</v>
      </c>
      <c r="T519" s="28" t="s">
        <v>3657</v>
      </c>
      <c r="U519" s="28" t="s">
        <v>3658</v>
      </c>
      <c r="V519" s="28" t="s">
        <v>3659</v>
      </c>
    </row>
    <row r="520" spans="1:22" ht="34.5" customHeight="1" x14ac:dyDescent="0.25">
      <c r="A520" s="26">
        <v>46</v>
      </c>
      <c r="B520" s="27" t="s">
        <v>3630</v>
      </c>
      <c r="C520" s="28" t="s">
        <v>3631</v>
      </c>
      <c r="D520" s="28" t="s">
        <v>3630</v>
      </c>
      <c r="E520" s="28" t="s">
        <v>3660</v>
      </c>
      <c r="F520" s="28" t="s">
        <v>53</v>
      </c>
      <c r="G520" s="28" t="s">
        <v>3661</v>
      </c>
      <c r="H520" s="28" t="s">
        <v>3662</v>
      </c>
      <c r="I520" s="28" t="s">
        <v>3663</v>
      </c>
      <c r="J520" s="28" t="s">
        <v>30</v>
      </c>
      <c r="K520" s="28" t="s">
        <v>3242</v>
      </c>
      <c r="L520" s="28">
        <v>5</v>
      </c>
      <c r="M520" s="28">
        <v>2</v>
      </c>
      <c r="N520" s="25">
        <f t="shared" si="8"/>
        <v>2.5</v>
      </c>
      <c r="O520" s="28" t="s">
        <v>3664</v>
      </c>
      <c r="P520" s="28" t="s">
        <v>3637</v>
      </c>
      <c r="Q520" s="28" t="s">
        <v>1832</v>
      </c>
      <c r="R520" s="28" t="s">
        <v>1833</v>
      </c>
      <c r="S520" s="28" t="s">
        <v>1833</v>
      </c>
      <c r="T520" s="28" t="s">
        <v>1833</v>
      </c>
      <c r="U520" s="28" t="s">
        <v>3665</v>
      </c>
      <c r="V520" s="28" t="s">
        <v>3666</v>
      </c>
    </row>
    <row r="521" spans="1:22" ht="34.5" customHeight="1" x14ac:dyDescent="0.25">
      <c r="A521" s="26">
        <v>46</v>
      </c>
      <c r="B521" s="27" t="s">
        <v>3630</v>
      </c>
      <c r="C521" s="28" t="s">
        <v>3631</v>
      </c>
      <c r="D521" s="28" t="s">
        <v>3630</v>
      </c>
      <c r="E521" s="28" t="s">
        <v>3667</v>
      </c>
      <c r="F521" s="28" t="s">
        <v>64</v>
      </c>
      <c r="G521" s="28" t="s">
        <v>3668</v>
      </c>
      <c r="H521" s="28" t="s">
        <v>3669</v>
      </c>
      <c r="I521" s="28" t="s">
        <v>3670</v>
      </c>
      <c r="J521" s="28" t="s">
        <v>30</v>
      </c>
      <c r="K521" s="28" t="s">
        <v>3671</v>
      </c>
      <c r="L521" s="28">
        <v>4</v>
      </c>
      <c r="M521" s="28">
        <v>1.5</v>
      </c>
      <c r="N521" s="25">
        <f t="shared" si="8"/>
        <v>1.75</v>
      </c>
      <c r="O521" s="28" t="s">
        <v>1802</v>
      </c>
      <c r="P521" s="28" t="s">
        <v>1802</v>
      </c>
      <c r="Q521" s="28" t="s">
        <v>484</v>
      </c>
      <c r="R521" s="28" t="s">
        <v>1026</v>
      </c>
      <c r="S521" s="28" t="s">
        <v>3672</v>
      </c>
      <c r="T521" s="28" t="s">
        <v>3673</v>
      </c>
      <c r="U521" s="28" t="s">
        <v>3674</v>
      </c>
      <c r="V521" s="28" t="s">
        <v>3675</v>
      </c>
    </row>
    <row r="522" spans="1:22" ht="34.5" customHeight="1" x14ac:dyDescent="0.25">
      <c r="A522" s="26">
        <v>46</v>
      </c>
      <c r="B522" s="27" t="s">
        <v>3630</v>
      </c>
      <c r="C522" s="28" t="s">
        <v>3631</v>
      </c>
      <c r="D522" s="28" t="s">
        <v>3630</v>
      </c>
      <c r="E522" s="28" t="s">
        <v>3676</v>
      </c>
      <c r="F522" s="28" t="s">
        <v>72</v>
      </c>
      <c r="G522" s="28" t="s">
        <v>3677</v>
      </c>
      <c r="H522" s="28" t="s">
        <v>3678</v>
      </c>
      <c r="I522" s="28" t="s">
        <v>3679</v>
      </c>
      <c r="J522" s="28" t="s">
        <v>30</v>
      </c>
      <c r="K522" s="28" t="s">
        <v>3680</v>
      </c>
      <c r="L522" s="28">
        <v>3</v>
      </c>
      <c r="M522" s="28">
        <v>1</v>
      </c>
      <c r="N522" s="25">
        <f t="shared" si="8"/>
        <v>1.25</v>
      </c>
      <c r="O522" s="28" t="s">
        <v>3681</v>
      </c>
      <c r="P522" s="28" t="s">
        <v>3637</v>
      </c>
      <c r="Q522" s="28" t="s">
        <v>484</v>
      </c>
      <c r="R522" s="28" t="s">
        <v>3646</v>
      </c>
      <c r="S522" s="28" t="s">
        <v>3682</v>
      </c>
      <c r="T522" s="28" t="s">
        <v>3683</v>
      </c>
      <c r="U522" s="28" t="s">
        <v>3684</v>
      </c>
      <c r="V522" s="28" t="s">
        <v>3685</v>
      </c>
    </row>
    <row r="523" spans="1:22" ht="34.5" customHeight="1" x14ac:dyDescent="0.25">
      <c r="A523" s="26">
        <v>46</v>
      </c>
      <c r="B523" s="27" t="s">
        <v>3630</v>
      </c>
      <c r="C523" s="28" t="s">
        <v>3631</v>
      </c>
      <c r="D523" s="28" t="s">
        <v>3630</v>
      </c>
      <c r="E523" s="28" t="s">
        <v>3686</v>
      </c>
      <c r="F523" s="28" t="s">
        <v>157</v>
      </c>
      <c r="G523" s="28" t="s">
        <v>3687</v>
      </c>
      <c r="H523" s="28" t="s">
        <v>3688</v>
      </c>
      <c r="I523" s="28" t="s">
        <v>3689</v>
      </c>
      <c r="J523" s="28" t="s">
        <v>161</v>
      </c>
      <c r="K523" s="28" t="s">
        <v>3690</v>
      </c>
      <c r="L523" s="28">
        <v>5</v>
      </c>
      <c r="M523" s="28">
        <v>2</v>
      </c>
      <c r="N523" s="25">
        <f t="shared" si="8"/>
        <v>2.5</v>
      </c>
      <c r="O523" s="28" t="s">
        <v>3691</v>
      </c>
      <c r="P523" s="28" t="s">
        <v>1907</v>
      </c>
      <c r="Q523" s="28" t="s">
        <v>1832</v>
      </c>
      <c r="R523" s="28" t="s">
        <v>1833</v>
      </c>
      <c r="S523" s="28" t="s">
        <v>1833</v>
      </c>
      <c r="T523" s="28" t="s">
        <v>1833</v>
      </c>
      <c r="U523" s="28" t="s">
        <v>1833</v>
      </c>
      <c r="V523" s="28" t="s">
        <v>3692</v>
      </c>
    </row>
    <row r="524" spans="1:22" ht="34.5" customHeight="1" x14ac:dyDescent="0.25">
      <c r="A524" s="26">
        <v>47</v>
      </c>
      <c r="B524" s="27" t="s">
        <v>3693</v>
      </c>
      <c r="C524" s="28" t="s">
        <v>3694</v>
      </c>
      <c r="D524" s="28" t="s">
        <v>3693</v>
      </c>
      <c r="E524" s="28" t="s">
        <v>3695</v>
      </c>
      <c r="F524" s="28" t="s">
        <v>26</v>
      </c>
      <c r="G524" s="28" t="s">
        <v>3696</v>
      </c>
      <c r="H524" s="28" t="s">
        <v>3697</v>
      </c>
      <c r="I524" s="28" t="s">
        <v>3698</v>
      </c>
      <c r="J524" s="28" t="s">
        <v>30</v>
      </c>
      <c r="K524" s="28" t="s">
        <v>3699</v>
      </c>
      <c r="L524" s="28">
        <v>3</v>
      </c>
      <c r="M524" s="28">
        <v>1</v>
      </c>
      <c r="N524" s="25">
        <f t="shared" si="8"/>
        <v>1.25</v>
      </c>
      <c r="O524" s="28" t="s">
        <v>3700</v>
      </c>
      <c r="P524" s="28" t="s">
        <v>3700</v>
      </c>
      <c r="Q524" s="28" t="s">
        <v>1832</v>
      </c>
      <c r="R524" s="28" t="s">
        <v>1833</v>
      </c>
      <c r="S524" s="28" t="s">
        <v>1833</v>
      </c>
      <c r="T524" s="28" t="s">
        <v>1833</v>
      </c>
      <c r="U524" s="28" t="s">
        <v>3701</v>
      </c>
      <c r="V524" s="28" t="s">
        <v>3702</v>
      </c>
    </row>
    <row r="525" spans="1:22" ht="34.5" customHeight="1" x14ac:dyDescent="0.25">
      <c r="A525" s="26">
        <v>47</v>
      </c>
      <c r="B525" s="27" t="s">
        <v>3693</v>
      </c>
      <c r="C525" s="28" t="s">
        <v>3694</v>
      </c>
      <c r="D525" s="28" t="s">
        <v>3693</v>
      </c>
      <c r="E525" s="28" t="s">
        <v>3703</v>
      </c>
      <c r="F525" s="28" t="s">
        <v>38</v>
      </c>
      <c r="G525" s="28" t="s">
        <v>3704</v>
      </c>
      <c r="H525" s="28" t="s">
        <v>3705</v>
      </c>
      <c r="I525" s="28" t="s">
        <v>3706</v>
      </c>
      <c r="J525" s="28" t="s">
        <v>30</v>
      </c>
      <c r="K525" s="28" t="s">
        <v>3707</v>
      </c>
      <c r="L525" s="28">
        <v>4</v>
      </c>
      <c r="M525" s="28">
        <v>1.5</v>
      </c>
      <c r="N525" s="25">
        <f t="shared" si="8"/>
        <v>1.75</v>
      </c>
      <c r="O525" s="28" t="s">
        <v>3708</v>
      </c>
      <c r="P525" s="28" t="s">
        <v>3700</v>
      </c>
      <c r="Q525" s="28" t="s">
        <v>1832</v>
      </c>
      <c r="R525" s="28" t="s">
        <v>1833</v>
      </c>
      <c r="S525" s="28" t="s">
        <v>1833</v>
      </c>
      <c r="T525" s="28" t="s">
        <v>1833</v>
      </c>
      <c r="U525" s="28" t="s">
        <v>3709</v>
      </c>
      <c r="V525" s="28" t="s">
        <v>3710</v>
      </c>
    </row>
    <row r="526" spans="1:22" ht="34.5" customHeight="1" x14ac:dyDescent="0.25">
      <c r="A526" s="26">
        <v>47</v>
      </c>
      <c r="B526" s="27" t="s">
        <v>3693</v>
      </c>
      <c r="C526" s="28" t="s">
        <v>3694</v>
      </c>
      <c r="D526" s="28" t="s">
        <v>3693</v>
      </c>
      <c r="E526" s="28" t="s">
        <v>3711</v>
      </c>
      <c r="F526" s="28" t="s">
        <v>46</v>
      </c>
      <c r="G526" s="28" t="s">
        <v>3712</v>
      </c>
      <c r="H526" s="28" t="s">
        <v>3713</v>
      </c>
      <c r="I526" s="28" t="s">
        <v>3714</v>
      </c>
      <c r="J526" s="28" t="s">
        <v>30</v>
      </c>
      <c r="K526" s="28" t="s">
        <v>3699</v>
      </c>
      <c r="L526" s="28">
        <v>1.5</v>
      </c>
      <c r="M526" s="28">
        <v>0.5</v>
      </c>
      <c r="N526" s="25">
        <f t="shared" si="8"/>
        <v>0.5</v>
      </c>
      <c r="O526" s="28" t="s">
        <v>3403</v>
      </c>
      <c r="P526" s="28" t="s">
        <v>1802</v>
      </c>
      <c r="Q526" s="28" t="s">
        <v>419</v>
      </c>
      <c r="R526" s="28" t="s">
        <v>1026</v>
      </c>
      <c r="S526" s="28" t="s">
        <v>3715</v>
      </c>
      <c r="T526" s="28" t="s">
        <v>3716</v>
      </c>
      <c r="U526" s="28" t="s">
        <v>3717</v>
      </c>
      <c r="V526" s="28" t="s">
        <v>3718</v>
      </c>
    </row>
    <row r="527" spans="1:22" ht="34.5" customHeight="1" x14ac:dyDescent="0.25">
      <c r="A527" s="26">
        <v>47</v>
      </c>
      <c r="B527" s="27" t="s">
        <v>3693</v>
      </c>
      <c r="C527" s="28" t="s">
        <v>3694</v>
      </c>
      <c r="D527" s="28" t="s">
        <v>3693</v>
      </c>
      <c r="E527" s="28" t="s">
        <v>3719</v>
      </c>
      <c r="F527" s="28" t="s">
        <v>53</v>
      </c>
      <c r="G527" s="28" t="s">
        <v>3720</v>
      </c>
      <c r="H527" s="28" t="s">
        <v>3721</v>
      </c>
      <c r="I527" s="28" t="s">
        <v>3722</v>
      </c>
      <c r="J527" s="28" t="s">
        <v>30</v>
      </c>
      <c r="K527" s="28" t="s">
        <v>3723</v>
      </c>
      <c r="L527" s="28">
        <v>3</v>
      </c>
      <c r="M527" s="28">
        <v>1</v>
      </c>
      <c r="N527" s="25">
        <f t="shared" si="8"/>
        <v>1.25</v>
      </c>
      <c r="O527" s="28" t="s">
        <v>3403</v>
      </c>
      <c r="P527" s="28" t="s">
        <v>1802</v>
      </c>
      <c r="Q527" s="28" t="s">
        <v>484</v>
      </c>
      <c r="R527" s="28" t="s">
        <v>1026</v>
      </c>
      <c r="S527" s="28" t="s">
        <v>3724</v>
      </c>
      <c r="T527" s="28" t="s">
        <v>3725</v>
      </c>
      <c r="U527" s="28" t="s">
        <v>3726</v>
      </c>
      <c r="V527" s="28" t="s">
        <v>3727</v>
      </c>
    </row>
    <row r="528" spans="1:22" ht="34.5" customHeight="1" x14ac:dyDescent="0.25">
      <c r="A528" s="26">
        <v>47</v>
      </c>
      <c r="B528" s="27" t="s">
        <v>3693</v>
      </c>
      <c r="C528" s="28" t="s">
        <v>3694</v>
      </c>
      <c r="D528" s="28" t="s">
        <v>3693</v>
      </c>
      <c r="E528" s="28" t="s">
        <v>3728</v>
      </c>
      <c r="F528" s="28" t="s">
        <v>64</v>
      </c>
      <c r="G528" s="28" t="s">
        <v>3729</v>
      </c>
      <c r="H528" s="28" t="s">
        <v>3730</v>
      </c>
      <c r="I528" s="28" t="s">
        <v>3731</v>
      </c>
      <c r="J528" s="28" t="s">
        <v>30</v>
      </c>
      <c r="K528" s="28" t="s">
        <v>3732</v>
      </c>
      <c r="L528" s="28">
        <v>4</v>
      </c>
      <c r="M528" s="28">
        <v>1.5</v>
      </c>
      <c r="N528" s="25">
        <f t="shared" si="8"/>
        <v>1.75</v>
      </c>
      <c r="O528" s="28" t="s">
        <v>3733</v>
      </c>
      <c r="P528" s="28" t="s">
        <v>3700</v>
      </c>
      <c r="Q528" s="28" t="s">
        <v>1832</v>
      </c>
      <c r="R528" s="28" t="s">
        <v>1833</v>
      </c>
      <c r="S528" s="28" t="s">
        <v>1833</v>
      </c>
      <c r="T528" s="28" t="s">
        <v>1833</v>
      </c>
      <c r="U528" s="28" t="s">
        <v>3734</v>
      </c>
      <c r="V528" s="28" t="s">
        <v>3735</v>
      </c>
    </row>
    <row r="529" spans="1:22" ht="34.5" customHeight="1" x14ac:dyDescent="0.25">
      <c r="A529" s="26">
        <v>47</v>
      </c>
      <c r="B529" s="27" t="s">
        <v>3693</v>
      </c>
      <c r="C529" s="28" t="s">
        <v>3694</v>
      </c>
      <c r="D529" s="28" t="s">
        <v>3693</v>
      </c>
      <c r="E529" s="28" t="s">
        <v>3736</v>
      </c>
      <c r="F529" s="28" t="s">
        <v>72</v>
      </c>
      <c r="G529" s="28" t="s">
        <v>3737</v>
      </c>
      <c r="H529" s="28" t="s">
        <v>3738</v>
      </c>
      <c r="I529" s="28" t="s">
        <v>3739</v>
      </c>
      <c r="J529" s="28" t="s">
        <v>30</v>
      </c>
      <c r="K529" s="28" t="s">
        <v>3740</v>
      </c>
      <c r="L529" s="28">
        <v>4</v>
      </c>
      <c r="M529" s="28">
        <v>1.5</v>
      </c>
      <c r="N529" s="25">
        <f t="shared" si="8"/>
        <v>1.75</v>
      </c>
      <c r="O529" s="28" t="s">
        <v>1802</v>
      </c>
      <c r="P529" s="28" t="s">
        <v>1802</v>
      </c>
      <c r="Q529" s="28" t="s">
        <v>484</v>
      </c>
      <c r="R529" s="28" t="s">
        <v>1026</v>
      </c>
      <c r="S529" s="28" t="s">
        <v>3741</v>
      </c>
      <c r="T529" s="28" t="s">
        <v>3742</v>
      </c>
      <c r="U529" s="28" t="s">
        <v>3743</v>
      </c>
      <c r="V529" s="28" t="s">
        <v>3744</v>
      </c>
    </row>
    <row r="530" spans="1:22" ht="34.5" customHeight="1" x14ac:dyDescent="0.25">
      <c r="A530" s="26">
        <v>47</v>
      </c>
      <c r="B530" s="27" t="s">
        <v>3693</v>
      </c>
      <c r="C530" s="28" t="s">
        <v>3694</v>
      </c>
      <c r="D530" s="28" t="s">
        <v>3693</v>
      </c>
      <c r="E530" s="28" t="s">
        <v>3745</v>
      </c>
      <c r="F530" s="28" t="s">
        <v>120</v>
      </c>
      <c r="G530" s="28" t="s">
        <v>3746</v>
      </c>
      <c r="H530" s="28" t="s">
        <v>3747</v>
      </c>
      <c r="I530" s="28" t="s">
        <v>3748</v>
      </c>
      <c r="J530" s="28" t="s">
        <v>116</v>
      </c>
      <c r="K530" s="28" t="s">
        <v>3355</v>
      </c>
      <c r="L530" s="28">
        <v>3</v>
      </c>
      <c r="M530" s="28">
        <v>1</v>
      </c>
      <c r="N530" s="25">
        <f t="shared" si="8"/>
        <v>1.25</v>
      </c>
      <c r="O530" s="28" t="s">
        <v>1831</v>
      </c>
      <c r="P530" s="28" t="s">
        <v>1831</v>
      </c>
      <c r="Q530" s="28" t="s">
        <v>1832</v>
      </c>
      <c r="R530" s="28" t="s">
        <v>1833</v>
      </c>
      <c r="S530" s="28" t="s">
        <v>1833</v>
      </c>
      <c r="T530" s="28" t="s">
        <v>1833</v>
      </c>
      <c r="U530" s="28" t="s">
        <v>1833</v>
      </c>
      <c r="V530" s="28" t="s">
        <v>3749</v>
      </c>
    </row>
    <row r="531" spans="1:22" ht="34.5" customHeight="1" x14ac:dyDescent="0.25">
      <c r="A531" s="26">
        <v>47</v>
      </c>
      <c r="B531" s="27" t="s">
        <v>3693</v>
      </c>
      <c r="C531" s="28" t="s">
        <v>3694</v>
      </c>
      <c r="D531" s="28" t="s">
        <v>3693</v>
      </c>
      <c r="E531" s="28" t="s">
        <v>3750</v>
      </c>
      <c r="F531" s="28" t="s">
        <v>157</v>
      </c>
      <c r="G531" s="28" t="s">
        <v>3751</v>
      </c>
      <c r="H531" s="28" t="s">
        <v>3752</v>
      </c>
      <c r="I531" s="28" t="s">
        <v>3753</v>
      </c>
      <c r="J531" s="28" t="s">
        <v>161</v>
      </c>
      <c r="K531" s="28" t="s">
        <v>3754</v>
      </c>
      <c r="L531" s="28">
        <v>4</v>
      </c>
      <c r="M531" s="28">
        <v>1.5</v>
      </c>
      <c r="N531" s="25">
        <f t="shared" si="8"/>
        <v>1.75</v>
      </c>
      <c r="O531" s="28" t="s">
        <v>1906</v>
      </c>
      <c r="P531" s="28" t="s">
        <v>1907</v>
      </c>
      <c r="Q531" s="28" t="s">
        <v>1832</v>
      </c>
      <c r="R531" s="28" t="s">
        <v>1833</v>
      </c>
      <c r="S531" s="28" t="s">
        <v>1833</v>
      </c>
      <c r="T531" s="28" t="s">
        <v>1833</v>
      </c>
      <c r="U531" s="28" t="s">
        <v>1833</v>
      </c>
      <c r="V531" s="28" t="s">
        <v>3755</v>
      </c>
    </row>
    <row r="532" spans="1:22" ht="34.5" customHeight="1" x14ac:dyDescent="0.25">
      <c r="A532" s="26">
        <v>47</v>
      </c>
      <c r="B532" s="27" t="s">
        <v>3693</v>
      </c>
      <c r="C532" s="28" t="s">
        <v>3694</v>
      </c>
      <c r="D532" s="28" t="s">
        <v>3693</v>
      </c>
      <c r="E532" s="28" t="s">
        <v>3756</v>
      </c>
      <c r="F532" s="28" t="s">
        <v>166</v>
      </c>
      <c r="G532" s="28" t="s">
        <v>3757</v>
      </c>
      <c r="H532" s="28" t="s">
        <v>3758</v>
      </c>
      <c r="I532" s="28" t="s">
        <v>3759</v>
      </c>
      <c r="J532" s="28" t="s">
        <v>161</v>
      </c>
      <c r="K532" s="28" t="s">
        <v>3760</v>
      </c>
      <c r="L532" s="28">
        <v>3</v>
      </c>
      <c r="M532" s="28">
        <v>1</v>
      </c>
      <c r="N532" s="25">
        <f t="shared" si="8"/>
        <v>1.25</v>
      </c>
      <c r="O532" s="28" t="s">
        <v>1906</v>
      </c>
      <c r="P532" s="28" t="s">
        <v>1907</v>
      </c>
      <c r="Q532" s="28" t="s">
        <v>1832</v>
      </c>
      <c r="R532" s="28" t="s">
        <v>1833</v>
      </c>
      <c r="S532" s="28" t="s">
        <v>1833</v>
      </c>
      <c r="T532" s="28" t="s">
        <v>1833</v>
      </c>
      <c r="U532" s="28" t="s">
        <v>1833</v>
      </c>
      <c r="V532" s="28" t="s">
        <v>3761</v>
      </c>
    </row>
    <row r="533" spans="1:22" ht="34.5" customHeight="1" x14ac:dyDescent="0.25">
      <c r="A533" s="26">
        <v>48</v>
      </c>
      <c r="B533" s="27" t="s">
        <v>3762</v>
      </c>
      <c r="C533" s="28" t="s">
        <v>3763</v>
      </c>
      <c r="D533" s="28" t="s">
        <v>3762</v>
      </c>
      <c r="E533" s="28" t="s">
        <v>3764</v>
      </c>
      <c r="F533" s="28" t="s">
        <v>26</v>
      </c>
      <c r="G533" s="28" t="s">
        <v>3765</v>
      </c>
      <c r="H533" s="28" t="s">
        <v>3766</v>
      </c>
      <c r="I533" s="28" t="s">
        <v>3767</v>
      </c>
      <c r="J533" s="28" t="s">
        <v>30</v>
      </c>
      <c r="K533" s="28" t="s">
        <v>3768</v>
      </c>
      <c r="L533" s="28">
        <v>5</v>
      </c>
      <c r="M533" s="28">
        <v>2</v>
      </c>
      <c r="N533" s="25">
        <f t="shared" si="8"/>
        <v>2.5</v>
      </c>
      <c r="O533" s="28" t="s">
        <v>3769</v>
      </c>
      <c r="P533" s="28" t="s">
        <v>3700</v>
      </c>
      <c r="Q533" s="28" t="s">
        <v>1832</v>
      </c>
      <c r="R533" s="28" t="s">
        <v>1833</v>
      </c>
      <c r="S533" s="28" t="s">
        <v>1833</v>
      </c>
      <c r="T533" s="28" t="s">
        <v>1833</v>
      </c>
      <c r="U533" s="28" t="s">
        <v>3770</v>
      </c>
      <c r="V533" s="28" t="s">
        <v>3771</v>
      </c>
    </row>
    <row r="534" spans="1:22" ht="34.5" customHeight="1" x14ac:dyDescent="0.25">
      <c r="A534" s="26">
        <v>48</v>
      </c>
      <c r="B534" s="27" t="s">
        <v>3762</v>
      </c>
      <c r="C534" s="28" t="s">
        <v>3763</v>
      </c>
      <c r="D534" s="28" t="s">
        <v>3762</v>
      </c>
      <c r="E534" s="28" t="s">
        <v>3772</v>
      </c>
      <c r="F534" s="28" t="s">
        <v>38</v>
      </c>
      <c r="G534" s="28" t="s">
        <v>3773</v>
      </c>
      <c r="H534" s="28" t="s">
        <v>3774</v>
      </c>
      <c r="I534" s="28" t="s">
        <v>3775</v>
      </c>
      <c r="J534" s="28" t="s">
        <v>30</v>
      </c>
      <c r="K534" s="28" t="s">
        <v>3776</v>
      </c>
      <c r="L534" s="28">
        <v>2</v>
      </c>
      <c r="M534" s="28">
        <v>0.75</v>
      </c>
      <c r="N534" s="25">
        <f t="shared" si="8"/>
        <v>1</v>
      </c>
      <c r="O534" s="28" t="s">
        <v>3403</v>
      </c>
      <c r="P534" s="28" t="s">
        <v>1802</v>
      </c>
      <c r="Q534" s="28" t="s">
        <v>484</v>
      </c>
      <c r="R534" s="28" t="s">
        <v>1026</v>
      </c>
      <c r="S534" s="28" t="s">
        <v>3777</v>
      </c>
      <c r="T534" s="28" t="s">
        <v>3778</v>
      </c>
      <c r="U534" s="28" t="s">
        <v>3779</v>
      </c>
      <c r="V534" s="28" t="s">
        <v>3780</v>
      </c>
    </row>
    <row r="535" spans="1:22" ht="34.5" customHeight="1" x14ac:dyDescent="0.25">
      <c r="A535" s="26">
        <v>48</v>
      </c>
      <c r="B535" s="27" t="s">
        <v>3762</v>
      </c>
      <c r="C535" s="28" t="s">
        <v>3763</v>
      </c>
      <c r="D535" s="28" t="s">
        <v>3762</v>
      </c>
      <c r="E535" s="28" t="s">
        <v>3781</v>
      </c>
      <c r="F535" s="28" t="s">
        <v>46</v>
      </c>
      <c r="G535" s="28" t="s">
        <v>3782</v>
      </c>
      <c r="H535" s="28" t="s">
        <v>3783</v>
      </c>
      <c r="I535" s="28" t="s">
        <v>3784</v>
      </c>
      <c r="J535" s="28" t="s">
        <v>30</v>
      </c>
      <c r="K535" s="28" t="s">
        <v>3785</v>
      </c>
      <c r="L535" s="28">
        <v>1.5</v>
      </c>
      <c r="M535" s="28">
        <v>0.5</v>
      </c>
      <c r="N535" s="25">
        <f t="shared" si="8"/>
        <v>0.5</v>
      </c>
      <c r="O535" s="28" t="s">
        <v>3403</v>
      </c>
      <c r="P535" s="28" t="s">
        <v>1802</v>
      </c>
      <c r="Q535" s="28" t="s">
        <v>419</v>
      </c>
      <c r="R535" s="28" t="s">
        <v>1026</v>
      </c>
      <c r="S535" s="28" t="s">
        <v>3786</v>
      </c>
      <c r="T535" s="28" t="s">
        <v>3787</v>
      </c>
      <c r="U535" s="28" t="s">
        <v>3788</v>
      </c>
      <c r="V535" s="28" t="s">
        <v>3789</v>
      </c>
    </row>
    <row r="536" spans="1:22" ht="34.5" customHeight="1" x14ac:dyDescent="0.25">
      <c r="A536" s="26">
        <v>48</v>
      </c>
      <c r="B536" s="27" t="s">
        <v>3762</v>
      </c>
      <c r="C536" s="28" t="s">
        <v>3763</v>
      </c>
      <c r="D536" s="28" t="s">
        <v>3762</v>
      </c>
      <c r="E536" s="28" t="s">
        <v>3790</v>
      </c>
      <c r="F536" s="28" t="s">
        <v>53</v>
      </c>
      <c r="G536" s="28" t="s">
        <v>3791</v>
      </c>
      <c r="H536" s="28" t="s">
        <v>3792</v>
      </c>
      <c r="I536" s="28" t="s">
        <v>3793</v>
      </c>
      <c r="J536" s="28" t="s">
        <v>30</v>
      </c>
      <c r="K536" s="28" t="s">
        <v>3794</v>
      </c>
      <c r="L536" s="28">
        <v>3</v>
      </c>
      <c r="M536" s="28">
        <v>1</v>
      </c>
      <c r="N536" s="25">
        <f t="shared" si="8"/>
        <v>1.25</v>
      </c>
      <c r="O536" s="28" t="s">
        <v>1976</v>
      </c>
      <c r="P536" s="28" t="s">
        <v>1802</v>
      </c>
      <c r="Q536" s="28" t="s">
        <v>1832</v>
      </c>
      <c r="R536" s="28" t="s">
        <v>1833</v>
      </c>
      <c r="S536" s="28" t="s">
        <v>1833</v>
      </c>
      <c r="T536" s="28" t="s">
        <v>1833</v>
      </c>
      <c r="U536" s="28" t="s">
        <v>3795</v>
      </c>
      <c r="V536" s="28" t="s">
        <v>3796</v>
      </c>
    </row>
    <row r="537" spans="1:22" ht="34.5" customHeight="1" x14ac:dyDescent="0.25">
      <c r="A537" s="26">
        <v>48</v>
      </c>
      <c r="B537" s="27" t="s">
        <v>3762</v>
      </c>
      <c r="C537" s="28" t="s">
        <v>3763</v>
      </c>
      <c r="D537" s="28" t="s">
        <v>3762</v>
      </c>
      <c r="E537" s="28" t="s">
        <v>3797</v>
      </c>
      <c r="F537" s="28" t="s">
        <v>64</v>
      </c>
      <c r="G537" s="28" t="s">
        <v>3798</v>
      </c>
      <c r="H537" s="28" t="s">
        <v>3799</v>
      </c>
      <c r="I537" s="28" t="s">
        <v>3800</v>
      </c>
      <c r="J537" s="28" t="s">
        <v>30</v>
      </c>
      <c r="K537" s="28" t="s">
        <v>3801</v>
      </c>
      <c r="L537" s="28">
        <v>5</v>
      </c>
      <c r="M537" s="28">
        <v>2</v>
      </c>
      <c r="N537" s="25">
        <f t="shared" si="8"/>
        <v>2.5</v>
      </c>
      <c r="O537" s="28" t="s">
        <v>3802</v>
      </c>
      <c r="P537" s="28" t="s">
        <v>1802</v>
      </c>
      <c r="Q537" s="28" t="s">
        <v>1832</v>
      </c>
      <c r="R537" s="28" t="s">
        <v>1833</v>
      </c>
      <c r="S537" s="28" t="s">
        <v>1833</v>
      </c>
      <c r="T537" s="28" t="s">
        <v>1833</v>
      </c>
      <c r="U537" s="28" t="s">
        <v>3803</v>
      </c>
      <c r="V537" s="28" t="s">
        <v>3804</v>
      </c>
    </row>
    <row r="538" spans="1:22" ht="34.5" customHeight="1" x14ac:dyDescent="0.25">
      <c r="A538" s="26">
        <v>48</v>
      </c>
      <c r="B538" s="27" t="s">
        <v>3762</v>
      </c>
      <c r="C538" s="28" t="s">
        <v>3763</v>
      </c>
      <c r="D538" s="28" t="s">
        <v>3762</v>
      </c>
      <c r="E538" s="28" t="s">
        <v>3805</v>
      </c>
      <c r="F538" s="28" t="s">
        <v>72</v>
      </c>
      <c r="G538" s="28" t="s">
        <v>3806</v>
      </c>
      <c r="H538" s="28" t="s">
        <v>3807</v>
      </c>
      <c r="I538" s="28" t="s">
        <v>3808</v>
      </c>
      <c r="J538" s="28" t="s">
        <v>30</v>
      </c>
      <c r="K538" s="28" t="s">
        <v>3809</v>
      </c>
      <c r="L538" s="28">
        <v>4</v>
      </c>
      <c r="M538" s="28">
        <v>1.5</v>
      </c>
      <c r="N538" s="25">
        <f t="shared" si="8"/>
        <v>1.75</v>
      </c>
      <c r="O538" s="28" t="s">
        <v>1802</v>
      </c>
      <c r="P538" s="28" t="s">
        <v>1802</v>
      </c>
      <c r="Q538" s="28" t="s">
        <v>484</v>
      </c>
      <c r="R538" s="28" t="s">
        <v>1026</v>
      </c>
      <c r="S538" s="28" t="s">
        <v>3810</v>
      </c>
      <c r="T538" s="28" t="s">
        <v>3811</v>
      </c>
      <c r="U538" s="28" t="s">
        <v>3812</v>
      </c>
      <c r="V538" s="28" t="s">
        <v>3813</v>
      </c>
    </row>
    <row r="539" spans="1:22" ht="34.5" customHeight="1" x14ac:dyDescent="0.25">
      <c r="A539" s="26">
        <v>48</v>
      </c>
      <c r="B539" s="27" t="s">
        <v>3762</v>
      </c>
      <c r="C539" s="28" t="s">
        <v>3763</v>
      </c>
      <c r="D539" s="28" t="s">
        <v>3762</v>
      </c>
      <c r="E539" s="28" t="s">
        <v>3814</v>
      </c>
      <c r="F539" s="28" t="s">
        <v>112</v>
      </c>
      <c r="G539" s="28" t="s">
        <v>3815</v>
      </c>
      <c r="H539" s="28" t="s">
        <v>3816</v>
      </c>
      <c r="I539" s="28" t="s">
        <v>3817</v>
      </c>
      <c r="J539" s="28" t="s">
        <v>116</v>
      </c>
      <c r="K539" s="28" t="s">
        <v>3818</v>
      </c>
      <c r="L539" s="28">
        <v>3</v>
      </c>
      <c r="M539" s="28">
        <v>1</v>
      </c>
      <c r="N539" s="25">
        <f t="shared" si="8"/>
        <v>1.25</v>
      </c>
      <c r="O539" s="28" t="s">
        <v>1831</v>
      </c>
      <c r="P539" s="28" t="s">
        <v>1831</v>
      </c>
      <c r="Q539" s="28" t="s">
        <v>1832</v>
      </c>
      <c r="R539" s="28" t="s">
        <v>1833</v>
      </c>
      <c r="S539" s="28" t="s">
        <v>1833</v>
      </c>
      <c r="T539" s="28" t="s">
        <v>1833</v>
      </c>
      <c r="U539" s="28" t="s">
        <v>1833</v>
      </c>
      <c r="V539" s="28" t="s">
        <v>3819</v>
      </c>
    </row>
    <row r="540" spans="1:22" ht="34.5" customHeight="1" x14ac:dyDescent="0.25">
      <c r="A540" s="26">
        <v>48</v>
      </c>
      <c r="B540" s="27" t="s">
        <v>3762</v>
      </c>
      <c r="C540" s="28" t="s">
        <v>3763</v>
      </c>
      <c r="D540" s="28" t="s">
        <v>3762</v>
      </c>
      <c r="E540" s="28" t="s">
        <v>3820</v>
      </c>
      <c r="F540" s="28" t="s">
        <v>157</v>
      </c>
      <c r="G540" s="28" t="s">
        <v>3821</v>
      </c>
      <c r="H540" s="28" t="s">
        <v>3822</v>
      </c>
      <c r="I540" s="28" t="s">
        <v>3823</v>
      </c>
      <c r="J540" s="28" t="s">
        <v>161</v>
      </c>
      <c r="K540" s="28" t="s">
        <v>3824</v>
      </c>
      <c r="L540" s="28">
        <v>5</v>
      </c>
      <c r="M540" s="28">
        <v>2</v>
      </c>
      <c r="N540" s="25">
        <f t="shared" si="8"/>
        <v>2.5</v>
      </c>
      <c r="O540" s="28" t="s">
        <v>1906</v>
      </c>
      <c r="P540" s="28" t="s">
        <v>1907</v>
      </c>
      <c r="Q540" s="28" t="s">
        <v>1832</v>
      </c>
      <c r="R540" s="28" t="s">
        <v>1833</v>
      </c>
      <c r="S540" s="28" t="s">
        <v>1833</v>
      </c>
      <c r="T540" s="28" t="s">
        <v>1833</v>
      </c>
      <c r="U540" s="28" t="s">
        <v>1833</v>
      </c>
      <c r="V540" s="28" t="s">
        <v>3825</v>
      </c>
    </row>
    <row r="541" spans="1:22" ht="34.5" customHeight="1" x14ac:dyDescent="0.25">
      <c r="A541" s="26">
        <v>49</v>
      </c>
      <c r="B541" s="27" t="s">
        <v>3826</v>
      </c>
      <c r="C541" s="28" t="s">
        <v>3827</v>
      </c>
      <c r="D541" s="28" t="s">
        <v>3826</v>
      </c>
      <c r="E541" s="28" t="s">
        <v>3828</v>
      </c>
      <c r="F541" s="28" t="s">
        <v>26</v>
      </c>
      <c r="G541" s="28" t="s">
        <v>3829</v>
      </c>
      <c r="H541" s="28" t="s">
        <v>3830</v>
      </c>
      <c r="I541" s="28" t="s">
        <v>3831</v>
      </c>
      <c r="J541" s="28" t="s">
        <v>30</v>
      </c>
      <c r="K541" s="28" t="s">
        <v>3832</v>
      </c>
      <c r="L541" s="28">
        <v>3</v>
      </c>
      <c r="M541" s="28">
        <v>1</v>
      </c>
      <c r="N541" s="25">
        <f t="shared" si="8"/>
        <v>1.25</v>
      </c>
      <c r="O541" s="28" t="s">
        <v>3403</v>
      </c>
      <c r="P541" s="28" t="s">
        <v>1802</v>
      </c>
      <c r="Q541" s="28" t="s">
        <v>484</v>
      </c>
      <c r="R541" s="28" t="s">
        <v>1026</v>
      </c>
      <c r="S541" s="28" t="s">
        <v>3833</v>
      </c>
      <c r="T541" s="28" t="s">
        <v>3834</v>
      </c>
      <c r="U541" s="28" t="s">
        <v>3835</v>
      </c>
      <c r="V541" s="28" t="s">
        <v>3836</v>
      </c>
    </row>
    <row r="542" spans="1:22" ht="34.5" customHeight="1" x14ac:dyDescent="0.25">
      <c r="A542" s="26">
        <v>49</v>
      </c>
      <c r="B542" s="27" t="s">
        <v>3826</v>
      </c>
      <c r="C542" s="28" t="s">
        <v>3827</v>
      </c>
      <c r="D542" s="28" t="s">
        <v>3826</v>
      </c>
      <c r="E542" s="28" t="s">
        <v>3837</v>
      </c>
      <c r="F542" s="28" t="s">
        <v>38</v>
      </c>
      <c r="G542" s="28" t="s">
        <v>3838</v>
      </c>
      <c r="H542" s="28" t="s">
        <v>3839</v>
      </c>
      <c r="I542" s="28" t="s">
        <v>3840</v>
      </c>
      <c r="J542" s="28" t="s">
        <v>30</v>
      </c>
      <c r="K542" s="28" t="s">
        <v>3841</v>
      </c>
      <c r="L542" s="28">
        <v>5</v>
      </c>
      <c r="M542" s="28">
        <v>2</v>
      </c>
      <c r="N542" s="25">
        <f t="shared" si="8"/>
        <v>2.5</v>
      </c>
      <c r="O542" s="28" t="s">
        <v>3842</v>
      </c>
      <c r="P542" s="28" t="s">
        <v>3700</v>
      </c>
      <c r="Q542" s="28" t="s">
        <v>1832</v>
      </c>
      <c r="R542" s="28" t="s">
        <v>1833</v>
      </c>
      <c r="S542" s="28" t="s">
        <v>1833</v>
      </c>
      <c r="T542" s="28" t="s">
        <v>1833</v>
      </c>
      <c r="U542" s="28" t="s">
        <v>3843</v>
      </c>
      <c r="V542" s="28" t="s">
        <v>3844</v>
      </c>
    </row>
    <row r="543" spans="1:22" ht="34.5" customHeight="1" x14ac:dyDescent="0.25">
      <c r="A543" s="26">
        <v>49</v>
      </c>
      <c r="B543" s="27" t="s">
        <v>3826</v>
      </c>
      <c r="C543" s="28" t="s">
        <v>3827</v>
      </c>
      <c r="D543" s="28" t="s">
        <v>3826</v>
      </c>
      <c r="E543" s="28" t="s">
        <v>3845</v>
      </c>
      <c r="F543" s="28" t="s">
        <v>46</v>
      </c>
      <c r="G543" s="28" t="s">
        <v>3846</v>
      </c>
      <c r="H543" s="28" t="s">
        <v>3847</v>
      </c>
      <c r="I543" s="28" t="s">
        <v>3848</v>
      </c>
      <c r="J543" s="28" t="s">
        <v>30</v>
      </c>
      <c r="K543" s="28" t="s">
        <v>3841</v>
      </c>
      <c r="L543" s="28">
        <v>6</v>
      </c>
      <c r="M543" s="28">
        <v>2.5</v>
      </c>
      <c r="N543" s="25">
        <f t="shared" si="8"/>
        <v>3</v>
      </c>
      <c r="O543" s="28" t="s">
        <v>3849</v>
      </c>
      <c r="P543" s="28" t="s">
        <v>3700</v>
      </c>
      <c r="Q543" s="28" t="s">
        <v>1832</v>
      </c>
      <c r="R543" s="28" t="s">
        <v>1833</v>
      </c>
      <c r="S543" s="28" t="s">
        <v>1833</v>
      </c>
      <c r="T543" s="28" t="s">
        <v>1833</v>
      </c>
      <c r="U543" s="28" t="s">
        <v>3850</v>
      </c>
      <c r="V543" s="28" t="s">
        <v>3851</v>
      </c>
    </row>
    <row r="544" spans="1:22" ht="34.5" customHeight="1" x14ac:dyDescent="0.25">
      <c r="A544" s="26">
        <v>49</v>
      </c>
      <c r="B544" s="27" t="s">
        <v>3826</v>
      </c>
      <c r="C544" s="28" t="s">
        <v>3827</v>
      </c>
      <c r="D544" s="28" t="s">
        <v>3826</v>
      </c>
      <c r="E544" s="28" t="s">
        <v>3852</v>
      </c>
      <c r="F544" s="28" t="s">
        <v>53</v>
      </c>
      <c r="G544" s="28" t="s">
        <v>3853</v>
      </c>
      <c r="H544" s="28" t="s">
        <v>3854</v>
      </c>
      <c r="I544" s="28" t="s">
        <v>3855</v>
      </c>
      <c r="J544" s="28" t="s">
        <v>30</v>
      </c>
      <c r="K544" s="28" t="s">
        <v>3841</v>
      </c>
      <c r="L544" s="28">
        <v>4</v>
      </c>
      <c r="M544" s="28">
        <v>1.5</v>
      </c>
      <c r="N544" s="25">
        <f t="shared" si="8"/>
        <v>1.75</v>
      </c>
      <c r="O544" s="28" t="s">
        <v>3700</v>
      </c>
      <c r="P544" s="28" t="s">
        <v>3700</v>
      </c>
      <c r="Q544" s="28" t="s">
        <v>1832</v>
      </c>
      <c r="R544" s="28" t="s">
        <v>1833</v>
      </c>
      <c r="S544" s="28" t="s">
        <v>1833</v>
      </c>
      <c r="T544" s="28" t="s">
        <v>1833</v>
      </c>
      <c r="U544" s="28" t="s">
        <v>3856</v>
      </c>
      <c r="V544" s="28" t="s">
        <v>3851</v>
      </c>
    </row>
    <row r="545" spans="1:22" ht="34.5" customHeight="1" x14ac:dyDescent="0.25">
      <c r="A545" s="26">
        <v>49</v>
      </c>
      <c r="B545" s="27" t="s">
        <v>3826</v>
      </c>
      <c r="C545" s="28" t="s">
        <v>3827</v>
      </c>
      <c r="D545" s="28" t="s">
        <v>3826</v>
      </c>
      <c r="E545" s="28" t="s">
        <v>3857</v>
      </c>
      <c r="F545" s="28" t="s">
        <v>64</v>
      </c>
      <c r="G545" s="28" t="s">
        <v>3858</v>
      </c>
      <c r="H545" s="28" t="s">
        <v>3859</v>
      </c>
      <c r="I545" s="28" t="s">
        <v>3860</v>
      </c>
      <c r="J545" s="28" t="s">
        <v>30</v>
      </c>
      <c r="K545" s="28" t="s">
        <v>3861</v>
      </c>
      <c r="L545" s="28">
        <v>4</v>
      </c>
      <c r="M545" s="28">
        <v>1.5</v>
      </c>
      <c r="N545" s="25">
        <f t="shared" si="8"/>
        <v>1.75</v>
      </c>
      <c r="O545" s="28" t="s">
        <v>1802</v>
      </c>
      <c r="P545" s="28" t="s">
        <v>1802</v>
      </c>
      <c r="Q545" s="28" t="s">
        <v>484</v>
      </c>
      <c r="R545" s="28" t="s">
        <v>1026</v>
      </c>
      <c r="S545" s="28" t="s">
        <v>3862</v>
      </c>
      <c r="T545" s="28" t="s">
        <v>3863</v>
      </c>
      <c r="U545" s="28" t="s">
        <v>3864</v>
      </c>
      <c r="V545" s="28" t="s">
        <v>3865</v>
      </c>
    </row>
    <row r="546" spans="1:22" ht="34.5" customHeight="1" x14ac:dyDescent="0.25">
      <c r="A546" s="26">
        <v>49</v>
      </c>
      <c r="B546" s="27" t="s">
        <v>3826</v>
      </c>
      <c r="C546" s="28" t="s">
        <v>3827</v>
      </c>
      <c r="D546" s="28" t="s">
        <v>3826</v>
      </c>
      <c r="E546" s="28" t="s">
        <v>3866</v>
      </c>
      <c r="F546" s="28" t="s">
        <v>72</v>
      </c>
      <c r="G546" s="28" t="s">
        <v>3867</v>
      </c>
      <c r="H546" s="28" t="s">
        <v>3868</v>
      </c>
      <c r="I546" s="28" t="s">
        <v>3869</v>
      </c>
      <c r="J546" s="28" t="s">
        <v>30</v>
      </c>
      <c r="K546" s="28" t="s">
        <v>3870</v>
      </c>
      <c r="L546" s="28">
        <v>6</v>
      </c>
      <c r="M546" s="28">
        <v>2.5</v>
      </c>
      <c r="N546" s="25">
        <f t="shared" si="8"/>
        <v>3</v>
      </c>
      <c r="O546" s="28" t="s">
        <v>3871</v>
      </c>
      <c r="P546" s="28" t="s">
        <v>3700</v>
      </c>
      <c r="Q546" s="28" t="s">
        <v>1832</v>
      </c>
      <c r="R546" s="28" t="s">
        <v>1833</v>
      </c>
      <c r="S546" s="28" t="s">
        <v>1833</v>
      </c>
      <c r="T546" s="28" t="s">
        <v>1833</v>
      </c>
      <c r="U546" s="28" t="s">
        <v>3872</v>
      </c>
      <c r="V546" s="28" t="s">
        <v>3873</v>
      </c>
    </row>
    <row r="547" spans="1:22" ht="34.5" customHeight="1" x14ac:dyDescent="0.25">
      <c r="A547" s="26">
        <v>49</v>
      </c>
      <c r="B547" s="27" t="s">
        <v>3826</v>
      </c>
      <c r="C547" s="28" t="s">
        <v>3827</v>
      </c>
      <c r="D547" s="28" t="s">
        <v>3826</v>
      </c>
      <c r="E547" s="28" t="s">
        <v>3874</v>
      </c>
      <c r="F547" s="28" t="s">
        <v>80</v>
      </c>
      <c r="G547" s="28" t="s">
        <v>3875</v>
      </c>
      <c r="H547" s="28" t="s">
        <v>3876</v>
      </c>
      <c r="I547" s="28" t="s">
        <v>3877</v>
      </c>
      <c r="J547" s="28" t="s">
        <v>30</v>
      </c>
      <c r="K547" s="28" t="s">
        <v>3878</v>
      </c>
      <c r="L547" s="28">
        <v>6</v>
      </c>
      <c r="M547" s="28">
        <v>2.5</v>
      </c>
      <c r="N547" s="25">
        <f t="shared" si="8"/>
        <v>3</v>
      </c>
      <c r="O547" s="28" t="s">
        <v>1985</v>
      </c>
      <c r="P547" s="28" t="s">
        <v>1802</v>
      </c>
      <c r="Q547" s="28" t="s">
        <v>484</v>
      </c>
      <c r="R547" s="28" t="s">
        <v>1026</v>
      </c>
      <c r="S547" s="28" t="s">
        <v>3862</v>
      </c>
      <c r="T547" s="28" t="s">
        <v>3879</v>
      </c>
      <c r="U547" s="28" t="s">
        <v>3880</v>
      </c>
      <c r="V547" s="28" t="s">
        <v>3881</v>
      </c>
    </row>
    <row r="548" spans="1:22" ht="34.5" customHeight="1" x14ac:dyDescent="0.25">
      <c r="A548" s="26">
        <v>49</v>
      </c>
      <c r="B548" s="27" t="s">
        <v>3826</v>
      </c>
      <c r="C548" s="28" t="s">
        <v>3827</v>
      </c>
      <c r="D548" s="28" t="s">
        <v>3826</v>
      </c>
      <c r="E548" s="28" t="s">
        <v>3882</v>
      </c>
      <c r="F548" s="28" t="s">
        <v>88</v>
      </c>
      <c r="G548" s="28" t="s">
        <v>3883</v>
      </c>
      <c r="H548" s="28" t="s">
        <v>3884</v>
      </c>
      <c r="I548" s="28" t="s">
        <v>3885</v>
      </c>
      <c r="J548" s="28" t="s">
        <v>30</v>
      </c>
      <c r="K548" s="28" t="s">
        <v>3886</v>
      </c>
      <c r="L548" s="28">
        <v>1.5</v>
      </c>
      <c r="M548" s="28">
        <v>0.5</v>
      </c>
      <c r="N548" s="25">
        <f t="shared" si="8"/>
        <v>0.5</v>
      </c>
      <c r="O548" s="28" t="s">
        <v>3403</v>
      </c>
      <c r="P548" s="28" t="s">
        <v>1802</v>
      </c>
      <c r="Q548" s="28" t="s">
        <v>419</v>
      </c>
      <c r="R548" s="28" t="s">
        <v>1026</v>
      </c>
      <c r="S548" s="28" t="s">
        <v>3887</v>
      </c>
      <c r="T548" s="28" t="s">
        <v>3888</v>
      </c>
      <c r="U548" s="28" t="s">
        <v>3889</v>
      </c>
      <c r="V548" s="28" t="s">
        <v>3890</v>
      </c>
    </row>
    <row r="549" spans="1:22" ht="34.5" customHeight="1" x14ac:dyDescent="0.25">
      <c r="A549" s="26">
        <v>49</v>
      </c>
      <c r="B549" s="27" t="s">
        <v>3826</v>
      </c>
      <c r="C549" s="28" t="s">
        <v>3827</v>
      </c>
      <c r="D549" s="28" t="s">
        <v>3826</v>
      </c>
      <c r="E549" s="28" t="s">
        <v>3891</v>
      </c>
      <c r="F549" s="28" t="s">
        <v>95</v>
      </c>
      <c r="G549" s="28" t="s">
        <v>3892</v>
      </c>
      <c r="H549" s="28" t="s">
        <v>3893</v>
      </c>
      <c r="I549" s="28" t="s">
        <v>3894</v>
      </c>
      <c r="J549" s="28" t="s">
        <v>30</v>
      </c>
      <c r="K549" s="28" t="s">
        <v>3895</v>
      </c>
      <c r="L549" s="28">
        <v>4</v>
      </c>
      <c r="M549" s="28">
        <v>1.5</v>
      </c>
      <c r="N549" s="25">
        <f t="shared" si="8"/>
        <v>1.75</v>
      </c>
      <c r="O549" s="28" t="s">
        <v>3896</v>
      </c>
      <c r="P549" s="28" t="s">
        <v>1802</v>
      </c>
      <c r="Q549" s="28" t="s">
        <v>1832</v>
      </c>
      <c r="R549" s="28" t="s">
        <v>1833</v>
      </c>
      <c r="S549" s="28" t="s">
        <v>1833</v>
      </c>
      <c r="T549" s="28" t="s">
        <v>1833</v>
      </c>
      <c r="U549" s="28" t="s">
        <v>3897</v>
      </c>
      <c r="V549" s="28" t="s">
        <v>3898</v>
      </c>
    </row>
    <row r="550" spans="1:22" ht="34.5" customHeight="1" x14ac:dyDescent="0.25">
      <c r="A550" s="26">
        <v>49</v>
      </c>
      <c r="B550" s="27" t="s">
        <v>3826</v>
      </c>
      <c r="C550" s="28" t="s">
        <v>3827</v>
      </c>
      <c r="D550" s="28" t="s">
        <v>3826</v>
      </c>
      <c r="E550" s="28" t="s">
        <v>3899</v>
      </c>
      <c r="F550" s="28" t="s">
        <v>112</v>
      </c>
      <c r="G550" s="28" t="s">
        <v>3900</v>
      </c>
      <c r="H550" s="28" t="s">
        <v>3901</v>
      </c>
      <c r="I550" s="28" t="s">
        <v>3902</v>
      </c>
      <c r="J550" s="28" t="s">
        <v>116</v>
      </c>
      <c r="K550" s="28" t="s">
        <v>3903</v>
      </c>
      <c r="L550" s="28">
        <v>2</v>
      </c>
      <c r="M550" s="28">
        <v>0.75</v>
      </c>
      <c r="N550" s="25">
        <f t="shared" si="8"/>
        <v>1</v>
      </c>
      <c r="O550" s="28" t="s">
        <v>1831</v>
      </c>
      <c r="P550" s="28" t="s">
        <v>1831</v>
      </c>
      <c r="Q550" s="28" t="s">
        <v>1832</v>
      </c>
      <c r="R550" s="28" t="s">
        <v>1833</v>
      </c>
      <c r="S550" s="28" t="s">
        <v>1833</v>
      </c>
      <c r="T550" s="28" t="s">
        <v>1833</v>
      </c>
      <c r="U550" s="28" t="s">
        <v>1833</v>
      </c>
      <c r="V550" s="28" t="s">
        <v>3904</v>
      </c>
    </row>
    <row r="551" spans="1:22" ht="34.5" customHeight="1" x14ac:dyDescent="0.25">
      <c r="A551" s="26">
        <v>49</v>
      </c>
      <c r="B551" s="27" t="s">
        <v>3826</v>
      </c>
      <c r="C551" s="28" t="s">
        <v>3827</v>
      </c>
      <c r="D551" s="28" t="s">
        <v>3826</v>
      </c>
      <c r="E551" s="28" t="s">
        <v>3905</v>
      </c>
      <c r="F551" s="28" t="s">
        <v>157</v>
      </c>
      <c r="G551" s="28" t="s">
        <v>3906</v>
      </c>
      <c r="H551" s="28" t="s">
        <v>3907</v>
      </c>
      <c r="I551" s="28" t="s">
        <v>3908</v>
      </c>
      <c r="J551" s="28" t="s">
        <v>161</v>
      </c>
      <c r="K551" s="28" t="s">
        <v>3909</v>
      </c>
      <c r="L551" s="28">
        <v>5</v>
      </c>
      <c r="M551" s="28">
        <v>2</v>
      </c>
      <c r="N551" s="25">
        <f t="shared" si="8"/>
        <v>2.5</v>
      </c>
      <c r="O551" s="28" t="s">
        <v>1906</v>
      </c>
      <c r="P551" s="28" t="s">
        <v>1907</v>
      </c>
      <c r="Q551" s="28" t="s">
        <v>1832</v>
      </c>
      <c r="R551" s="28" t="s">
        <v>1833</v>
      </c>
      <c r="S551" s="28" t="s">
        <v>1833</v>
      </c>
      <c r="T551" s="28" t="s">
        <v>1833</v>
      </c>
      <c r="U551" s="28" t="s">
        <v>1833</v>
      </c>
      <c r="V551" s="28" t="s">
        <v>3910</v>
      </c>
    </row>
    <row r="552" spans="1:22" ht="34.5" customHeight="1" x14ac:dyDescent="0.25">
      <c r="A552" s="26">
        <v>49</v>
      </c>
      <c r="B552" s="27" t="s">
        <v>3826</v>
      </c>
      <c r="C552" s="28" t="s">
        <v>3827</v>
      </c>
      <c r="D552" s="28" t="s">
        <v>3826</v>
      </c>
      <c r="E552" s="28" t="s">
        <v>3911</v>
      </c>
      <c r="F552" s="28" t="s">
        <v>166</v>
      </c>
      <c r="G552" s="28" t="s">
        <v>3912</v>
      </c>
      <c r="H552" s="28" t="s">
        <v>3913</v>
      </c>
      <c r="I552" s="28" t="s">
        <v>3914</v>
      </c>
      <c r="J552" s="28" t="s">
        <v>161</v>
      </c>
      <c r="K552" s="28" t="s">
        <v>3915</v>
      </c>
      <c r="L552" s="28">
        <v>5</v>
      </c>
      <c r="M552" s="28">
        <v>2</v>
      </c>
      <c r="N552" s="25">
        <f t="shared" si="8"/>
        <v>2.5</v>
      </c>
      <c r="O552" s="28" t="s">
        <v>1906</v>
      </c>
      <c r="P552" s="28" t="s">
        <v>1907</v>
      </c>
      <c r="Q552" s="28" t="s">
        <v>1832</v>
      </c>
      <c r="R552" s="28" t="s">
        <v>1833</v>
      </c>
      <c r="S552" s="28" t="s">
        <v>1833</v>
      </c>
      <c r="T552" s="28" t="s">
        <v>1833</v>
      </c>
      <c r="U552" s="28" t="s">
        <v>1833</v>
      </c>
      <c r="V552" s="28" t="s">
        <v>3916</v>
      </c>
    </row>
    <row r="553" spans="1:22" ht="34.5" customHeight="1" x14ac:dyDescent="0.25">
      <c r="A553" s="26">
        <v>50</v>
      </c>
      <c r="B553" s="27" t="s">
        <v>3917</v>
      </c>
      <c r="C553" s="28" t="s">
        <v>3918</v>
      </c>
      <c r="D553" s="28" t="s">
        <v>3919</v>
      </c>
      <c r="E553" s="28" t="s">
        <v>3920</v>
      </c>
      <c r="F553" s="28" t="s">
        <v>26</v>
      </c>
      <c r="G553" s="28" t="s">
        <v>3921</v>
      </c>
      <c r="H553" s="28" t="s">
        <v>3922</v>
      </c>
      <c r="I553" s="28" t="s">
        <v>3923</v>
      </c>
      <c r="J553" s="28" t="s">
        <v>30</v>
      </c>
      <c r="K553" s="28" t="s">
        <v>3924</v>
      </c>
      <c r="L553" s="28">
        <v>1.5</v>
      </c>
      <c r="M553" s="28">
        <v>0.5</v>
      </c>
      <c r="N553" s="25">
        <f t="shared" si="8"/>
        <v>0.5</v>
      </c>
      <c r="O553" s="28" t="s">
        <v>3403</v>
      </c>
      <c r="P553" s="28" t="s">
        <v>1802</v>
      </c>
      <c r="Q553" s="28" t="s">
        <v>419</v>
      </c>
      <c r="R553" s="28" t="s">
        <v>1026</v>
      </c>
      <c r="S553" s="28" t="s">
        <v>2763</v>
      </c>
      <c r="T553" s="28" t="s">
        <v>3925</v>
      </c>
      <c r="U553" s="28" t="s">
        <v>3926</v>
      </c>
      <c r="V553" s="28" t="s">
        <v>3927</v>
      </c>
    </row>
    <row r="554" spans="1:22" ht="34.5" customHeight="1" x14ac:dyDescent="0.25">
      <c r="A554" s="26">
        <v>50</v>
      </c>
      <c r="B554" s="27" t="s">
        <v>3917</v>
      </c>
      <c r="C554" s="28" t="s">
        <v>3918</v>
      </c>
      <c r="D554" s="28" t="s">
        <v>3919</v>
      </c>
      <c r="E554" s="28" t="s">
        <v>3928</v>
      </c>
      <c r="F554" s="28" t="s">
        <v>38</v>
      </c>
      <c r="G554" s="28" t="s">
        <v>3929</v>
      </c>
      <c r="H554" s="28" t="s">
        <v>3930</v>
      </c>
      <c r="I554" s="28" t="s">
        <v>3931</v>
      </c>
      <c r="J554" s="28" t="s">
        <v>30</v>
      </c>
      <c r="K554" s="28" t="s">
        <v>3932</v>
      </c>
      <c r="L554" s="28">
        <v>4</v>
      </c>
      <c r="M554" s="28">
        <v>1.5</v>
      </c>
      <c r="N554" s="25">
        <f t="shared" si="8"/>
        <v>1.75</v>
      </c>
      <c r="O554" s="28" t="s">
        <v>3933</v>
      </c>
      <c r="P554" s="28" t="s">
        <v>3700</v>
      </c>
      <c r="Q554" s="28" t="s">
        <v>1832</v>
      </c>
      <c r="R554" s="28" t="s">
        <v>1833</v>
      </c>
      <c r="S554" s="28" t="s">
        <v>1833</v>
      </c>
      <c r="T554" s="28" t="s">
        <v>1833</v>
      </c>
      <c r="U554" s="28" t="s">
        <v>3934</v>
      </c>
      <c r="V554" s="28" t="s">
        <v>3935</v>
      </c>
    </row>
    <row r="555" spans="1:22" ht="34.5" customHeight="1" x14ac:dyDescent="0.25">
      <c r="A555" s="26">
        <v>50</v>
      </c>
      <c r="B555" s="27" t="s">
        <v>3917</v>
      </c>
      <c r="C555" s="28" t="s">
        <v>3918</v>
      </c>
      <c r="D555" s="28" t="s">
        <v>3919</v>
      </c>
      <c r="E555" s="28" t="s">
        <v>3936</v>
      </c>
      <c r="F555" s="28" t="s">
        <v>46</v>
      </c>
      <c r="G555" s="28" t="s">
        <v>3937</v>
      </c>
      <c r="H555" s="28" t="s">
        <v>3938</v>
      </c>
      <c r="I555" s="28" t="s">
        <v>3939</v>
      </c>
      <c r="J555" s="28" t="s">
        <v>30</v>
      </c>
      <c r="K555" s="28" t="s">
        <v>3940</v>
      </c>
      <c r="L555" s="28">
        <v>3</v>
      </c>
      <c r="M555" s="28">
        <v>1</v>
      </c>
      <c r="N555" s="25">
        <f t="shared" si="8"/>
        <v>1.25</v>
      </c>
      <c r="O555" s="28" t="s">
        <v>3403</v>
      </c>
      <c r="P555" s="28" t="s">
        <v>1802</v>
      </c>
      <c r="Q555" s="28" t="s">
        <v>419</v>
      </c>
      <c r="R555" s="28" t="s">
        <v>1026</v>
      </c>
      <c r="S555" s="28" t="s">
        <v>3941</v>
      </c>
      <c r="T555" s="28" t="s">
        <v>3942</v>
      </c>
      <c r="U555" s="28" t="s">
        <v>3943</v>
      </c>
      <c r="V555" s="28" t="s">
        <v>3944</v>
      </c>
    </row>
    <row r="556" spans="1:22" ht="34.5" customHeight="1" x14ac:dyDescent="0.25">
      <c r="A556" s="26">
        <v>50</v>
      </c>
      <c r="B556" s="27" t="s">
        <v>3917</v>
      </c>
      <c r="C556" s="28" t="s">
        <v>3918</v>
      </c>
      <c r="D556" s="28" t="s">
        <v>3919</v>
      </c>
      <c r="E556" s="28" t="s">
        <v>3945</v>
      </c>
      <c r="F556" s="28" t="s">
        <v>53</v>
      </c>
      <c r="G556" s="28" t="s">
        <v>3946</v>
      </c>
      <c r="H556" s="28" t="s">
        <v>3947</v>
      </c>
      <c r="I556" s="28" t="s">
        <v>3948</v>
      </c>
      <c r="J556" s="28" t="s">
        <v>30</v>
      </c>
      <c r="K556" s="28" t="s">
        <v>3242</v>
      </c>
      <c r="L556" s="28">
        <v>3</v>
      </c>
      <c r="M556" s="28">
        <v>1</v>
      </c>
      <c r="N556" s="25">
        <f t="shared" si="8"/>
        <v>1.25</v>
      </c>
      <c r="O556" s="28" t="s">
        <v>1802</v>
      </c>
      <c r="P556" s="28" t="s">
        <v>1802</v>
      </c>
      <c r="Q556" s="28" t="s">
        <v>484</v>
      </c>
      <c r="R556" s="28" t="s">
        <v>1026</v>
      </c>
      <c r="S556" s="28" t="s">
        <v>3949</v>
      </c>
      <c r="T556" s="28" t="s">
        <v>3950</v>
      </c>
      <c r="U556" s="28" t="s">
        <v>3951</v>
      </c>
      <c r="V556" s="28" t="s">
        <v>3952</v>
      </c>
    </row>
    <row r="557" spans="1:22" ht="34.5" customHeight="1" x14ac:dyDescent="0.25">
      <c r="A557" s="26">
        <v>50</v>
      </c>
      <c r="B557" s="27" t="s">
        <v>3917</v>
      </c>
      <c r="C557" s="28" t="s">
        <v>3918</v>
      </c>
      <c r="D557" s="28" t="s">
        <v>3919</v>
      </c>
      <c r="E557" s="28" t="s">
        <v>3953</v>
      </c>
      <c r="F557" s="28" t="s">
        <v>64</v>
      </c>
      <c r="G557" s="28" t="s">
        <v>3954</v>
      </c>
      <c r="H557" s="28" t="s">
        <v>3955</v>
      </c>
      <c r="I557" s="28" t="s">
        <v>3956</v>
      </c>
      <c r="J557" s="28" t="s">
        <v>30</v>
      </c>
      <c r="K557" s="28" t="s">
        <v>3957</v>
      </c>
      <c r="L557" s="28">
        <v>3</v>
      </c>
      <c r="M557" s="28">
        <v>1</v>
      </c>
      <c r="N557" s="25">
        <f t="shared" si="8"/>
        <v>1.25</v>
      </c>
      <c r="O557" s="28" t="s">
        <v>3958</v>
      </c>
      <c r="P557" s="28" t="s">
        <v>1802</v>
      </c>
      <c r="Q557" s="28" t="s">
        <v>484</v>
      </c>
      <c r="R557" s="28" t="s">
        <v>1026</v>
      </c>
      <c r="S557" s="28" t="s">
        <v>1803</v>
      </c>
      <c r="T557" s="28" t="s">
        <v>3959</v>
      </c>
      <c r="U557" s="28" t="s">
        <v>3960</v>
      </c>
      <c r="V557" s="28" t="s">
        <v>3961</v>
      </c>
    </row>
    <row r="558" spans="1:22" ht="34.5" customHeight="1" x14ac:dyDescent="0.25">
      <c r="A558" s="26">
        <v>50</v>
      </c>
      <c r="B558" s="27" t="s">
        <v>3917</v>
      </c>
      <c r="C558" s="28" t="s">
        <v>3918</v>
      </c>
      <c r="D558" s="28" t="s">
        <v>3919</v>
      </c>
      <c r="E558" s="28" t="s">
        <v>3962</v>
      </c>
      <c r="F558" s="28" t="s">
        <v>72</v>
      </c>
      <c r="G558" s="28" t="s">
        <v>3963</v>
      </c>
      <c r="H558" s="28" t="s">
        <v>3964</v>
      </c>
      <c r="I558" s="28" t="s">
        <v>3965</v>
      </c>
      <c r="J558" s="28" t="s">
        <v>30</v>
      </c>
      <c r="K558" s="28" t="s">
        <v>3412</v>
      </c>
      <c r="L558" s="28">
        <v>3</v>
      </c>
      <c r="M558" s="28">
        <v>1</v>
      </c>
      <c r="N558" s="25">
        <f t="shared" si="8"/>
        <v>1.25</v>
      </c>
      <c r="O558" s="28" t="s">
        <v>1802</v>
      </c>
      <c r="P558" s="28" t="s">
        <v>1802</v>
      </c>
      <c r="Q558" s="28" t="s">
        <v>419</v>
      </c>
      <c r="R558" s="28" t="s">
        <v>1026</v>
      </c>
      <c r="S558" s="28" t="s">
        <v>3966</v>
      </c>
      <c r="T558" s="28" t="s">
        <v>3967</v>
      </c>
      <c r="U558" s="28" t="s">
        <v>3968</v>
      </c>
      <c r="V558" s="28" t="s">
        <v>3969</v>
      </c>
    </row>
    <row r="559" spans="1:22" ht="34.5" customHeight="1" x14ac:dyDescent="0.25">
      <c r="A559" s="26">
        <v>50</v>
      </c>
      <c r="B559" s="27" t="s">
        <v>3917</v>
      </c>
      <c r="C559" s="28" t="s">
        <v>3918</v>
      </c>
      <c r="D559" s="28" t="s">
        <v>3919</v>
      </c>
      <c r="E559" s="28" t="s">
        <v>3970</v>
      </c>
      <c r="F559" s="28" t="s">
        <v>112</v>
      </c>
      <c r="G559" s="28" t="s">
        <v>3971</v>
      </c>
      <c r="H559" s="28" t="s">
        <v>3972</v>
      </c>
      <c r="I559" s="28" t="s">
        <v>3973</v>
      </c>
      <c r="J559" s="28" t="s">
        <v>116</v>
      </c>
      <c r="K559" s="28" t="s">
        <v>3974</v>
      </c>
      <c r="L559" s="28">
        <v>4</v>
      </c>
      <c r="M559" s="28">
        <v>1.5</v>
      </c>
      <c r="N559" s="25">
        <f t="shared" si="8"/>
        <v>1.75</v>
      </c>
      <c r="O559" s="28" t="s">
        <v>1831</v>
      </c>
      <c r="P559" s="28" t="s">
        <v>1831</v>
      </c>
      <c r="Q559" s="28" t="s">
        <v>1832</v>
      </c>
      <c r="R559" s="28" t="s">
        <v>1833</v>
      </c>
      <c r="S559" s="28" t="s">
        <v>1833</v>
      </c>
      <c r="T559" s="28" t="s">
        <v>1833</v>
      </c>
      <c r="U559" s="28" t="s">
        <v>1833</v>
      </c>
      <c r="V559" s="28" t="s">
        <v>3975</v>
      </c>
    </row>
    <row r="560" spans="1:22" ht="34.5" customHeight="1" x14ac:dyDescent="0.25">
      <c r="A560" s="26">
        <v>50</v>
      </c>
      <c r="B560" s="27" t="s">
        <v>3917</v>
      </c>
      <c r="C560" s="28" t="s">
        <v>3918</v>
      </c>
      <c r="D560" s="28" t="s">
        <v>3919</v>
      </c>
      <c r="E560" s="28" t="s">
        <v>3976</v>
      </c>
      <c r="F560" s="28" t="s">
        <v>120</v>
      </c>
      <c r="G560" s="28" t="s">
        <v>3977</v>
      </c>
      <c r="H560" s="28" t="s">
        <v>3978</v>
      </c>
      <c r="I560" s="28" t="s">
        <v>3979</v>
      </c>
      <c r="J560" s="28" t="s">
        <v>116</v>
      </c>
      <c r="K560" s="28" t="s">
        <v>3974</v>
      </c>
      <c r="L560" s="28">
        <v>3</v>
      </c>
      <c r="M560" s="28">
        <v>1</v>
      </c>
      <c r="N560" s="25">
        <f t="shared" si="8"/>
        <v>1.25</v>
      </c>
      <c r="O560" s="28" t="s">
        <v>1831</v>
      </c>
      <c r="P560" s="28" t="s">
        <v>1831</v>
      </c>
      <c r="Q560" s="28" t="s">
        <v>1832</v>
      </c>
      <c r="R560" s="28" t="s">
        <v>1833</v>
      </c>
      <c r="S560" s="28" t="s">
        <v>1833</v>
      </c>
      <c r="T560" s="28" t="s">
        <v>1833</v>
      </c>
      <c r="U560" s="28" t="s">
        <v>1833</v>
      </c>
      <c r="V560" s="28" t="s">
        <v>3980</v>
      </c>
    </row>
    <row r="561" spans="1:22" ht="34.5" customHeight="1" x14ac:dyDescent="0.25">
      <c r="A561" s="26">
        <v>50</v>
      </c>
      <c r="B561" s="27" t="s">
        <v>3917</v>
      </c>
      <c r="C561" s="28" t="s">
        <v>3918</v>
      </c>
      <c r="D561" s="28" t="s">
        <v>3919</v>
      </c>
      <c r="E561" s="28" t="s">
        <v>3981</v>
      </c>
      <c r="F561" s="28" t="s">
        <v>157</v>
      </c>
      <c r="G561" s="28" t="s">
        <v>3982</v>
      </c>
      <c r="H561" s="28" t="s">
        <v>3983</v>
      </c>
      <c r="I561" s="28" t="s">
        <v>3984</v>
      </c>
      <c r="J561" s="28" t="s">
        <v>161</v>
      </c>
      <c r="K561" s="28" t="s">
        <v>3985</v>
      </c>
      <c r="L561" s="28">
        <v>5</v>
      </c>
      <c r="M561" s="28">
        <v>2</v>
      </c>
      <c r="N561" s="25">
        <f t="shared" si="8"/>
        <v>2.5</v>
      </c>
      <c r="O561" s="28" t="s">
        <v>1906</v>
      </c>
      <c r="P561" s="28" t="s">
        <v>1907</v>
      </c>
      <c r="Q561" s="28" t="s">
        <v>1832</v>
      </c>
      <c r="R561" s="28" t="s">
        <v>1833</v>
      </c>
      <c r="S561" s="28" t="s">
        <v>1833</v>
      </c>
      <c r="T561" s="28" t="s">
        <v>1833</v>
      </c>
      <c r="U561" s="28" t="s">
        <v>1833</v>
      </c>
      <c r="V561" s="28" t="s">
        <v>3986</v>
      </c>
    </row>
    <row r="562" spans="1:22" ht="34.5" customHeight="1" x14ac:dyDescent="0.25">
      <c r="A562" s="26">
        <v>50</v>
      </c>
      <c r="B562" s="27" t="s">
        <v>3917</v>
      </c>
      <c r="C562" s="28" t="s">
        <v>3918</v>
      </c>
      <c r="D562" s="28" t="s">
        <v>3919</v>
      </c>
      <c r="E562" s="28" t="s">
        <v>3987</v>
      </c>
      <c r="F562" s="28" t="s">
        <v>166</v>
      </c>
      <c r="G562" s="28" t="s">
        <v>3988</v>
      </c>
      <c r="H562" s="28" t="s">
        <v>3989</v>
      </c>
      <c r="I562" s="28" t="s">
        <v>3990</v>
      </c>
      <c r="J562" s="28" t="s">
        <v>161</v>
      </c>
      <c r="K562" s="28" t="s">
        <v>3991</v>
      </c>
      <c r="L562" s="28">
        <v>5</v>
      </c>
      <c r="M562" s="28">
        <v>2</v>
      </c>
      <c r="N562" s="25">
        <f t="shared" si="8"/>
        <v>2.5</v>
      </c>
      <c r="O562" s="28" t="s">
        <v>1906</v>
      </c>
      <c r="P562" s="28" t="s">
        <v>1907</v>
      </c>
      <c r="Q562" s="28" t="s">
        <v>1832</v>
      </c>
      <c r="R562" s="28" t="s">
        <v>1833</v>
      </c>
      <c r="S562" s="28" t="s">
        <v>1833</v>
      </c>
      <c r="T562" s="28" t="s">
        <v>1833</v>
      </c>
      <c r="U562" s="28" t="s">
        <v>1833</v>
      </c>
      <c r="V562" s="28" t="s">
        <v>3992</v>
      </c>
    </row>
    <row r="563" spans="1:22" ht="34.5" customHeight="1" x14ac:dyDescent="0.25">
      <c r="A563" s="26">
        <v>51</v>
      </c>
      <c r="B563" s="27" t="s">
        <v>3993</v>
      </c>
      <c r="C563" s="28" t="s">
        <v>3994</v>
      </c>
      <c r="D563" s="28" t="s">
        <v>3993</v>
      </c>
      <c r="E563" s="28" t="s">
        <v>3995</v>
      </c>
      <c r="F563" s="28" t="s">
        <v>26</v>
      </c>
      <c r="G563" s="28" t="s">
        <v>3996</v>
      </c>
      <c r="H563" s="28" t="s">
        <v>3997</v>
      </c>
      <c r="I563" s="28" t="s">
        <v>3998</v>
      </c>
      <c r="J563" s="28" t="s">
        <v>30</v>
      </c>
      <c r="K563" s="28" t="s">
        <v>3999</v>
      </c>
      <c r="L563" s="28">
        <v>3</v>
      </c>
      <c r="M563" s="28">
        <v>1</v>
      </c>
      <c r="N563" s="25">
        <f t="shared" si="8"/>
        <v>1.25</v>
      </c>
      <c r="O563" s="28" t="s">
        <v>3403</v>
      </c>
      <c r="P563" s="28" t="s">
        <v>1802</v>
      </c>
      <c r="Q563" s="28" t="s">
        <v>484</v>
      </c>
      <c r="R563" s="28" t="s">
        <v>1026</v>
      </c>
      <c r="S563" s="28" t="s">
        <v>4000</v>
      </c>
      <c r="T563" s="28" t="s">
        <v>4001</v>
      </c>
      <c r="U563" s="28" t="s">
        <v>4002</v>
      </c>
      <c r="V563" s="28" t="s">
        <v>4003</v>
      </c>
    </row>
    <row r="564" spans="1:22" ht="34.5" customHeight="1" x14ac:dyDescent="0.25">
      <c r="A564" s="26">
        <v>51</v>
      </c>
      <c r="B564" s="27" t="s">
        <v>3993</v>
      </c>
      <c r="C564" s="28" t="s">
        <v>3994</v>
      </c>
      <c r="D564" s="28" t="s">
        <v>3993</v>
      </c>
      <c r="E564" s="28" t="s">
        <v>4004</v>
      </c>
      <c r="F564" s="28" t="s">
        <v>38</v>
      </c>
      <c r="G564" s="28" t="s">
        <v>4005</v>
      </c>
      <c r="H564" s="28" t="s">
        <v>4006</v>
      </c>
      <c r="I564" s="28" t="s">
        <v>4007</v>
      </c>
      <c r="J564" s="28" t="s">
        <v>30</v>
      </c>
      <c r="K564" s="28" t="s">
        <v>4008</v>
      </c>
      <c r="L564" s="28">
        <v>6</v>
      </c>
      <c r="M564" s="28">
        <v>2.5</v>
      </c>
      <c r="N564" s="25">
        <f t="shared" si="8"/>
        <v>3</v>
      </c>
      <c r="O564" s="28" t="s">
        <v>4009</v>
      </c>
      <c r="P564" s="28" t="s">
        <v>3461</v>
      </c>
      <c r="Q564" s="28" t="s">
        <v>1832</v>
      </c>
      <c r="R564" s="28" t="s">
        <v>1833</v>
      </c>
      <c r="S564" s="28" t="s">
        <v>1833</v>
      </c>
      <c r="T564" s="28" t="s">
        <v>1833</v>
      </c>
      <c r="U564" s="28" t="s">
        <v>4010</v>
      </c>
      <c r="V564" s="28" t="s">
        <v>4011</v>
      </c>
    </row>
    <row r="565" spans="1:22" ht="34.5" customHeight="1" x14ac:dyDescent="0.25">
      <c r="A565" s="26">
        <v>51</v>
      </c>
      <c r="B565" s="27" t="s">
        <v>3993</v>
      </c>
      <c r="C565" s="28" t="s">
        <v>3994</v>
      </c>
      <c r="D565" s="28" t="s">
        <v>3993</v>
      </c>
      <c r="E565" s="28" t="s">
        <v>4012</v>
      </c>
      <c r="F565" s="28" t="s">
        <v>46</v>
      </c>
      <c r="G565" s="28" t="s">
        <v>4013</v>
      </c>
      <c r="H565" s="28" t="s">
        <v>4014</v>
      </c>
      <c r="I565" s="28" t="s">
        <v>4015</v>
      </c>
      <c r="J565" s="28" t="s">
        <v>30</v>
      </c>
      <c r="K565" s="28" t="s">
        <v>38</v>
      </c>
      <c r="L565" s="28">
        <v>4</v>
      </c>
      <c r="M565" s="28">
        <v>1.5</v>
      </c>
      <c r="N565" s="25">
        <f t="shared" si="8"/>
        <v>1.75</v>
      </c>
      <c r="O565" s="28" t="s">
        <v>4016</v>
      </c>
      <c r="P565" s="28" t="s">
        <v>3700</v>
      </c>
      <c r="Q565" s="28" t="s">
        <v>1832</v>
      </c>
      <c r="R565" s="28" t="s">
        <v>1833</v>
      </c>
      <c r="S565" s="28" t="s">
        <v>1833</v>
      </c>
      <c r="T565" s="28" t="s">
        <v>1833</v>
      </c>
      <c r="U565" s="28" t="s">
        <v>4017</v>
      </c>
      <c r="V565" s="28" t="s">
        <v>4018</v>
      </c>
    </row>
    <row r="566" spans="1:22" ht="34.5" customHeight="1" x14ac:dyDescent="0.25">
      <c r="A566" s="26">
        <v>51</v>
      </c>
      <c r="B566" s="27" t="s">
        <v>3993</v>
      </c>
      <c r="C566" s="28" t="s">
        <v>3994</v>
      </c>
      <c r="D566" s="28" t="s">
        <v>3993</v>
      </c>
      <c r="E566" s="28" t="s">
        <v>4019</v>
      </c>
      <c r="F566" s="28" t="s">
        <v>53</v>
      </c>
      <c r="G566" s="28" t="s">
        <v>4020</v>
      </c>
      <c r="H566" s="28" t="s">
        <v>4021</v>
      </c>
      <c r="I566" s="28" t="s">
        <v>4022</v>
      </c>
      <c r="J566" s="28" t="s">
        <v>30</v>
      </c>
      <c r="K566" s="28" t="s">
        <v>4023</v>
      </c>
      <c r="L566" s="28">
        <v>5</v>
      </c>
      <c r="M566" s="28">
        <v>2</v>
      </c>
      <c r="N566" s="25">
        <f t="shared" si="8"/>
        <v>2.5</v>
      </c>
      <c r="O566" s="28" t="s">
        <v>4024</v>
      </c>
      <c r="P566" s="28" t="s">
        <v>3700</v>
      </c>
      <c r="Q566" s="28" t="s">
        <v>1832</v>
      </c>
      <c r="R566" s="28" t="s">
        <v>1833</v>
      </c>
      <c r="S566" s="28" t="s">
        <v>1833</v>
      </c>
      <c r="T566" s="28" t="s">
        <v>1833</v>
      </c>
      <c r="U566" s="28" t="s">
        <v>4025</v>
      </c>
      <c r="V566" s="28" t="s">
        <v>4026</v>
      </c>
    </row>
    <row r="567" spans="1:22" ht="34.5" customHeight="1" x14ac:dyDescent="0.25">
      <c r="A567" s="26">
        <v>51</v>
      </c>
      <c r="B567" s="27" t="s">
        <v>3993</v>
      </c>
      <c r="C567" s="28" t="s">
        <v>3994</v>
      </c>
      <c r="D567" s="28" t="s">
        <v>3993</v>
      </c>
      <c r="E567" s="28" t="s">
        <v>4027</v>
      </c>
      <c r="F567" s="28" t="s">
        <v>64</v>
      </c>
      <c r="G567" s="28" t="s">
        <v>4028</v>
      </c>
      <c r="H567" s="28" t="s">
        <v>4029</v>
      </c>
      <c r="I567" s="28" t="s">
        <v>4030</v>
      </c>
      <c r="J567" s="28" t="s">
        <v>30</v>
      </c>
      <c r="K567" s="28" t="s">
        <v>4031</v>
      </c>
      <c r="L567" s="28">
        <v>4</v>
      </c>
      <c r="M567" s="28">
        <v>1.5</v>
      </c>
      <c r="N567" s="25">
        <f t="shared" si="8"/>
        <v>1.75</v>
      </c>
      <c r="O567" s="28" t="s">
        <v>1802</v>
      </c>
      <c r="P567" s="28" t="s">
        <v>1802</v>
      </c>
      <c r="Q567" s="28" t="s">
        <v>484</v>
      </c>
      <c r="R567" s="28" t="s">
        <v>1026</v>
      </c>
      <c r="S567" s="28" t="s">
        <v>4032</v>
      </c>
      <c r="T567" s="28" t="s">
        <v>4033</v>
      </c>
      <c r="U567" s="28" t="s">
        <v>4034</v>
      </c>
      <c r="V567" s="28" t="s">
        <v>4035</v>
      </c>
    </row>
    <row r="568" spans="1:22" ht="34.5" customHeight="1" x14ac:dyDescent="0.25">
      <c r="A568" s="26">
        <v>51</v>
      </c>
      <c r="B568" s="27" t="s">
        <v>3993</v>
      </c>
      <c r="C568" s="28" t="s">
        <v>3994</v>
      </c>
      <c r="D568" s="28" t="s">
        <v>3993</v>
      </c>
      <c r="E568" s="28" t="s">
        <v>4036</v>
      </c>
      <c r="F568" s="28" t="s">
        <v>72</v>
      </c>
      <c r="G568" s="28" t="s">
        <v>4037</v>
      </c>
      <c r="H568" s="28" t="s">
        <v>4038</v>
      </c>
      <c r="I568" s="28" t="s">
        <v>4039</v>
      </c>
      <c r="J568" s="28" t="s">
        <v>30</v>
      </c>
      <c r="K568" s="28" t="s">
        <v>4040</v>
      </c>
      <c r="L568" s="28">
        <v>5</v>
      </c>
      <c r="M568" s="28">
        <v>2</v>
      </c>
      <c r="N568" s="25">
        <f t="shared" si="8"/>
        <v>2.5</v>
      </c>
      <c r="O568" s="28" t="s">
        <v>4041</v>
      </c>
      <c r="P568" s="28" t="s">
        <v>1802</v>
      </c>
      <c r="Q568" s="28" t="s">
        <v>484</v>
      </c>
      <c r="R568" s="28" t="s">
        <v>1026</v>
      </c>
      <c r="S568" s="28" t="s">
        <v>4042</v>
      </c>
      <c r="T568" s="28" t="s">
        <v>4043</v>
      </c>
      <c r="U568" s="28" t="s">
        <v>4044</v>
      </c>
      <c r="V568" s="28" t="s">
        <v>4045</v>
      </c>
    </row>
    <row r="569" spans="1:22" ht="34.5" customHeight="1" x14ac:dyDescent="0.25">
      <c r="A569" s="26">
        <v>51</v>
      </c>
      <c r="B569" s="27" t="s">
        <v>3993</v>
      </c>
      <c r="C569" s="28" t="s">
        <v>3994</v>
      </c>
      <c r="D569" s="28" t="s">
        <v>3993</v>
      </c>
      <c r="E569" s="28" t="s">
        <v>4046</v>
      </c>
      <c r="F569" s="28" t="s">
        <v>80</v>
      </c>
      <c r="G569" s="28" t="s">
        <v>4047</v>
      </c>
      <c r="H569" s="28" t="s">
        <v>4048</v>
      </c>
      <c r="I569" s="28" t="s">
        <v>4049</v>
      </c>
      <c r="J569" s="28" t="s">
        <v>30</v>
      </c>
      <c r="K569" s="28" t="s">
        <v>4050</v>
      </c>
      <c r="L569" s="28">
        <v>3</v>
      </c>
      <c r="M569" s="28">
        <v>1</v>
      </c>
      <c r="N569" s="25">
        <f t="shared" si="8"/>
        <v>1.25</v>
      </c>
      <c r="O569" s="28" t="s">
        <v>3403</v>
      </c>
      <c r="P569" s="28" t="s">
        <v>1802</v>
      </c>
      <c r="Q569" s="28" t="s">
        <v>484</v>
      </c>
      <c r="R569" s="28" t="s">
        <v>1026</v>
      </c>
      <c r="S569" s="28" t="s">
        <v>4051</v>
      </c>
      <c r="T569" s="28" t="s">
        <v>4052</v>
      </c>
      <c r="U569" s="28" t="s">
        <v>4053</v>
      </c>
      <c r="V569" s="28" t="s">
        <v>4054</v>
      </c>
    </row>
    <row r="570" spans="1:22" ht="34.5" customHeight="1" x14ac:dyDescent="0.25">
      <c r="A570" s="26">
        <v>51</v>
      </c>
      <c r="B570" s="27" t="s">
        <v>3993</v>
      </c>
      <c r="C570" s="28" t="s">
        <v>3994</v>
      </c>
      <c r="D570" s="28" t="s">
        <v>3993</v>
      </c>
      <c r="E570" s="28" t="s">
        <v>4055</v>
      </c>
      <c r="F570" s="28" t="s">
        <v>112</v>
      </c>
      <c r="G570" s="28" t="s">
        <v>4056</v>
      </c>
      <c r="H570" s="28" t="s">
        <v>4057</v>
      </c>
      <c r="I570" s="28" t="s">
        <v>4058</v>
      </c>
      <c r="J570" s="28" t="s">
        <v>116</v>
      </c>
      <c r="K570" s="28" t="s">
        <v>4059</v>
      </c>
      <c r="L570" s="28">
        <v>4</v>
      </c>
      <c r="M570" s="28">
        <v>1.5</v>
      </c>
      <c r="N570" s="25">
        <f t="shared" si="8"/>
        <v>1.75</v>
      </c>
      <c r="O570" s="28" t="s">
        <v>1831</v>
      </c>
      <c r="P570" s="28" t="s">
        <v>1831</v>
      </c>
      <c r="Q570" s="28" t="s">
        <v>1832</v>
      </c>
      <c r="R570" s="28" t="s">
        <v>1833</v>
      </c>
      <c r="S570" s="28" t="s">
        <v>1833</v>
      </c>
      <c r="T570" s="28" t="s">
        <v>1833</v>
      </c>
      <c r="U570" s="28" t="s">
        <v>1833</v>
      </c>
      <c r="V570" s="28" t="s">
        <v>4060</v>
      </c>
    </row>
    <row r="571" spans="1:22" ht="34.5" customHeight="1" x14ac:dyDescent="0.25">
      <c r="A571" s="26">
        <v>51</v>
      </c>
      <c r="B571" s="27" t="s">
        <v>3993</v>
      </c>
      <c r="C571" s="28" t="s">
        <v>3994</v>
      </c>
      <c r="D571" s="28" t="s">
        <v>3993</v>
      </c>
      <c r="E571" s="28" t="s">
        <v>4061</v>
      </c>
      <c r="F571" s="28" t="s">
        <v>120</v>
      </c>
      <c r="G571" s="28" t="s">
        <v>4062</v>
      </c>
      <c r="H571" s="28" t="s">
        <v>4063</v>
      </c>
      <c r="I571" s="28" t="s">
        <v>4064</v>
      </c>
      <c r="J571" s="28" t="s">
        <v>116</v>
      </c>
      <c r="K571" s="28" t="s">
        <v>1892</v>
      </c>
      <c r="L571" s="28">
        <v>4</v>
      </c>
      <c r="M571" s="28">
        <v>1.5</v>
      </c>
      <c r="N571" s="25">
        <f t="shared" si="8"/>
        <v>1.75</v>
      </c>
      <c r="O571" s="28" t="s">
        <v>1831</v>
      </c>
      <c r="P571" s="28" t="s">
        <v>1831</v>
      </c>
      <c r="Q571" s="28" t="s">
        <v>1832</v>
      </c>
      <c r="R571" s="28" t="s">
        <v>1833</v>
      </c>
      <c r="S571" s="28" t="s">
        <v>1833</v>
      </c>
      <c r="T571" s="28" t="s">
        <v>1833</v>
      </c>
      <c r="U571" s="28" t="s">
        <v>1833</v>
      </c>
      <c r="V571" s="28" t="s">
        <v>4065</v>
      </c>
    </row>
    <row r="572" spans="1:22" ht="34.5" customHeight="1" x14ac:dyDescent="0.25">
      <c r="A572" s="26">
        <v>51</v>
      </c>
      <c r="B572" s="27" t="s">
        <v>3993</v>
      </c>
      <c r="C572" s="28" t="s">
        <v>3994</v>
      </c>
      <c r="D572" s="28" t="s">
        <v>3993</v>
      </c>
      <c r="E572" s="28" t="s">
        <v>4066</v>
      </c>
      <c r="F572" s="28" t="s">
        <v>157</v>
      </c>
      <c r="G572" s="28" t="s">
        <v>4067</v>
      </c>
      <c r="H572" s="28" t="s">
        <v>4068</v>
      </c>
      <c r="I572" s="28" t="s">
        <v>4069</v>
      </c>
      <c r="J572" s="28" t="s">
        <v>161</v>
      </c>
      <c r="K572" s="28" t="s">
        <v>4070</v>
      </c>
      <c r="L572" s="28">
        <v>6</v>
      </c>
      <c r="M572" s="28">
        <v>2.5</v>
      </c>
      <c r="N572" s="25">
        <f t="shared" si="8"/>
        <v>3</v>
      </c>
      <c r="O572" s="28" t="s">
        <v>4071</v>
      </c>
      <c r="P572" s="28" t="s">
        <v>1907</v>
      </c>
      <c r="Q572" s="28" t="s">
        <v>1832</v>
      </c>
      <c r="R572" s="28" t="s">
        <v>1833</v>
      </c>
      <c r="S572" s="28" t="s">
        <v>1833</v>
      </c>
      <c r="T572" s="28" t="s">
        <v>1833</v>
      </c>
      <c r="U572" s="28" t="s">
        <v>1833</v>
      </c>
      <c r="V572" s="28" t="s">
        <v>4072</v>
      </c>
    </row>
    <row r="573" spans="1:22" ht="34.5" customHeight="1" x14ac:dyDescent="0.25">
      <c r="A573" s="26">
        <v>52</v>
      </c>
      <c r="B573" s="27" t="s">
        <v>4073</v>
      </c>
      <c r="C573" s="28" t="s">
        <v>4074</v>
      </c>
      <c r="D573" s="28" t="s">
        <v>4073</v>
      </c>
      <c r="E573" s="28" t="s">
        <v>4075</v>
      </c>
      <c r="F573" s="28" t="s">
        <v>26</v>
      </c>
      <c r="G573" s="28" t="s">
        <v>4076</v>
      </c>
      <c r="H573" s="28" t="s">
        <v>4077</v>
      </c>
      <c r="I573" s="28" t="s">
        <v>4078</v>
      </c>
      <c r="J573" s="28" t="s">
        <v>30</v>
      </c>
      <c r="K573" s="28" t="s">
        <v>4079</v>
      </c>
      <c r="L573" s="28">
        <v>4</v>
      </c>
      <c r="M573" s="28">
        <v>1.5</v>
      </c>
      <c r="N573" s="25">
        <f t="shared" si="8"/>
        <v>1.75</v>
      </c>
      <c r="O573" s="28" t="s">
        <v>1763</v>
      </c>
      <c r="P573" s="28" t="s">
        <v>1802</v>
      </c>
      <c r="Q573" s="28" t="s">
        <v>419</v>
      </c>
      <c r="R573" s="28" t="s">
        <v>1026</v>
      </c>
      <c r="S573" s="28" t="s">
        <v>4080</v>
      </c>
      <c r="T573" s="28" t="s">
        <v>4081</v>
      </c>
      <c r="U573" s="28" t="s">
        <v>4082</v>
      </c>
      <c r="V573" s="28" t="s">
        <v>4083</v>
      </c>
    </row>
    <row r="574" spans="1:22" ht="34.5" customHeight="1" x14ac:dyDescent="0.25">
      <c r="A574" s="26">
        <v>52</v>
      </c>
      <c r="B574" s="27" t="s">
        <v>4073</v>
      </c>
      <c r="C574" s="28" t="s">
        <v>4074</v>
      </c>
      <c r="D574" s="28" t="s">
        <v>4073</v>
      </c>
      <c r="E574" s="28" t="s">
        <v>4084</v>
      </c>
      <c r="F574" s="28" t="s">
        <v>38</v>
      </c>
      <c r="G574" s="28" t="s">
        <v>4085</v>
      </c>
      <c r="H574" s="28" t="s">
        <v>4086</v>
      </c>
      <c r="I574" s="28" t="s">
        <v>4087</v>
      </c>
      <c r="J574" s="28" t="s">
        <v>30</v>
      </c>
      <c r="K574" s="28" t="s">
        <v>4088</v>
      </c>
      <c r="L574" s="28">
        <v>4</v>
      </c>
      <c r="M574" s="28">
        <v>1.5</v>
      </c>
      <c r="N574" s="25">
        <f t="shared" si="8"/>
        <v>1.75</v>
      </c>
      <c r="O574" s="28" t="s">
        <v>1763</v>
      </c>
      <c r="P574" s="28" t="s">
        <v>1802</v>
      </c>
      <c r="Q574" s="28" t="s">
        <v>419</v>
      </c>
      <c r="R574" s="28" t="s">
        <v>1026</v>
      </c>
      <c r="S574" s="28" t="s">
        <v>4089</v>
      </c>
      <c r="T574" s="28" t="s">
        <v>4090</v>
      </c>
      <c r="U574" s="28" t="s">
        <v>4091</v>
      </c>
      <c r="V574" s="28" t="s">
        <v>4092</v>
      </c>
    </row>
    <row r="575" spans="1:22" ht="34.5" customHeight="1" x14ac:dyDescent="0.25">
      <c r="A575" s="26">
        <v>52</v>
      </c>
      <c r="B575" s="27" t="s">
        <v>4073</v>
      </c>
      <c r="C575" s="28" t="s">
        <v>4074</v>
      </c>
      <c r="D575" s="28" t="s">
        <v>4073</v>
      </c>
      <c r="E575" s="28" t="s">
        <v>4093</v>
      </c>
      <c r="F575" s="28" t="s">
        <v>46</v>
      </c>
      <c r="G575" s="28" t="s">
        <v>4094</v>
      </c>
      <c r="H575" s="28" t="s">
        <v>4095</v>
      </c>
      <c r="I575" s="28" t="s">
        <v>4096</v>
      </c>
      <c r="J575" s="28" t="s">
        <v>30</v>
      </c>
      <c r="K575" s="28" t="s">
        <v>4097</v>
      </c>
      <c r="L575" s="28">
        <v>5</v>
      </c>
      <c r="M575" s="28">
        <v>2</v>
      </c>
      <c r="N575" s="25">
        <f t="shared" si="8"/>
        <v>2.5</v>
      </c>
      <c r="O575" s="28" t="s">
        <v>1763</v>
      </c>
      <c r="P575" s="28" t="s">
        <v>1802</v>
      </c>
      <c r="Q575" s="28" t="s">
        <v>419</v>
      </c>
      <c r="R575" s="28" t="s">
        <v>1026</v>
      </c>
      <c r="S575" s="28" t="s">
        <v>4098</v>
      </c>
      <c r="T575" s="28" t="s">
        <v>4099</v>
      </c>
      <c r="U575" s="28" t="s">
        <v>4100</v>
      </c>
      <c r="V575" s="28" t="s">
        <v>4101</v>
      </c>
    </row>
    <row r="576" spans="1:22" ht="34.5" customHeight="1" x14ac:dyDescent="0.25">
      <c r="A576" s="26">
        <v>52</v>
      </c>
      <c r="B576" s="27" t="s">
        <v>4073</v>
      </c>
      <c r="C576" s="28" t="s">
        <v>4074</v>
      </c>
      <c r="D576" s="28" t="s">
        <v>4073</v>
      </c>
      <c r="E576" s="28" t="s">
        <v>4102</v>
      </c>
      <c r="F576" s="28" t="s">
        <v>53</v>
      </c>
      <c r="G576" s="28" t="s">
        <v>4103</v>
      </c>
      <c r="H576" s="28" t="s">
        <v>4104</v>
      </c>
      <c r="I576" s="28" t="s">
        <v>4105</v>
      </c>
      <c r="J576" s="28" t="s">
        <v>30</v>
      </c>
      <c r="K576" s="28" t="s">
        <v>4106</v>
      </c>
      <c r="L576" s="28">
        <v>4</v>
      </c>
      <c r="M576" s="28">
        <v>1.5</v>
      </c>
      <c r="N576" s="25">
        <f t="shared" si="8"/>
        <v>1.75</v>
      </c>
      <c r="O576" s="28" t="s">
        <v>1763</v>
      </c>
      <c r="P576" s="28" t="s">
        <v>1802</v>
      </c>
      <c r="Q576" s="28" t="s">
        <v>419</v>
      </c>
      <c r="R576" s="28" t="s">
        <v>1026</v>
      </c>
      <c r="S576" s="28" t="s">
        <v>4107</v>
      </c>
      <c r="T576" s="28" t="s">
        <v>4108</v>
      </c>
      <c r="U576" s="28" t="s">
        <v>4109</v>
      </c>
      <c r="V576" s="28" t="s">
        <v>4110</v>
      </c>
    </row>
    <row r="577" spans="1:22" ht="34.5" customHeight="1" x14ac:dyDescent="0.25">
      <c r="A577" s="26">
        <v>52</v>
      </c>
      <c r="B577" s="27" t="s">
        <v>4073</v>
      </c>
      <c r="C577" s="28" t="s">
        <v>4074</v>
      </c>
      <c r="D577" s="28" t="s">
        <v>4073</v>
      </c>
      <c r="E577" s="28" t="s">
        <v>4111</v>
      </c>
      <c r="F577" s="28" t="s">
        <v>64</v>
      </c>
      <c r="G577" s="28" t="s">
        <v>4112</v>
      </c>
      <c r="H577" s="28" t="s">
        <v>4113</v>
      </c>
      <c r="I577" s="28" t="s">
        <v>4114</v>
      </c>
      <c r="J577" s="28" t="s">
        <v>30</v>
      </c>
      <c r="K577" s="28" t="s">
        <v>4115</v>
      </c>
      <c r="L577" s="28">
        <v>5</v>
      </c>
      <c r="M577" s="28">
        <v>2</v>
      </c>
      <c r="N577" s="25">
        <f t="shared" si="8"/>
        <v>2.5</v>
      </c>
      <c r="O577" s="28" t="s">
        <v>4116</v>
      </c>
      <c r="P577" s="28" t="s">
        <v>4117</v>
      </c>
      <c r="Q577" s="28" t="s">
        <v>1832</v>
      </c>
      <c r="R577" s="28" t="s">
        <v>1833</v>
      </c>
      <c r="S577" s="28" t="s">
        <v>1833</v>
      </c>
      <c r="T577" s="28" t="s">
        <v>1833</v>
      </c>
      <c r="U577" s="28" t="s">
        <v>4118</v>
      </c>
      <c r="V577" s="28" t="s">
        <v>4119</v>
      </c>
    </row>
    <row r="578" spans="1:22" ht="34.5" customHeight="1" x14ac:dyDescent="0.25">
      <c r="A578" s="26">
        <v>52</v>
      </c>
      <c r="B578" s="27" t="s">
        <v>4073</v>
      </c>
      <c r="C578" s="28" t="s">
        <v>4074</v>
      </c>
      <c r="D578" s="28" t="s">
        <v>4073</v>
      </c>
      <c r="E578" s="28" t="s">
        <v>4120</v>
      </c>
      <c r="F578" s="28" t="s">
        <v>72</v>
      </c>
      <c r="G578" s="28" t="s">
        <v>4121</v>
      </c>
      <c r="H578" s="28" t="s">
        <v>4122</v>
      </c>
      <c r="I578" s="28" t="s">
        <v>4123</v>
      </c>
      <c r="J578" s="28" t="s">
        <v>30</v>
      </c>
      <c r="K578" s="28" t="s">
        <v>4124</v>
      </c>
      <c r="L578" s="28">
        <v>4</v>
      </c>
      <c r="M578" s="28">
        <v>1.5</v>
      </c>
      <c r="N578" s="25">
        <f t="shared" ref="N578:N641" si="9">MAX(ROUND(M578*1.2/0.25,0)*0.25,0.25)</f>
        <v>1.75</v>
      </c>
      <c r="O578" s="28" t="s">
        <v>4125</v>
      </c>
      <c r="P578" s="28" t="s">
        <v>4117</v>
      </c>
      <c r="Q578" s="28" t="s">
        <v>1832</v>
      </c>
      <c r="R578" s="28" t="s">
        <v>1833</v>
      </c>
      <c r="S578" s="28" t="s">
        <v>1833</v>
      </c>
      <c r="T578" s="28" t="s">
        <v>1833</v>
      </c>
      <c r="U578" s="28" t="s">
        <v>4126</v>
      </c>
      <c r="V578" s="28" t="s">
        <v>4127</v>
      </c>
    </row>
    <row r="579" spans="1:22" ht="34.5" customHeight="1" x14ac:dyDescent="0.25">
      <c r="A579" s="26">
        <v>52</v>
      </c>
      <c r="B579" s="27" t="s">
        <v>4073</v>
      </c>
      <c r="C579" s="28" t="s">
        <v>4074</v>
      </c>
      <c r="D579" s="28" t="s">
        <v>4073</v>
      </c>
      <c r="E579" s="28" t="s">
        <v>4128</v>
      </c>
      <c r="F579" s="28" t="s">
        <v>112</v>
      </c>
      <c r="G579" s="28" t="s">
        <v>4129</v>
      </c>
      <c r="H579" s="28" t="s">
        <v>4130</v>
      </c>
      <c r="I579" s="28" t="s">
        <v>4131</v>
      </c>
      <c r="J579" s="28" t="s">
        <v>116</v>
      </c>
      <c r="K579" s="28" t="s">
        <v>4132</v>
      </c>
      <c r="L579" s="28">
        <v>4</v>
      </c>
      <c r="M579" s="28">
        <v>1.5</v>
      </c>
      <c r="N579" s="25">
        <f t="shared" si="9"/>
        <v>1.75</v>
      </c>
      <c r="O579" s="28" t="s">
        <v>1831</v>
      </c>
      <c r="P579" s="28" t="s">
        <v>1831</v>
      </c>
      <c r="Q579" s="28" t="s">
        <v>1832</v>
      </c>
      <c r="R579" s="28" t="s">
        <v>1833</v>
      </c>
      <c r="S579" s="28" t="s">
        <v>1833</v>
      </c>
      <c r="T579" s="28" t="s">
        <v>1833</v>
      </c>
      <c r="U579" s="28" t="s">
        <v>1833</v>
      </c>
      <c r="V579" s="28" t="s">
        <v>4133</v>
      </c>
    </row>
    <row r="580" spans="1:22" ht="34.5" customHeight="1" x14ac:dyDescent="0.25">
      <c r="A580" s="26">
        <v>52</v>
      </c>
      <c r="B580" s="27" t="s">
        <v>4073</v>
      </c>
      <c r="C580" s="28" t="s">
        <v>4074</v>
      </c>
      <c r="D580" s="28" t="s">
        <v>4073</v>
      </c>
      <c r="E580" s="28" t="s">
        <v>4134</v>
      </c>
      <c r="F580" s="28" t="s">
        <v>157</v>
      </c>
      <c r="G580" s="28" t="s">
        <v>4135</v>
      </c>
      <c r="H580" s="28" t="s">
        <v>4136</v>
      </c>
      <c r="I580" s="28" t="s">
        <v>4137</v>
      </c>
      <c r="J580" s="28" t="s">
        <v>161</v>
      </c>
      <c r="K580" s="28" t="s">
        <v>4138</v>
      </c>
      <c r="L580" s="28">
        <v>5</v>
      </c>
      <c r="M580" s="28">
        <v>2</v>
      </c>
      <c r="N580" s="25">
        <f t="shared" si="9"/>
        <v>2.5</v>
      </c>
      <c r="O580" s="28" t="s">
        <v>4139</v>
      </c>
      <c r="P580" s="28" t="s">
        <v>1907</v>
      </c>
      <c r="Q580" s="28" t="s">
        <v>1832</v>
      </c>
      <c r="R580" s="28" t="s">
        <v>1833</v>
      </c>
      <c r="S580" s="28" t="s">
        <v>1833</v>
      </c>
      <c r="T580" s="28" t="s">
        <v>1833</v>
      </c>
      <c r="U580" s="28" t="s">
        <v>1833</v>
      </c>
      <c r="V580" s="28" t="s">
        <v>4140</v>
      </c>
    </row>
    <row r="581" spans="1:22" ht="34.5" customHeight="1" x14ac:dyDescent="0.25">
      <c r="A581" s="26">
        <v>53</v>
      </c>
      <c r="B581" s="27" t="s">
        <v>4141</v>
      </c>
      <c r="C581" s="28" t="s">
        <v>4142</v>
      </c>
      <c r="D581" s="28" t="s">
        <v>4143</v>
      </c>
      <c r="E581" s="28" t="s">
        <v>4144</v>
      </c>
      <c r="F581" s="28" t="s">
        <v>26</v>
      </c>
      <c r="G581" s="28" t="s">
        <v>4145</v>
      </c>
      <c r="H581" s="28" t="s">
        <v>4146</v>
      </c>
      <c r="I581" s="28" t="s">
        <v>4147</v>
      </c>
      <c r="J581" s="28" t="s">
        <v>30</v>
      </c>
      <c r="K581" s="28" t="s">
        <v>4148</v>
      </c>
      <c r="L581" s="28">
        <v>5</v>
      </c>
      <c r="M581" s="28">
        <v>1.5</v>
      </c>
      <c r="N581" s="25">
        <f t="shared" si="9"/>
        <v>1.75</v>
      </c>
      <c r="O581" s="28" t="s">
        <v>4149</v>
      </c>
      <c r="P581" s="28" t="s">
        <v>4150</v>
      </c>
      <c r="Q581" s="28" t="s">
        <v>4151</v>
      </c>
      <c r="R581" s="28" t="s">
        <v>1026</v>
      </c>
      <c r="S581" s="28" t="s">
        <v>4152</v>
      </c>
      <c r="T581" s="28" t="s">
        <v>4153</v>
      </c>
      <c r="U581" s="28" t="s">
        <v>4154</v>
      </c>
      <c r="V581" s="28"/>
    </row>
    <row r="582" spans="1:22" ht="34.5" customHeight="1" x14ac:dyDescent="0.25">
      <c r="A582" s="26">
        <v>53</v>
      </c>
      <c r="B582" s="27" t="s">
        <v>4141</v>
      </c>
      <c r="C582" s="28" t="s">
        <v>4142</v>
      </c>
      <c r="D582" s="28" t="s">
        <v>4143</v>
      </c>
      <c r="E582" s="28" t="s">
        <v>4155</v>
      </c>
      <c r="F582" s="28" t="s">
        <v>38</v>
      </c>
      <c r="G582" s="28" t="s">
        <v>4156</v>
      </c>
      <c r="H582" s="28" t="s">
        <v>4157</v>
      </c>
      <c r="I582" s="28" t="s">
        <v>4158</v>
      </c>
      <c r="J582" s="28" t="s">
        <v>30</v>
      </c>
      <c r="K582" s="28" t="s">
        <v>4159</v>
      </c>
      <c r="L582" s="28">
        <v>4</v>
      </c>
      <c r="M582" s="28">
        <v>1</v>
      </c>
      <c r="N582" s="25">
        <f t="shared" si="9"/>
        <v>1.25</v>
      </c>
      <c r="O582" s="28" t="s">
        <v>4160</v>
      </c>
      <c r="P582" s="28" t="s">
        <v>4161</v>
      </c>
      <c r="Q582" s="28" t="s">
        <v>419</v>
      </c>
      <c r="R582" s="28" t="s">
        <v>1026</v>
      </c>
      <c r="S582" s="28" t="s">
        <v>4162</v>
      </c>
      <c r="T582" s="28" t="s">
        <v>4163</v>
      </c>
      <c r="U582" s="28" t="s">
        <v>4164</v>
      </c>
      <c r="V582" s="28"/>
    </row>
    <row r="583" spans="1:22" ht="34.5" customHeight="1" x14ac:dyDescent="0.25">
      <c r="A583" s="26">
        <v>53</v>
      </c>
      <c r="B583" s="27" t="s">
        <v>4141</v>
      </c>
      <c r="C583" s="28" t="s">
        <v>4142</v>
      </c>
      <c r="D583" s="28" t="s">
        <v>4143</v>
      </c>
      <c r="E583" s="28" t="s">
        <v>4165</v>
      </c>
      <c r="F583" s="28" t="s">
        <v>46</v>
      </c>
      <c r="G583" s="28" t="s">
        <v>4166</v>
      </c>
      <c r="H583" s="28" t="s">
        <v>4167</v>
      </c>
      <c r="I583" s="28" t="s">
        <v>4168</v>
      </c>
      <c r="J583" s="28" t="s">
        <v>30</v>
      </c>
      <c r="K583" s="28" t="s">
        <v>4159</v>
      </c>
      <c r="L583" s="28">
        <v>3</v>
      </c>
      <c r="M583" s="28">
        <v>1</v>
      </c>
      <c r="N583" s="25">
        <f t="shared" si="9"/>
        <v>1.25</v>
      </c>
      <c r="O583" s="28" t="s">
        <v>4169</v>
      </c>
      <c r="P583" s="28" t="s">
        <v>4170</v>
      </c>
      <c r="Q583" s="28" t="s">
        <v>429</v>
      </c>
      <c r="R583" s="28" t="s">
        <v>1026</v>
      </c>
      <c r="S583" s="28" t="s">
        <v>4171</v>
      </c>
      <c r="T583" s="28" t="s">
        <v>4172</v>
      </c>
      <c r="U583" s="28" t="s">
        <v>4173</v>
      </c>
      <c r="V583" s="28"/>
    </row>
    <row r="584" spans="1:22" ht="34.5" customHeight="1" x14ac:dyDescent="0.25">
      <c r="A584" s="26">
        <v>53</v>
      </c>
      <c r="B584" s="27" t="s">
        <v>4141</v>
      </c>
      <c r="C584" s="28" t="s">
        <v>4142</v>
      </c>
      <c r="D584" s="28" t="s">
        <v>4143</v>
      </c>
      <c r="E584" s="28" t="s">
        <v>4174</v>
      </c>
      <c r="F584" s="28" t="s">
        <v>53</v>
      </c>
      <c r="G584" s="28" t="s">
        <v>4175</v>
      </c>
      <c r="H584" s="28" t="s">
        <v>4176</v>
      </c>
      <c r="I584" s="28" t="s">
        <v>4177</v>
      </c>
      <c r="J584" s="28" t="s">
        <v>30</v>
      </c>
      <c r="K584" s="28" t="s">
        <v>4159</v>
      </c>
      <c r="L584" s="28">
        <v>4</v>
      </c>
      <c r="M584" s="28">
        <v>1</v>
      </c>
      <c r="N584" s="25">
        <f t="shared" si="9"/>
        <v>1.25</v>
      </c>
      <c r="O584" s="28" t="s">
        <v>4178</v>
      </c>
      <c r="P584" s="28" t="s">
        <v>4179</v>
      </c>
      <c r="Q584" s="28" t="s">
        <v>4180</v>
      </c>
      <c r="R584" s="28" t="s">
        <v>1026</v>
      </c>
      <c r="S584" s="28" t="s">
        <v>4181</v>
      </c>
      <c r="T584" s="28" t="s">
        <v>4182</v>
      </c>
      <c r="U584" s="28" t="s">
        <v>4183</v>
      </c>
      <c r="V584" s="28"/>
    </row>
    <row r="585" spans="1:22" ht="34.5" customHeight="1" x14ac:dyDescent="0.25">
      <c r="A585" s="26">
        <v>53</v>
      </c>
      <c r="B585" s="27" t="s">
        <v>4141</v>
      </c>
      <c r="C585" s="28" t="s">
        <v>4142</v>
      </c>
      <c r="D585" s="28" t="s">
        <v>4143</v>
      </c>
      <c r="E585" s="28" t="s">
        <v>4184</v>
      </c>
      <c r="F585" s="28" t="s">
        <v>64</v>
      </c>
      <c r="G585" s="28" t="s">
        <v>4185</v>
      </c>
      <c r="H585" s="28" t="s">
        <v>4186</v>
      </c>
      <c r="I585" s="28" t="s">
        <v>4187</v>
      </c>
      <c r="J585" s="28" t="s">
        <v>30</v>
      </c>
      <c r="K585" s="28" t="s">
        <v>4188</v>
      </c>
      <c r="L585" s="28">
        <v>8</v>
      </c>
      <c r="M585" s="28">
        <v>2</v>
      </c>
      <c r="N585" s="25">
        <f t="shared" si="9"/>
        <v>2.5</v>
      </c>
      <c r="O585" s="28" t="s">
        <v>4189</v>
      </c>
      <c r="P585" s="28" t="s">
        <v>4190</v>
      </c>
      <c r="Q585" s="28" t="s">
        <v>429</v>
      </c>
      <c r="R585" s="28" t="s">
        <v>4191</v>
      </c>
      <c r="S585" s="28" t="s">
        <v>4192</v>
      </c>
      <c r="T585" s="28" t="s">
        <v>4193</v>
      </c>
      <c r="U585" s="28" t="s">
        <v>4194</v>
      </c>
      <c r="V585" s="28"/>
    </row>
    <row r="586" spans="1:22" ht="34.5" customHeight="1" x14ac:dyDescent="0.25">
      <c r="A586" s="26">
        <v>53</v>
      </c>
      <c r="B586" s="27" t="s">
        <v>4141</v>
      </c>
      <c r="C586" s="28" t="s">
        <v>4142</v>
      </c>
      <c r="D586" s="28" t="s">
        <v>4143</v>
      </c>
      <c r="E586" s="28" t="s">
        <v>4195</v>
      </c>
      <c r="F586" s="28" t="s">
        <v>72</v>
      </c>
      <c r="G586" s="28" t="s">
        <v>4196</v>
      </c>
      <c r="H586" s="28" t="s">
        <v>4197</v>
      </c>
      <c r="I586" s="28" t="s">
        <v>4198</v>
      </c>
      <c r="J586" s="28" t="s">
        <v>30</v>
      </c>
      <c r="K586" s="28" t="s">
        <v>4199</v>
      </c>
      <c r="L586" s="28">
        <v>4</v>
      </c>
      <c r="M586" s="28">
        <v>1</v>
      </c>
      <c r="N586" s="25">
        <f t="shared" si="9"/>
        <v>1.25</v>
      </c>
      <c r="O586" s="28" t="s">
        <v>4200</v>
      </c>
      <c r="P586" s="28" t="s">
        <v>4201</v>
      </c>
      <c r="Q586" s="28" t="s">
        <v>429</v>
      </c>
      <c r="R586" s="28" t="s">
        <v>1026</v>
      </c>
      <c r="S586" s="28" t="s">
        <v>4202</v>
      </c>
      <c r="T586" s="28" t="s">
        <v>4203</v>
      </c>
      <c r="U586" s="28" t="s">
        <v>4204</v>
      </c>
      <c r="V586" s="28"/>
    </row>
    <row r="587" spans="1:22" ht="34.5" customHeight="1" x14ac:dyDescent="0.25">
      <c r="A587" s="26">
        <v>53</v>
      </c>
      <c r="B587" s="27" t="s">
        <v>4141</v>
      </c>
      <c r="C587" s="28" t="s">
        <v>4142</v>
      </c>
      <c r="D587" s="28" t="s">
        <v>4143</v>
      </c>
      <c r="E587" s="28" t="s">
        <v>4205</v>
      </c>
      <c r="F587" s="28" t="s">
        <v>112</v>
      </c>
      <c r="G587" s="28" t="s">
        <v>4206</v>
      </c>
      <c r="H587" s="28" t="s">
        <v>4207</v>
      </c>
      <c r="I587" s="28" t="s">
        <v>4208</v>
      </c>
      <c r="J587" s="28" t="s">
        <v>116</v>
      </c>
      <c r="K587" s="28" t="s">
        <v>4209</v>
      </c>
      <c r="L587" s="28">
        <v>5</v>
      </c>
      <c r="M587" s="28">
        <v>1.5</v>
      </c>
      <c r="N587" s="25">
        <f t="shared" si="9"/>
        <v>1.75</v>
      </c>
      <c r="O587" s="28" t="s">
        <v>4210</v>
      </c>
      <c r="P587" s="28" t="s">
        <v>273</v>
      </c>
      <c r="Q587" s="28" t="s">
        <v>419</v>
      </c>
      <c r="R587" s="28" t="s">
        <v>1026</v>
      </c>
      <c r="S587" s="28" t="s">
        <v>4211</v>
      </c>
      <c r="T587" s="28" t="s">
        <v>4212</v>
      </c>
      <c r="U587" s="28" t="s">
        <v>4213</v>
      </c>
      <c r="V587" s="28"/>
    </row>
    <row r="588" spans="1:22" ht="34.5" customHeight="1" x14ac:dyDescent="0.25">
      <c r="A588" s="26">
        <v>53</v>
      </c>
      <c r="B588" s="27" t="s">
        <v>4141</v>
      </c>
      <c r="C588" s="28" t="s">
        <v>4142</v>
      </c>
      <c r="D588" s="28" t="s">
        <v>4143</v>
      </c>
      <c r="E588" s="28" t="s">
        <v>4214</v>
      </c>
      <c r="F588" s="28" t="s">
        <v>120</v>
      </c>
      <c r="G588" s="28" t="s">
        <v>4215</v>
      </c>
      <c r="H588" s="28" t="s">
        <v>4216</v>
      </c>
      <c r="I588" s="28" t="s">
        <v>4217</v>
      </c>
      <c r="J588" s="28" t="s">
        <v>116</v>
      </c>
      <c r="K588" s="28" t="s">
        <v>4218</v>
      </c>
      <c r="L588" s="28">
        <v>3</v>
      </c>
      <c r="M588" s="28">
        <v>1</v>
      </c>
      <c r="N588" s="25">
        <f t="shared" si="9"/>
        <v>1.25</v>
      </c>
      <c r="O588" s="28" t="s">
        <v>4219</v>
      </c>
      <c r="P588" s="28" t="s">
        <v>280</v>
      </c>
      <c r="Q588" s="28" t="s">
        <v>419</v>
      </c>
      <c r="R588" s="28" t="s">
        <v>4220</v>
      </c>
      <c r="S588" s="28" t="s">
        <v>4221</v>
      </c>
      <c r="T588" s="28" t="s">
        <v>4222</v>
      </c>
      <c r="U588" s="28" t="s">
        <v>4223</v>
      </c>
      <c r="V588" s="28"/>
    </row>
    <row r="589" spans="1:22" ht="34.5" customHeight="1" x14ac:dyDescent="0.25">
      <c r="A589" s="26">
        <v>53</v>
      </c>
      <c r="B589" s="27" t="s">
        <v>4141</v>
      </c>
      <c r="C589" s="28" t="s">
        <v>4142</v>
      </c>
      <c r="D589" s="28" t="s">
        <v>4143</v>
      </c>
      <c r="E589" s="28" t="s">
        <v>4224</v>
      </c>
      <c r="F589" s="28" t="s">
        <v>157</v>
      </c>
      <c r="G589" s="28" t="s">
        <v>4225</v>
      </c>
      <c r="H589" s="28" t="s">
        <v>4226</v>
      </c>
      <c r="I589" s="28" t="s">
        <v>4227</v>
      </c>
      <c r="J589" s="28" t="s">
        <v>161</v>
      </c>
      <c r="K589" s="28" t="s">
        <v>4228</v>
      </c>
      <c r="L589" s="28">
        <v>5</v>
      </c>
      <c r="M589" s="28">
        <v>1.5</v>
      </c>
      <c r="N589" s="25">
        <f t="shared" si="9"/>
        <v>1.75</v>
      </c>
      <c r="O589" s="28" t="s">
        <v>4229</v>
      </c>
      <c r="P589" s="28" t="s">
        <v>4230</v>
      </c>
      <c r="Q589" s="28" t="s">
        <v>429</v>
      </c>
      <c r="R589" s="28" t="s">
        <v>1026</v>
      </c>
      <c r="S589" s="28" t="s">
        <v>4231</v>
      </c>
      <c r="T589" s="28" t="s">
        <v>4232</v>
      </c>
      <c r="U589" s="28" t="s">
        <v>4233</v>
      </c>
      <c r="V589" s="28"/>
    </row>
    <row r="590" spans="1:22" ht="34.5" customHeight="1" x14ac:dyDescent="0.25">
      <c r="A590" s="26">
        <v>54</v>
      </c>
      <c r="B590" s="27" t="s">
        <v>4234</v>
      </c>
      <c r="C590" s="28" t="s">
        <v>4235</v>
      </c>
      <c r="D590" s="28" t="s">
        <v>4236</v>
      </c>
      <c r="E590" s="28" t="s">
        <v>4237</v>
      </c>
      <c r="F590" s="28" t="s">
        <v>26</v>
      </c>
      <c r="G590" s="28" t="s">
        <v>4238</v>
      </c>
      <c r="H590" s="28" t="s">
        <v>4239</v>
      </c>
      <c r="I590" s="28" t="s">
        <v>4240</v>
      </c>
      <c r="J590" s="28" t="s">
        <v>30</v>
      </c>
      <c r="K590" s="28" t="s">
        <v>4241</v>
      </c>
      <c r="L590" s="28">
        <v>6</v>
      </c>
      <c r="M590" s="28">
        <v>2</v>
      </c>
      <c r="N590" s="25">
        <f t="shared" si="9"/>
        <v>2.5</v>
      </c>
      <c r="O590" s="28" t="s">
        <v>4242</v>
      </c>
      <c r="P590" s="28" t="s">
        <v>4243</v>
      </c>
      <c r="Q590" s="28" t="s">
        <v>419</v>
      </c>
      <c r="R590" s="28" t="s">
        <v>4244</v>
      </c>
      <c r="S590" s="28" t="s">
        <v>4245</v>
      </c>
      <c r="T590" s="28" t="s">
        <v>4246</v>
      </c>
      <c r="U590" s="28" t="s">
        <v>4247</v>
      </c>
      <c r="V590" s="28"/>
    </row>
    <row r="591" spans="1:22" ht="34.5" customHeight="1" x14ac:dyDescent="0.25">
      <c r="A591" s="26">
        <v>54</v>
      </c>
      <c r="B591" s="27" t="s">
        <v>4234</v>
      </c>
      <c r="C591" s="28" t="s">
        <v>4235</v>
      </c>
      <c r="D591" s="28" t="s">
        <v>4236</v>
      </c>
      <c r="E591" s="28" t="s">
        <v>4248</v>
      </c>
      <c r="F591" s="28" t="s">
        <v>38</v>
      </c>
      <c r="G591" s="28" t="s">
        <v>4249</v>
      </c>
      <c r="H591" s="28" t="s">
        <v>4250</v>
      </c>
      <c r="I591" s="28" t="s">
        <v>4251</v>
      </c>
      <c r="J591" s="28" t="s">
        <v>30</v>
      </c>
      <c r="K591" s="28" t="s">
        <v>4241</v>
      </c>
      <c r="L591" s="28">
        <v>6</v>
      </c>
      <c r="M591" s="28">
        <v>2</v>
      </c>
      <c r="N591" s="25">
        <f t="shared" si="9"/>
        <v>2.5</v>
      </c>
      <c r="O591" s="28" t="s">
        <v>4252</v>
      </c>
      <c r="P591" s="28" t="s">
        <v>4253</v>
      </c>
      <c r="Q591" s="28" t="s">
        <v>429</v>
      </c>
      <c r="R591" s="28" t="s">
        <v>4254</v>
      </c>
      <c r="S591" s="28" t="s">
        <v>4255</v>
      </c>
      <c r="T591" s="28" t="s">
        <v>4256</v>
      </c>
      <c r="U591" s="28" t="s">
        <v>4257</v>
      </c>
      <c r="V591" s="28"/>
    </row>
    <row r="592" spans="1:22" ht="34.5" customHeight="1" x14ac:dyDescent="0.25">
      <c r="A592" s="26">
        <v>54</v>
      </c>
      <c r="B592" s="27" t="s">
        <v>4234</v>
      </c>
      <c r="C592" s="28" t="s">
        <v>4235</v>
      </c>
      <c r="D592" s="28" t="s">
        <v>4236</v>
      </c>
      <c r="E592" s="28" t="s">
        <v>4258</v>
      </c>
      <c r="F592" s="28" t="s">
        <v>46</v>
      </c>
      <c r="G592" s="28" t="s">
        <v>4259</v>
      </c>
      <c r="H592" s="28" t="s">
        <v>4260</v>
      </c>
      <c r="I592" s="28" t="s">
        <v>4261</v>
      </c>
      <c r="J592" s="28" t="s">
        <v>30</v>
      </c>
      <c r="K592" s="28" t="s">
        <v>4241</v>
      </c>
      <c r="L592" s="28">
        <v>8</v>
      </c>
      <c r="M592" s="28">
        <v>2.5</v>
      </c>
      <c r="N592" s="25">
        <f t="shared" si="9"/>
        <v>3</v>
      </c>
      <c r="O592" s="28" t="s">
        <v>4262</v>
      </c>
      <c r="P592" s="28" t="s">
        <v>4263</v>
      </c>
      <c r="Q592" s="28" t="s">
        <v>484</v>
      </c>
      <c r="R592" s="28" t="s">
        <v>1026</v>
      </c>
      <c r="S592" s="28" t="s">
        <v>4264</v>
      </c>
      <c r="T592" s="28" t="s">
        <v>4265</v>
      </c>
      <c r="U592" s="28" t="s">
        <v>4266</v>
      </c>
      <c r="V592" s="28"/>
    </row>
    <row r="593" spans="1:22" ht="34.5" customHeight="1" x14ac:dyDescent="0.25">
      <c r="A593" s="26">
        <v>54</v>
      </c>
      <c r="B593" s="27" t="s">
        <v>4234</v>
      </c>
      <c r="C593" s="28" t="s">
        <v>4235</v>
      </c>
      <c r="D593" s="28" t="s">
        <v>4236</v>
      </c>
      <c r="E593" s="28" t="s">
        <v>4267</v>
      </c>
      <c r="F593" s="28" t="s">
        <v>53</v>
      </c>
      <c r="G593" s="28" t="s">
        <v>4268</v>
      </c>
      <c r="H593" s="28" t="s">
        <v>4269</v>
      </c>
      <c r="I593" s="28" t="s">
        <v>4270</v>
      </c>
      <c r="J593" s="28" t="s">
        <v>30</v>
      </c>
      <c r="K593" s="28" t="s">
        <v>4241</v>
      </c>
      <c r="L593" s="28">
        <v>4</v>
      </c>
      <c r="M593" s="28">
        <v>1</v>
      </c>
      <c r="N593" s="25">
        <f t="shared" si="9"/>
        <v>1.25</v>
      </c>
      <c r="O593" s="28" t="s">
        <v>4271</v>
      </c>
      <c r="P593" s="28" t="s">
        <v>4272</v>
      </c>
      <c r="Q593" s="28" t="s">
        <v>419</v>
      </c>
      <c r="R593" s="28" t="s">
        <v>1026</v>
      </c>
      <c r="S593" s="28" t="s">
        <v>4273</v>
      </c>
      <c r="T593" s="28" t="s">
        <v>4274</v>
      </c>
      <c r="U593" s="28" t="s">
        <v>4275</v>
      </c>
      <c r="V593" s="28"/>
    </row>
    <row r="594" spans="1:22" ht="34.5" customHeight="1" x14ac:dyDescent="0.25">
      <c r="A594" s="26">
        <v>54</v>
      </c>
      <c r="B594" s="27" t="s">
        <v>4234</v>
      </c>
      <c r="C594" s="28" t="s">
        <v>4235</v>
      </c>
      <c r="D594" s="28" t="s">
        <v>4236</v>
      </c>
      <c r="E594" s="28" t="s">
        <v>4276</v>
      </c>
      <c r="F594" s="28" t="s">
        <v>64</v>
      </c>
      <c r="G594" s="28" t="s">
        <v>4277</v>
      </c>
      <c r="H594" s="28" t="s">
        <v>4278</v>
      </c>
      <c r="I594" s="28" t="s">
        <v>4279</v>
      </c>
      <c r="J594" s="28" t="s">
        <v>30</v>
      </c>
      <c r="K594" s="28" t="s">
        <v>4241</v>
      </c>
      <c r="L594" s="28">
        <v>5</v>
      </c>
      <c r="M594" s="28">
        <v>1.5</v>
      </c>
      <c r="N594" s="25">
        <f t="shared" si="9"/>
        <v>1.75</v>
      </c>
      <c r="O594" s="28" t="s">
        <v>4280</v>
      </c>
      <c r="P594" s="28" t="s">
        <v>4281</v>
      </c>
      <c r="Q594" s="28" t="s">
        <v>429</v>
      </c>
      <c r="R594" s="28" t="s">
        <v>4254</v>
      </c>
      <c r="S594" s="28" t="s">
        <v>4282</v>
      </c>
      <c r="T594" s="28" t="s">
        <v>4283</v>
      </c>
      <c r="U594" s="28" t="s">
        <v>4284</v>
      </c>
      <c r="V594" s="28"/>
    </row>
    <row r="595" spans="1:22" ht="34.5" customHeight="1" x14ac:dyDescent="0.25">
      <c r="A595" s="26">
        <v>54</v>
      </c>
      <c r="B595" s="27" t="s">
        <v>4234</v>
      </c>
      <c r="C595" s="28" t="s">
        <v>4235</v>
      </c>
      <c r="D595" s="28" t="s">
        <v>4236</v>
      </c>
      <c r="E595" s="28" t="s">
        <v>4285</v>
      </c>
      <c r="F595" s="28" t="s">
        <v>112</v>
      </c>
      <c r="G595" s="28" t="s">
        <v>4286</v>
      </c>
      <c r="H595" s="28" t="s">
        <v>4287</v>
      </c>
      <c r="I595" s="28" t="s">
        <v>4288</v>
      </c>
      <c r="J595" s="28" t="s">
        <v>116</v>
      </c>
      <c r="K595" s="28" t="s">
        <v>4241</v>
      </c>
      <c r="L595" s="28">
        <v>4</v>
      </c>
      <c r="M595" s="28">
        <v>1.5</v>
      </c>
      <c r="N595" s="25">
        <f t="shared" si="9"/>
        <v>1.75</v>
      </c>
      <c r="O595" s="28" t="s">
        <v>4289</v>
      </c>
      <c r="P595" s="28" t="s">
        <v>4290</v>
      </c>
      <c r="Q595" s="28" t="s">
        <v>419</v>
      </c>
      <c r="R595" s="28" t="s">
        <v>1026</v>
      </c>
      <c r="S595" s="28" t="s">
        <v>4291</v>
      </c>
      <c r="T595" s="28" t="s">
        <v>4292</v>
      </c>
      <c r="U595" s="28" t="s">
        <v>4293</v>
      </c>
      <c r="V595" s="28"/>
    </row>
    <row r="596" spans="1:22" ht="34.5" customHeight="1" x14ac:dyDescent="0.25">
      <c r="A596" s="26">
        <v>54</v>
      </c>
      <c r="B596" s="27" t="s">
        <v>4234</v>
      </c>
      <c r="C596" s="28" t="s">
        <v>4235</v>
      </c>
      <c r="D596" s="28" t="s">
        <v>4236</v>
      </c>
      <c r="E596" s="28" t="s">
        <v>4294</v>
      </c>
      <c r="F596" s="28" t="s">
        <v>157</v>
      </c>
      <c r="G596" s="28" t="s">
        <v>4295</v>
      </c>
      <c r="H596" s="28" t="s">
        <v>4296</v>
      </c>
      <c r="I596" s="28" t="s">
        <v>4297</v>
      </c>
      <c r="J596" s="28" t="s">
        <v>161</v>
      </c>
      <c r="K596" s="28" t="s">
        <v>4241</v>
      </c>
      <c r="L596" s="28">
        <v>8</v>
      </c>
      <c r="M596" s="28">
        <v>2.5</v>
      </c>
      <c r="N596" s="25">
        <f t="shared" si="9"/>
        <v>3</v>
      </c>
      <c r="O596" s="28" t="s">
        <v>4298</v>
      </c>
      <c r="P596" s="28" t="s">
        <v>4299</v>
      </c>
      <c r="Q596" s="28" t="s">
        <v>419</v>
      </c>
      <c r="R596" s="28" t="s">
        <v>4300</v>
      </c>
      <c r="S596" s="28" t="s">
        <v>4301</v>
      </c>
      <c r="T596" s="28" t="s">
        <v>4302</v>
      </c>
      <c r="U596" s="28" t="s">
        <v>4303</v>
      </c>
      <c r="V596" s="28"/>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2"/>
  <sheetViews>
    <sheetView showGridLines="0" topLeftCell="A19" zoomScaleNormal="100" workbookViewId="0">
      <selection activeCell="D8" sqref="D8"/>
    </sheetView>
  </sheetViews>
  <sheetFormatPr defaultColWidth="8.7109375" defaultRowHeight="15" x14ac:dyDescent="0.25"/>
  <cols>
    <col min="1" max="1" width="3" style="17" customWidth="1"/>
    <col min="2" max="2" width="32" style="17" customWidth="1"/>
    <col min="3" max="4" width="22" style="17" customWidth="1"/>
    <col min="5" max="5" width="32" style="17" customWidth="1"/>
    <col min="6" max="6" width="3" style="17" customWidth="1"/>
  </cols>
  <sheetData>
    <row r="2" spans="1:6" ht="33.75" customHeight="1" x14ac:dyDescent="0.25">
      <c r="B2" s="14" t="s">
        <v>4304</v>
      </c>
      <c r="C2" s="14"/>
      <c r="D2" s="14"/>
      <c r="E2" s="14"/>
    </row>
    <row r="3" spans="1:6" ht="18" customHeight="1" x14ac:dyDescent="0.25">
      <c r="B3" s="13" t="s">
        <v>4305</v>
      </c>
      <c r="C3" s="13"/>
      <c r="D3" s="13"/>
      <c r="E3" s="13"/>
    </row>
    <row r="5" spans="1:6" ht="18" customHeight="1" x14ac:dyDescent="0.25">
      <c r="B5" s="12" t="s">
        <v>4306</v>
      </c>
      <c r="C5" s="12"/>
      <c r="D5" s="12"/>
      <c r="E5" s="12"/>
    </row>
    <row r="6" spans="1:6" ht="18" customHeight="1" x14ac:dyDescent="0.25">
      <c r="B6" s="30" t="s">
        <v>4307</v>
      </c>
      <c r="C6" s="30" t="s">
        <v>4308</v>
      </c>
      <c r="D6" s="30" t="s">
        <v>4309</v>
      </c>
      <c r="E6" s="30" t="s">
        <v>4310</v>
      </c>
    </row>
    <row r="7" spans="1:6" ht="19.5" customHeight="1" x14ac:dyDescent="0.25">
      <c r="B7" s="31" t="s">
        <v>4311</v>
      </c>
      <c r="C7" s="32">
        <v>5</v>
      </c>
      <c r="D7" s="33" t="s">
        <v>4312</v>
      </c>
      <c r="E7" s="34" t="s">
        <v>4313</v>
      </c>
    </row>
    <row r="8" spans="1:6" ht="19.5" customHeight="1" x14ac:dyDescent="0.25">
      <c r="B8" s="31" t="s">
        <v>4314</v>
      </c>
      <c r="C8" s="32">
        <v>5</v>
      </c>
      <c r="D8" s="33" t="s">
        <v>4312</v>
      </c>
      <c r="E8" s="34" t="s">
        <v>4315</v>
      </c>
    </row>
    <row r="9" spans="1:6" ht="3.75" customHeight="1" x14ac:dyDescent="0.25">
      <c r="A9" s="35"/>
      <c r="B9" s="36"/>
      <c r="C9" s="37">
        <v>0.8</v>
      </c>
      <c r="D9" s="36"/>
      <c r="E9" s="36"/>
      <c r="F9" s="35"/>
    </row>
    <row r="10" spans="1:6" ht="3.75" customHeight="1" x14ac:dyDescent="0.25">
      <c r="A10" s="35"/>
      <c r="B10" s="36"/>
      <c r="C10" s="37">
        <v>1.1499999999999999</v>
      </c>
      <c r="D10" s="36"/>
      <c r="E10" s="36"/>
      <c r="F10" s="35"/>
    </row>
    <row r="11" spans="1:6" ht="19.5" customHeight="1" x14ac:dyDescent="0.25">
      <c r="B11" s="31" t="s">
        <v>4316</v>
      </c>
      <c r="C11" s="32">
        <v>5</v>
      </c>
      <c r="D11" s="33" t="s">
        <v>4317</v>
      </c>
      <c r="E11" s="34" t="s">
        <v>4318</v>
      </c>
    </row>
    <row r="13" spans="1:6" ht="18" customHeight="1" x14ac:dyDescent="0.25">
      <c r="B13" s="12" t="s">
        <v>4319</v>
      </c>
      <c r="C13" s="12"/>
      <c r="D13" s="12"/>
      <c r="E13" s="12"/>
    </row>
    <row r="14" spans="1:6" ht="18" customHeight="1" x14ac:dyDescent="0.25">
      <c r="B14" s="30" t="s">
        <v>4320</v>
      </c>
      <c r="C14" s="30" t="s">
        <v>4321</v>
      </c>
      <c r="D14" s="30" t="s">
        <v>4322</v>
      </c>
      <c r="E14" s="30" t="s">
        <v>4323</v>
      </c>
    </row>
    <row r="15" spans="1:6" ht="19.5" customHeight="1" x14ac:dyDescent="0.25">
      <c r="B15" s="38" t="s">
        <v>4324</v>
      </c>
      <c r="C15" s="39">
        <f>SUMPRODUCT(('Detailed Requirements'!J$2:J$5000="Backend Dev")*ISNUMBER('Detailed Requirements'!N$2:N$5000)*IF(ISNUMBER('Detailed Requirements'!N$2:N$5000),'Detailed Requirements'!N$2:N$5000,0))</f>
        <v>356</v>
      </c>
      <c r="D15" s="39">
        <f>SUMPRODUCT(('Detailed Requirements'!J$2:J$5000="Backend Dev")*ISNUMBER('Detailed Requirements'!L$2:L$5000)*IF(ISNUMBER('Detailed Requirements'!L$2:L$5000),'Detailed Requirements'!L$2:L$5000,0))</f>
        <v>883</v>
      </c>
      <c r="E15" s="40" t="s">
        <v>4325</v>
      </c>
    </row>
    <row r="16" spans="1:6" ht="19.5" customHeight="1" x14ac:dyDescent="0.25">
      <c r="B16" s="41" t="s">
        <v>4326</v>
      </c>
      <c r="C16" s="42">
        <f>SUMPRODUCT(('Detailed Requirements'!J$2:J$5000="Frontend Dev")*ISNUMBER('Detailed Requirements'!N$2:N$5000)*IF(ISNUMBER('Detailed Requirements'!N$2:N$5000),'Detailed Requirements'!N$2:N$5000,0))</f>
        <v>178.25</v>
      </c>
      <c r="D16" s="42">
        <f>SUMPRODUCT(('Detailed Requirements'!J$2:J$5000="Frontend Dev")*ISNUMBER('Detailed Requirements'!L$2:L$5000)*IF(ISNUMBER('Detailed Requirements'!L$2:L$5000),'Detailed Requirements'!L$2:L$5000,0))</f>
        <v>398.25</v>
      </c>
      <c r="E16" s="43" t="s">
        <v>4327</v>
      </c>
    </row>
    <row r="17" spans="1:6" ht="19.5" customHeight="1" x14ac:dyDescent="0.25">
      <c r="B17" s="38" t="s">
        <v>4328</v>
      </c>
      <c r="C17" s="39">
        <f>SUMPRODUCT(('Detailed Requirements'!J$2:J$5000="QA / Both Devs")*ISNUMBER('Detailed Requirements'!N$2:N$5000)*IF(ISNUMBER('Detailed Requirements'!N$2:N$5000),'Detailed Requirements'!N$2:N$5000,0))</f>
        <v>125.5</v>
      </c>
      <c r="D17" s="39">
        <f>SUMPRODUCT(('Detailed Requirements'!J$2:J$5000="QA / Both Devs")*ISNUMBER('Detailed Requirements'!L$2:L$5000)*IF(ISNUMBER('Detailed Requirements'!L$2:L$5000),'Detailed Requirements'!L$2:L$5000,0))</f>
        <v>309</v>
      </c>
      <c r="E17" s="40" t="s">
        <v>4329</v>
      </c>
    </row>
    <row r="18" spans="1:6" ht="19.5" customHeight="1" x14ac:dyDescent="0.25">
      <c r="B18" s="44" t="s">
        <v>4330</v>
      </c>
      <c r="C18" s="45">
        <f>C15+C16+C17</f>
        <v>659.75</v>
      </c>
      <c r="D18" s="46">
        <f>D15+D16+D17</f>
        <v>1590.25</v>
      </c>
      <c r="E18" s="47" t="s">
        <v>4331</v>
      </c>
    </row>
    <row r="20" spans="1:6" ht="18" customHeight="1" x14ac:dyDescent="0.25">
      <c r="B20" s="12" t="s">
        <v>4332</v>
      </c>
      <c r="C20" s="12"/>
      <c r="D20" s="12"/>
      <c r="E20" s="12"/>
    </row>
    <row r="21" spans="1:6" ht="31.5" customHeight="1" x14ac:dyDescent="0.25">
      <c r="A21" s="35"/>
      <c r="B21" s="30"/>
      <c r="C21" s="48" t="s">
        <v>4333</v>
      </c>
      <c r="D21" s="48" t="s">
        <v>4334</v>
      </c>
      <c r="E21" s="30" t="s">
        <v>4335</v>
      </c>
      <c r="F21" s="35"/>
    </row>
    <row r="22" spans="1:6" ht="46.5" customHeight="1" x14ac:dyDescent="0.25">
      <c r="A22" s="35"/>
      <c r="B22" s="49" t="s">
        <v>4336</v>
      </c>
      <c r="C22" s="50">
        <f>ROUND('FR Schedule'!G68/C11,1)</f>
        <v>20.9</v>
      </c>
      <c r="D22" s="51">
        <f>ROUND('FR Schedule'!H68/C11,1)</f>
        <v>63.6</v>
      </c>
      <c r="E22" s="52" t="s">
        <v>4337</v>
      </c>
      <c r="F22" s="35"/>
    </row>
    <row r="23" spans="1:6" ht="15" customHeight="1" x14ac:dyDescent="0.25">
      <c r="A23" s="35"/>
      <c r="B23" s="35"/>
      <c r="C23" s="53"/>
      <c r="D23" s="53"/>
      <c r="E23" s="35"/>
      <c r="F23" s="35"/>
    </row>
    <row r="24" spans="1:6" ht="15" customHeight="1" x14ac:dyDescent="0.25">
      <c r="A24" s="35"/>
      <c r="B24" s="35"/>
      <c r="C24" s="53"/>
      <c r="D24" s="53"/>
      <c r="E24" s="35"/>
      <c r="F24" s="35"/>
    </row>
    <row r="26" spans="1:6" ht="18" customHeight="1" x14ac:dyDescent="0.25">
      <c r="B26" s="11" t="s">
        <v>4338</v>
      </c>
      <c r="C26" s="11"/>
      <c r="D26" s="11"/>
    </row>
    <row r="27" spans="1:6" ht="18" customHeight="1" x14ac:dyDescent="0.25">
      <c r="B27" s="54"/>
      <c r="C27" s="55" t="s">
        <v>4339</v>
      </c>
      <c r="D27" s="55" t="s">
        <v>4340</v>
      </c>
    </row>
    <row r="28" spans="1:6" ht="21.75" customHeight="1" x14ac:dyDescent="0.25">
      <c r="B28" s="56" t="s">
        <v>4341</v>
      </c>
      <c r="C28" s="57">
        <f>'Timeline Summary'!C22</f>
        <v>20.9</v>
      </c>
      <c r="D28" s="58">
        <f>'Timeline Summary'!D22</f>
        <v>63.6</v>
      </c>
    </row>
    <row r="29" spans="1:6" ht="21.75" customHeight="1" x14ac:dyDescent="0.25">
      <c r="B29" s="56" t="s">
        <v>4342</v>
      </c>
      <c r="C29" s="59">
        <f>ROUND(C28/4.33,1)</f>
        <v>4.8</v>
      </c>
      <c r="D29" s="60">
        <f>ROUND(D28/4.33,1)</f>
        <v>14.7</v>
      </c>
    </row>
    <row r="30" spans="1:6" ht="21.75" customHeight="1" x14ac:dyDescent="0.25">
      <c r="B30" s="56" t="s">
        <v>4343</v>
      </c>
      <c r="C30" s="58">
        <f>'Timeline Summary'!D22</f>
        <v>63.6</v>
      </c>
      <c r="D30" s="58">
        <f>'Timeline Summary'!D22</f>
        <v>63.6</v>
      </c>
    </row>
    <row r="31" spans="1:6" ht="21.75" customHeight="1" x14ac:dyDescent="0.25">
      <c r="B31" s="56" t="s">
        <v>4344</v>
      </c>
      <c r="C31" s="61">
        <f>C30-C28</f>
        <v>42.7</v>
      </c>
      <c r="D31" s="61">
        <v>0</v>
      </c>
    </row>
    <row r="32" spans="1:6" ht="15.75" customHeight="1" x14ac:dyDescent="0.25">
      <c r="B32" s="56" t="s">
        <v>4345</v>
      </c>
      <c r="C32" s="62">
        <f>IF(C30&gt;0,1-C28/C30,0)</f>
        <v>0.67138364779874216</v>
      </c>
      <c r="D32" s="61" t="s">
        <v>4346</v>
      </c>
    </row>
  </sheetData>
  <mergeCells count="6">
    <mergeCell ref="B26:D26"/>
    <mergeCell ref="B2:E2"/>
    <mergeCell ref="B3:E3"/>
    <mergeCell ref="B5:E5"/>
    <mergeCell ref="B13:E13"/>
    <mergeCell ref="B20:E20"/>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Views>
    <sheetView showGridLines="0" zoomScale="85" zoomScaleNormal="85" workbookViewId="0">
      <pane xSplit="1" ySplit="5" topLeftCell="B60" activePane="bottomRight" state="frozen"/>
      <selection pane="topRight" activeCell="B1" sqref="B1"/>
      <selection pane="bottomLeft" activeCell="A60" sqref="A60"/>
      <selection pane="bottomRight" activeCell="G68" sqref="G68"/>
    </sheetView>
  </sheetViews>
  <sheetFormatPr defaultColWidth="8.7109375" defaultRowHeight="15" x14ac:dyDescent="0.25"/>
  <cols>
    <col min="1" max="1" width="2" style="17" customWidth="1"/>
    <col min="2" max="2" width="10" style="17" customWidth="1"/>
    <col min="3" max="3" width="42" style="17" customWidth="1"/>
    <col min="4" max="6" width="11" style="17" customWidth="1"/>
    <col min="7" max="8" width="12" style="17" customWidth="1"/>
    <col min="9" max="9" width="14" style="17" customWidth="1"/>
  </cols>
  <sheetData>
    <row r="1" spans="2:9" ht="27.75" customHeight="1" x14ac:dyDescent="0.25">
      <c r="B1" s="10" t="s">
        <v>4347</v>
      </c>
      <c r="C1" s="10"/>
      <c r="D1" s="10"/>
      <c r="E1" s="10"/>
      <c r="F1" s="10"/>
      <c r="G1" s="10"/>
      <c r="H1" s="10"/>
      <c r="I1" s="10"/>
    </row>
    <row r="2" spans="2:9" ht="15.75" customHeight="1" x14ac:dyDescent="0.25">
      <c r="B2" s="9" t="s">
        <v>4348</v>
      </c>
      <c r="C2" s="9"/>
      <c r="D2" s="9"/>
      <c r="E2" s="9"/>
      <c r="F2" s="9"/>
      <c r="G2" s="9"/>
      <c r="H2" s="9"/>
      <c r="I2" s="9"/>
    </row>
    <row r="5" spans="2:9" ht="31.5" customHeight="1" x14ac:dyDescent="0.25">
      <c r="B5" s="63" t="s">
        <v>2</v>
      </c>
      <c r="C5" s="63" t="s">
        <v>4349</v>
      </c>
      <c r="D5" s="63" t="s">
        <v>4350</v>
      </c>
      <c r="E5" s="63" t="s">
        <v>4351</v>
      </c>
      <c r="F5" s="63" t="s">
        <v>4352</v>
      </c>
      <c r="G5" s="63" t="s">
        <v>4353</v>
      </c>
      <c r="H5" s="63" t="s">
        <v>4354</v>
      </c>
      <c r="I5" s="63" t="s">
        <v>4355</v>
      </c>
    </row>
    <row r="6" spans="2:9" ht="19.5" customHeight="1" x14ac:dyDescent="0.25">
      <c r="B6" s="8" t="s">
        <v>4356</v>
      </c>
      <c r="C6" s="8"/>
      <c r="D6" s="8"/>
      <c r="E6" s="8"/>
      <c r="F6" s="8"/>
      <c r="G6" s="8"/>
      <c r="H6" s="8"/>
      <c r="I6" s="8"/>
    </row>
    <row r="7" spans="2:9" ht="21.75" customHeight="1" x14ac:dyDescent="0.25">
      <c r="B7" s="64" t="s">
        <v>23</v>
      </c>
      <c r="C7" s="65" t="s">
        <v>22</v>
      </c>
      <c r="D7" s="66">
        <f>IFERROR(ROUND(SUMPRODUCT(('Detailed Requirements'!C$2:C$5000="FR-001")*('Detailed Requirements'!J$2:J$5000="Backend Dev")*IF(ISNUMBER('Detailed Requirements'!N$2:N$5000),'Detailed Requirements'!N$2:N$5000,0))/'Timeline Summary'!C7,1),0)</f>
        <v>1.6</v>
      </c>
      <c r="E7" s="67">
        <f>IFERROR(ROUND(SUMPRODUCT(('Detailed Requirements'!C$2:C$5000="FR-001")*('Detailed Requirements'!J$2:J$5000="Frontend Dev")*IF(ISNUMBER('Detailed Requirements'!N$2:N$5000),'Detailed Requirements'!N$2:N$5000,0))/'Timeline Summary'!C8,1),0)</f>
        <v>0.9</v>
      </c>
      <c r="F7" s="68">
        <f>IFERROR(ROUND(SUMPRODUCT(('Detailed Requirements'!C$2:C$5000="FR-001")*('Detailed Requirements'!J$2:J$5000="QA / Both Devs")*IF(ISNUMBER('Detailed Requirements'!N$2:N$5000),'Detailed Requirements'!N$2:N$5000,0))/'Timeline Summary'!C7,1),0)</f>
        <v>0.5</v>
      </c>
      <c r="G7" s="64">
        <f t="shared" ref="G7:G13" si="0">IFERROR(MAX(D7,E7)+F7,0)</f>
        <v>2.1</v>
      </c>
      <c r="H7" s="69">
        <f>IFERROR(ROUND(SUMPRODUCT(('Detailed Requirements'!C$2:C$5000="FR-001")*('Detailed Requirements'!J$2:J$5000="Backend Dev")*IF(ISNUMBER('Detailed Requirements'!L$2:L$5000),'Detailed Requirements'!L$2:L$5000,0))/'Timeline Summary'!C7+SUMPRODUCT(('Detailed Requirements'!C$2:C$5000="FR-001")*('Detailed Requirements'!J$2:J$5000="Frontend Dev")*IF(ISNUMBER('Detailed Requirements'!L$2:L$5000),'Detailed Requirements'!L$2:L$5000,0))/'Timeline Summary'!C8+SUMPRODUCT(('Detailed Requirements'!C$2:C$5000="FR-001")*('Detailed Requirements'!J$2:J$5000="QA / Both Devs")*IF(ISNUMBER('Detailed Requirements'!L$2:L$5000),'Detailed Requirements'!L$2:L$5000,0))/'Timeline Summary'!C7,1),0)</f>
        <v>9</v>
      </c>
      <c r="I7" s="70">
        <f>IFERROR(G7,0)</f>
        <v>2.1</v>
      </c>
    </row>
    <row r="8" spans="2:9" ht="21.75" customHeight="1" x14ac:dyDescent="0.25">
      <c r="B8" s="64" t="s">
        <v>175</v>
      </c>
      <c r="C8" s="71" t="s">
        <v>4357</v>
      </c>
      <c r="D8" s="66">
        <f>IFERROR(ROUND(SUMPRODUCT(('Detailed Requirements'!C$2:C$5000="FR-002")*('Detailed Requirements'!J$2:J$5000="Backend Dev")*IF(ISNUMBER('Detailed Requirements'!N$2:N$5000),'Detailed Requirements'!N$2:N$5000,0))/'Timeline Summary'!C7,1),0)</f>
        <v>0.7</v>
      </c>
      <c r="E8" s="67">
        <f>IFERROR(ROUND(SUMPRODUCT(('Detailed Requirements'!C$2:C$5000="FR-002")*('Detailed Requirements'!J$2:J$5000="Frontend Dev")*IF(ISNUMBER('Detailed Requirements'!N$2:N$5000),'Detailed Requirements'!N$2:N$5000,0))/'Timeline Summary'!C8,1),0)</f>
        <v>0</v>
      </c>
      <c r="F8" s="68">
        <f>IFERROR(ROUND(SUMPRODUCT(('Detailed Requirements'!C$2:C$5000="FR-002")*('Detailed Requirements'!J$2:J$5000="QA / Both Devs")*IF(ISNUMBER('Detailed Requirements'!N$2:N$5000),'Detailed Requirements'!N$2:N$5000,0))/'Timeline Summary'!C7,1),0)</f>
        <v>0.2</v>
      </c>
      <c r="G8" s="64">
        <f t="shared" si="0"/>
        <v>0.89999999999999991</v>
      </c>
      <c r="H8" s="69">
        <f>IFERROR(ROUND(SUMPRODUCT(('Detailed Requirements'!C$2:C$5000="FR-002")*('Detailed Requirements'!J$2:J$5000="Backend Dev")*IF(ISNUMBER('Detailed Requirements'!L$2:L$5000),'Detailed Requirements'!L$2:L$5000,0))/'Timeline Summary'!C7+SUMPRODUCT(('Detailed Requirements'!C$2:C$5000="FR-002")*('Detailed Requirements'!J$2:J$5000="Frontend Dev")*IF(ISNUMBER('Detailed Requirements'!L$2:L$5000),'Detailed Requirements'!L$2:L$5000,0))/'Timeline Summary'!C8+SUMPRODUCT(('Detailed Requirements'!C$2:C$5000="FR-002")*('Detailed Requirements'!J$2:J$5000="QA / Both Devs")*IF(ISNUMBER('Detailed Requirements'!L$2:L$5000),'Detailed Requirements'!L$2:L$5000,0))/'Timeline Summary'!C7,1),0)</f>
        <v>2.8</v>
      </c>
      <c r="I8" s="70">
        <f t="shared" ref="I8:I13" si="1">IFERROR(I7+G8,0)</f>
        <v>3</v>
      </c>
    </row>
    <row r="9" spans="2:9" ht="21.75" customHeight="1" x14ac:dyDescent="0.25">
      <c r="B9" s="64" t="s">
        <v>213</v>
      </c>
      <c r="C9" s="65" t="s">
        <v>212</v>
      </c>
      <c r="D9" s="66">
        <f>IFERROR(ROUND(SUMPRODUCT(('Detailed Requirements'!C$2:C$5000="FR-003")*('Detailed Requirements'!J$2:J$5000="Backend Dev")*IF(ISNUMBER('Detailed Requirements'!N$2:N$5000),'Detailed Requirements'!N$2:N$5000,0))/'Timeline Summary'!C7,1),0)</f>
        <v>2.2999999999999998</v>
      </c>
      <c r="E9" s="67">
        <f>IFERROR(ROUND(SUMPRODUCT(('Detailed Requirements'!C$2:C$5000="FR-003")*('Detailed Requirements'!J$2:J$5000="Frontend Dev")*IF(ISNUMBER('Detailed Requirements'!N$2:N$5000),'Detailed Requirements'!N$2:N$5000,0))/'Timeline Summary'!C8,1),0)</f>
        <v>0.4</v>
      </c>
      <c r="F9" s="68">
        <f>IFERROR(ROUND(SUMPRODUCT(('Detailed Requirements'!C$2:C$5000="FR-003")*('Detailed Requirements'!J$2:J$5000="QA / Both Devs")*IF(ISNUMBER('Detailed Requirements'!N$2:N$5000),'Detailed Requirements'!N$2:N$5000,0))/'Timeline Summary'!C7,1),0)</f>
        <v>0.6</v>
      </c>
      <c r="G9" s="64">
        <f t="shared" si="0"/>
        <v>2.9</v>
      </c>
      <c r="H9" s="69">
        <f>IFERROR(ROUND(SUMPRODUCT(('Detailed Requirements'!C$2:C$5000="FR-003")*('Detailed Requirements'!J$2:J$5000="Backend Dev")*IF(ISNUMBER('Detailed Requirements'!L$2:L$5000),'Detailed Requirements'!L$2:L$5000,0))/'Timeline Summary'!C7+SUMPRODUCT(('Detailed Requirements'!C$2:C$5000="FR-003")*('Detailed Requirements'!J$2:J$5000="Frontend Dev")*IF(ISNUMBER('Detailed Requirements'!L$2:L$5000),'Detailed Requirements'!L$2:L$5000,0))/'Timeline Summary'!C8+SUMPRODUCT(('Detailed Requirements'!C$2:C$5000="FR-003")*('Detailed Requirements'!J$2:J$5000="QA / Both Devs")*IF(ISNUMBER('Detailed Requirements'!L$2:L$5000),'Detailed Requirements'!L$2:L$5000,0))/'Timeline Summary'!C7,1),0)</f>
        <v>8</v>
      </c>
      <c r="I9" s="70">
        <f t="shared" si="1"/>
        <v>5.9</v>
      </c>
    </row>
    <row r="10" spans="2:9" ht="21.75" customHeight="1" x14ac:dyDescent="0.25">
      <c r="B10" s="64" t="s">
        <v>297</v>
      </c>
      <c r="C10" s="71" t="s">
        <v>4358</v>
      </c>
      <c r="D10" s="66">
        <f>IFERROR(ROUND(SUMPRODUCT(('Detailed Requirements'!C$2:C$5000="FR-004")*('Detailed Requirements'!J$2:J$5000="Backend Dev")*IF(ISNUMBER('Detailed Requirements'!N$2:N$5000),'Detailed Requirements'!N$2:N$5000,0))/'Timeline Summary'!C7,1),0)</f>
        <v>1.2</v>
      </c>
      <c r="E10" s="67">
        <f>IFERROR(ROUND(SUMPRODUCT(('Detailed Requirements'!C$2:C$5000="FR-004")*('Detailed Requirements'!J$2:J$5000="Frontend Dev")*IF(ISNUMBER('Detailed Requirements'!N$2:N$5000),'Detailed Requirements'!N$2:N$5000,0))/'Timeline Summary'!C8,1),0)</f>
        <v>0.5</v>
      </c>
      <c r="F10" s="68">
        <f>IFERROR(ROUND(SUMPRODUCT(('Detailed Requirements'!C$2:C$5000="FR-004")*('Detailed Requirements'!J$2:J$5000="QA / Both Devs")*IF(ISNUMBER('Detailed Requirements'!N$2:N$5000),'Detailed Requirements'!N$2:N$5000,0))/'Timeline Summary'!C7,1),0)</f>
        <v>0.6</v>
      </c>
      <c r="G10" s="64">
        <f t="shared" si="0"/>
        <v>1.7999999999999998</v>
      </c>
      <c r="H10" s="69">
        <f>IFERROR(ROUND(SUMPRODUCT(('Detailed Requirements'!C$2:C$5000="FR-004")*('Detailed Requirements'!J$2:J$5000="Backend Dev")*IF(ISNUMBER('Detailed Requirements'!L$2:L$5000),'Detailed Requirements'!L$2:L$5000,0))/'Timeline Summary'!C7+SUMPRODUCT(('Detailed Requirements'!C$2:C$5000="FR-004")*('Detailed Requirements'!J$2:J$5000="Frontend Dev")*IF(ISNUMBER('Detailed Requirements'!L$2:L$5000),'Detailed Requirements'!L$2:L$5000,0))/'Timeline Summary'!C8+SUMPRODUCT(('Detailed Requirements'!C$2:C$5000="FR-004")*('Detailed Requirements'!J$2:J$5000="QA / Both Devs")*IF(ISNUMBER('Detailed Requirements'!L$2:L$5000),'Detailed Requirements'!L$2:L$5000,0))/'Timeline Summary'!C7,1),0)</f>
        <v>6.6</v>
      </c>
      <c r="I10" s="70">
        <f t="shared" si="1"/>
        <v>7.7</v>
      </c>
    </row>
    <row r="11" spans="2:9" ht="21.75" customHeight="1" x14ac:dyDescent="0.25">
      <c r="B11" s="64" t="s">
        <v>366</v>
      </c>
      <c r="C11" s="65" t="s">
        <v>4359</v>
      </c>
      <c r="D11" s="66">
        <f>IFERROR(ROUND(SUMPRODUCT(('Detailed Requirements'!C$2:C$5000="FR-005")*('Detailed Requirements'!J$2:J$5000="Backend Dev")*IF(ISNUMBER('Detailed Requirements'!N$2:N$5000),'Detailed Requirements'!N$2:N$5000,0))/'Timeline Summary'!C7,1),0)</f>
        <v>0.5</v>
      </c>
      <c r="E11" s="67">
        <f>IFERROR(ROUND(SUMPRODUCT(('Detailed Requirements'!C$2:C$5000="FR-005")*('Detailed Requirements'!J$2:J$5000="Frontend Dev")*IF(ISNUMBER('Detailed Requirements'!N$2:N$5000),'Detailed Requirements'!N$2:N$5000,0))/'Timeline Summary'!C8,1),0)</f>
        <v>0.3</v>
      </c>
      <c r="F11" s="68">
        <f>IFERROR(ROUND(SUMPRODUCT(('Detailed Requirements'!C$2:C$5000="FR-005")*('Detailed Requirements'!J$2:J$5000="QA / Both Devs")*IF(ISNUMBER('Detailed Requirements'!N$2:N$5000),'Detailed Requirements'!N$2:N$5000,0))/'Timeline Summary'!C7,1),0)</f>
        <v>0.3</v>
      </c>
      <c r="G11" s="64">
        <f t="shared" si="0"/>
        <v>0.8</v>
      </c>
      <c r="H11" s="69">
        <f>IFERROR(ROUND(SUMPRODUCT(('Detailed Requirements'!C$2:C$5000="FR-005")*('Detailed Requirements'!J$2:J$5000="Backend Dev")*IF(ISNUMBER('Detailed Requirements'!L$2:L$5000),'Detailed Requirements'!L$2:L$5000,0))/'Timeline Summary'!C7+SUMPRODUCT(('Detailed Requirements'!C$2:C$5000="FR-005")*('Detailed Requirements'!J$2:J$5000="Frontend Dev")*IF(ISNUMBER('Detailed Requirements'!L$2:L$5000),'Detailed Requirements'!L$2:L$5000,0))/'Timeline Summary'!C8+SUMPRODUCT(('Detailed Requirements'!C$2:C$5000="FR-005")*('Detailed Requirements'!J$2:J$5000="QA / Both Devs")*IF(ISNUMBER('Detailed Requirements'!L$2:L$5000),'Detailed Requirements'!L$2:L$5000,0))/'Timeline Summary'!C7,1),0)</f>
        <v>3.4</v>
      </c>
      <c r="I11" s="70">
        <f t="shared" si="1"/>
        <v>8.5</v>
      </c>
    </row>
    <row r="12" spans="2:9" ht="21.75" customHeight="1" x14ac:dyDescent="0.25">
      <c r="B12" s="64" t="s">
        <v>413</v>
      </c>
      <c r="C12" s="71" t="s">
        <v>412</v>
      </c>
      <c r="D12" s="66">
        <f>IFERROR(ROUND(SUMPRODUCT(('Detailed Requirements'!C$2:C$5000="FR-006")*('Detailed Requirements'!J$2:J$5000="Backend Dev")*IF(ISNUMBER('Detailed Requirements'!N$2:N$5000),'Detailed Requirements'!N$2:N$5000,0))/'Timeline Summary'!C7,1),0)</f>
        <v>0.5</v>
      </c>
      <c r="E12" s="67">
        <f>IFERROR(ROUND(SUMPRODUCT(('Detailed Requirements'!C$2:C$5000="FR-006")*('Detailed Requirements'!J$2:J$5000="Frontend Dev")*IF(ISNUMBER('Detailed Requirements'!N$2:N$5000),'Detailed Requirements'!N$2:N$5000,0))/'Timeline Summary'!C8,1),0)</f>
        <v>2.1</v>
      </c>
      <c r="F12" s="68">
        <f>IFERROR(ROUND(SUMPRODUCT(('Detailed Requirements'!C$2:C$5000="FR-006")*('Detailed Requirements'!J$2:J$5000="QA / Both Devs")*IF(ISNUMBER('Detailed Requirements'!N$2:N$5000),'Detailed Requirements'!N$2:N$5000,0))/'Timeline Summary'!C7,1),0)</f>
        <v>0.4</v>
      </c>
      <c r="G12" s="64">
        <f t="shared" si="0"/>
        <v>2.5</v>
      </c>
      <c r="H12" s="69">
        <f>IFERROR(ROUND(SUMPRODUCT(('Detailed Requirements'!C$2:C$5000="FR-006")*('Detailed Requirements'!J$2:J$5000="Backend Dev")*IF(ISNUMBER('Detailed Requirements'!L$2:L$5000),'Detailed Requirements'!L$2:L$5000,0))/'Timeline Summary'!C7+SUMPRODUCT(('Detailed Requirements'!C$2:C$5000="FR-006")*('Detailed Requirements'!J$2:J$5000="Frontend Dev")*IF(ISNUMBER('Detailed Requirements'!L$2:L$5000),'Detailed Requirements'!L$2:L$5000,0))/'Timeline Summary'!C8+SUMPRODUCT(('Detailed Requirements'!C$2:C$5000="FR-006")*('Detailed Requirements'!J$2:J$5000="QA / Both Devs")*IF(ISNUMBER('Detailed Requirements'!L$2:L$5000),'Detailed Requirements'!L$2:L$5000,0))/'Timeline Summary'!C7,1),0)</f>
        <v>7.6</v>
      </c>
      <c r="I12" s="70">
        <f t="shared" si="1"/>
        <v>11</v>
      </c>
    </row>
    <row r="13" spans="2:9" ht="21.75" customHeight="1" x14ac:dyDescent="0.25">
      <c r="B13" s="64" t="s">
        <v>515</v>
      </c>
      <c r="C13" s="65" t="s">
        <v>4360</v>
      </c>
      <c r="D13" s="66">
        <f>IFERROR(ROUND(SUMPRODUCT(('Detailed Requirements'!C$2:C$5000="FR-007")*('Detailed Requirements'!J$2:J$5000="Backend Dev")*IF(ISNUMBER('Detailed Requirements'!N$2:N$5000),'Detailed Requirements'!N$2:N$5000,0))/'Timeline Summary'!C7,1),0)</f>
        <v>0.3</v>
      </c>
      <c r="E13" s="67">
        <f>IFERROR(ROUND(SUMPRODUCT(('Detailed Requirements'!C$2:C$5000="FR-007")*('Detailed Requirements'!J$2:J$5000="Frontend Dev")*IF(ISNUMBER('Detailed Requirements'!N$2:N$5000),'Detailed Requirements'!N$2:N$5000,0))/'Timeline Summary'!C8,1),0)</f>
        <v>0.3</v>
      </c>
      <c r="F13" s="68">
        <f>IFERROR(ROUND(SUMPRODUCT(('Detailed Requirements'!C$2:C$5000="FR-007")*('Detailed Requirements'!J$2:J$5000="QA / Both Devs")*IF(ISNUMBER('Detailed Requirements'!N$2:N$5000),'Detailed Requirements'!N$2:N$5000,0))/'Timeline Summary'!C7,1),0)</f>
        <v>0.3</v>
      </c>
      <c r="G13" s="64">
        <f t="shared" si="0"/>
        <v>0.6</v>
      </c>
      <c r="H13" s="69">
        <f>IFERROR(ROUND(SUMPRODUCT(('Detailed Requirements'!C$2:C$5000="FR-007")*('Detailed Requirements'!J$2:J$5000="Backend Dev")*IF(ISNUMBER('Detailed Requirements'!L$2:L$5000),'Detailed Requirements'!L$2:L$5000,0))/'Timeline Summary'!C7+SUMPRODUCT(('Detailed Requirements'!C$2:C$5000="FR-007")*('Detailed Requirements'!J$2:J$5000="Frontend Dev")*IF(ISNUMBER('Detailed Requirements'!L$2:L$5000),'Detailed Requirements'!L$2:L$5000,0))/'Timeline Summary'!C8+SUMPRODUCT(('Detailed Requirements'!C$2:C$5000="FR-007")*('Detailed Requirements'!J$2:J$5000="QA / Both Devs")*IF(ISNUMBER('Detailed Requirements'!L$2:L$5000),'Detailed Requirements'!L$2:L$5000,0))/'Timeline Summary'!C7,1),0)</f>
        <v>2.2000000000000002</v>
      </c>
      <c r="I13" s="70">
        <f t="shared" si="1"/>
        <v>11.6</v>
      </c>
    </row>
    <row r="14" spans="2:9" ht="19.5" customHeight="1" x14ac:dyDescent="0.25">
      <c r="B14" s="7" t="s">
        <v>4361</v>
      </c>
      <c r="C14" s="7"/>
      <c r="D14" s="7"/>
      <c r="E14" s="7"/>
      <c r="F14" s="7"/>
      <c r="G14" s="7"/>
      <c r="H14" s="7"/>
      <c r="I14" s="7"/>
    </row>
    <row r="15" spans="2:9" ht="21.75" customHeight="1" x14ac:dyDescent="0.25">
      <c r="B15" s="64" t="s">
        <v>563</v>
      </c>
      <c r="C15" s="65" t="s">
        <v>4362</v>
      </c>
      <c r="D15" s="66">
        <f>IFERROR(ROUND(SUMPRODUCT(('Detailed Requirements'!C$2:C$5000="FR-008")*('Detailed Requirements'!J$2:J$5000="Backend Dev")*IF(ISNUMBER('Detailed Requirements'!N$2:N$5000),'Detailed Requirements'!N$2:N$5000,0))/'Timeline Summary'!C7,1),0)</f>
        <v>0.1</v>
      </c>
      <c r="E15" s="67">
        <f>IFERROR(ROUND(SUMPRODUCT(('Detailed Requirements'!C$2:C$5000="FR-008")*('Detailed Requirements'!J$2:J$5000="Frontend Dev")*IF(ISNUMBER('Detailed Requirements'!N$2:N$5000),'Detailed Requirements'!N$2:N$5000,0))/'Timeline Summary'!C8,1),0)</f>
        <v>0.1</v>
      </c>
      <c r="F15" s="68">
        <f>IFERROR(ROUND(SUMPRODUCT(('Detailed Requirements'!C$2:C$5000="FR-008")*('Detailed Requirements'!J$2:J$5000="QA / Both Devs")*IF(ISNUMBER('Detailed Requirements'!N$2:N$5000),'Detailed Requirements'!N$2:N$5000,0))/'Timeline Summary'!C7,1),0)</f>
        <v>0.2</v>
      </c>
      <c r="G15" s="64">
        <f>IFERROR(MAX(D15,E15)+F15,0)</f>
        <v>0.30000000000000004</v>
      </c>
      <c r="H15" s="69">
        <f>IFERROR(ROUND(SUMPRODUCT(('Detailed Requirements'!C$2:C$5000="FR-008")*('Detailed Requirements'!J$2:J$5000="Backend Dev")*IF(ISNUMBER('Detailed Requirements'!L$2:L$5000),'Detailed Requirements'!L$2:L$5000,0))/'Timeline Summary'!C7+SUMPRODUCT(('Detailed Requirements'!C$2:C$5000="FR-008")*('Detailed Requirements'!J$2:J$5000="Frontend Dev")*IF(ISNUMBER('Detailed Requirements'!L$2:L$5000),'Detailed Requirements'!L$2:L$5000,0))/'Timeline Summary'!C8+SUMPRODUCT(('Detailed Requirements'!C$2:C$5000="FR-008")*('Detailed Requirements'!J$2:J$5000="QA / Both Devs")*IF(ISNUMBER('Detailed Requirements'!L$2:L$5000),'Detailed Requirements'!L$2:L$5000,0))/'Timeline Summary'!C7,1),0)</f>
        <v>1.2</v>
      </c>
      <c r="I15" s="70">
        <f>IFERROR(I13+G15,0)</f>
        <v>11.9</v>
      </c>
    </row>
    <row r="16" spans="2:9" ht="21.75" customHeight="1" x14ac:dyDescent="0.25">
      <c r="B16" s="64" t="s">
        <v>587</v>
      </c>
      <c r="C16" s="71" t="s">
        <v>4363</v>
      </c>
      <c r="D16" s="66">
        <f>IFERROR(ROUND(SUMPRODUCT(('Detailed Requirements'!C$2:C$5000="FR-009")*('Detailed Requirements'!J$2:J$5000="Backend Dev")*IF(ISNUMBER('Detailed Requirements'!N$2:N$5000),'Detailed Requirements'!N$2:N$5000,0))/'Timeline Summary'!C7,1),0)</f>
        <v>1.1000000000000001</v>
      </c>
      <c r="E16" s="67">
        <f>IFERROR(ROUND(SUMPRODUCT(('Detailed Requirements'!C$2:C$5000="FR-009")*('Detailed Requirements'!J$2:J$5000="Frontend Dev")*IF(ISNUMBER('Detailed Requirements'!N$2:N$5000),'Detailed Requirements'!N$2:N$5000,0))/'Timeline Summary'!C8,1),0)</f>
        <v>0.2</v>
      </c>
      <c r="F16" s="68">
        <f>IFERROR(ROUND(SUMPRODUCT(('Detailed Requirements'!C$2:C$5000="FR-009")*('Detailed Requirements'!J$2:J$5000="QA / Both Devs")*IF(ISNUMBER('Detailed Requirements'!N$2:N$5000),'Detailed Requirements'!N$2:N$5000,0))/'Timeline Summary'!C7,1),0)</f>
        <v>0.3</v>
      </c>
      <c r="G16" s="64">
        <f>IFERROR(MAX(D16,E16)+F16,0)</f>
        <v>1.4000000000000001</v>
      </c>
      <c r="H16" s="69">
        <f>IFERROR(ROUND(SUMPRODUCT(('Detailed Requirements'!C$2:C$5000="FR-009")*('Detailed Requirements'!J$2:J$5000="Backend Dev")*IF(ISNUMBER('Detailed Requirements'!L$2:L$5000),'Detailed Requirements'!L$2:L$5000,0))/'Timeline Summary'!C7+SUMPRODUCT(('Detailed Requirements'!C$2:C$5000="FR-009")*('Detailed Requirements'!J$2:J$5000="Frontend Dev")*IF(ISNUMBER('Detailed Requirements'!L$2:L$5000),'Detailed Requirements'!L$2:L$5000,0))/'Timeline Summary'!C8+SUMPRODUCT(('Detailed Requirements'!C$2:C$5000="FR-009")*('Detailed Requirements'!J$2:J$5000="QA / Both Devs")*IF(ISNUMBER('Detailed Requirements'!L$2:L$5000),'Detailed Requirements'!L$2:L$5000,0))/'Timeline Summary'!C7,1),0)</f>
        <v>5</v>
      </c>
      <c r="I16" s="70">
        <f>IFERROR(I15+G16,0)</f>
        <v>13.3</v>
      </c>
    </row>
    <row r="17" spans="2:9" ht="21.75" customHeight="1" x14ac:dyDescent="0.25">
      <c r="B17" s="64" t="s">
        <v>634</v>
      </c>
      <c r="C17" s="65" t="s">
        <v>4364</v>
      </c>
      <c r="D17" s="66">
        <f>IFERROR(ROUND(SUMPRODUCT(('Detailed Requirements'!C$2:C$5000="FR-010")*('Detailed Requirements'!J$2:J$5000="Backend Dev")*IF(ISNUMBER('Detailed Requirements'!N$2:N$5000),'Detailed Requirements'!N$2:N$5000,0))/'Timeline Summary'!C7,1),0)</f>
        <v>0.7</v>
      </c>
      <c r="E17" s="67">
        <f>IFERROR(ROUND(SUMPRODUCT(('Detailed Requirements'!C$2:C$5000="FR-010")*('Detailed Requirements'!J$2:J$5000="Frontend Dev")*IF(ISNUMBER('Detailed Requirements'!N$2:N$5000),'Detailed Requirements'!N$2:N$5000,0))/'Timeline Summary'!C8,1),0)</f>
        <v>0.2</v>
      </c>
      <c r="F17" s="68">
        <f>IFERROR(ROUND(SUMPRODUCT(('Detailed Requirements'!C$2:C$5000="FR-010")*('Detailed Requirements'!J$2:J$5000="QA / Both Devs")*IF(ISNUMBER('Detailed Requirements'!N$2:N$5000),'Detailed Requirements'!N$2:N$5000,0))/'Timeline Summary'!C7,1),0)</f>
        <v>0.5</v>
      </c>
      <c r="G17" s="64">
        <f>IFERROR(MAX(D17,E17)+F17,0)</f>
        <v>1.2</v>
      </c>
      <c r="H17" s="69">
        <f>IFERROR(ROUND(SUMPRODUCT(('Detailed Requirements'!C$2:C$5000="FR-010")*('Detailed Requirements'!J$2:J$5000="Backend Dev")*IF(ISNUMBER('Detailed Requirements'!L$2:L$5000),'Detailed Requirements'!L$2:L$5000,0))/'Timeline Summary'!C7+SUMPRODUCT(('Detailed Requirements'!C$2:C$5000="FR-010")*('Detailed Requirements'!J$2:J$5000="Frontend Dev")*IF(ISNUMBER('Detailed Requirements'!L$2:L$5000),'Detailed Requirements'!L$2:L$5000,0))/'Timeline Summary'!C8+SUMPRODUCT(('Detailed Requirements'!C$2:C$5000="FR-010")*('Detailed Requirements'!J$2:J$5000="QA / Both Devs")*IF(ISNUMBER('Detailed Requirements'!L$2:L$5000),'Detailed Requirements'!L$2:L$5000,0))/'Timeline Summary'!C7,1),0)</f>
        <v>4.2</v>
      </c>
      <c r="I17" s="70">
        <f>IFERROR(I16+G17,0)</f>
        <v>14.5</v>
      </c>
    </row>
    <row r="18" spans="2:9" ht="21.75" customHeight="1" x14ac:dyDescent="0.25">
      <c r="B18" s="64" t="s">
        <v>680</v>
      </c>
      <c r="C18" s="71" t="s">
        <v>4365</v>
      </c>
      <c r="D18" s="66">
        <f>IFERROR(ROUND(SUMPRODUCT(('Detailed Requirements'!C$2:C$5000="FR-011")*('Detailed Requirements'!J$2:J$5000="Backend Dev")*IF(ISNUMBER('Detailed Requirements'!N$2:N$5000),'Detailed Requirements'!N$2:N$5000,0))/'Timeline Summary'!C7,1),0)</f>
        <v>0.7</v>
      </c>
      <c r="E18" s="67">
        <f>IFERROR(ROUND(SUMPRODUCT(('Detailed Requirements'!C$2:C$5000="FR-011")*('Detailed Requirements'!J$2:J$5000="Frontend Dev")*IF(ISNUMBER('Detailed Requirements'!N$2:N$5000),'Detailed Requirements'!N$2:N$5000,0))/'Timeline Summary'!C8,1),0)</f>
        <v>0.5</v>
      </c>
      <c r="F18" s="68">
        <f>IFERROR(ROUND(SUMPRODUCT(('Detailed Requirements'!C$2:C$5000="FR-011")*('Detailed Requirements'!J$2:J$5000="QA / Both Devs")*IF(ISNUMBER('Detailed Requirements'!N$2:N$5000),'Detailed Requirements'!N$2:N$5000,0))/'Timeline Summary'!C7,1),0)</f>
        <v>0.3</v>
      </c>
      <c r="G18" s="64">
        <f>IFERROR(MAX(D18,E18)+F18,0)</f>
        <v>1</v>
      </c>
      <c r="H18" s="69">
        <f>IFERROR(ROUND(SUMPRODUCT(('Detailed Requirements'!C$2:C$5000="FR-011")*('Detailed Requirements'!J$2:J$5000="Backend Dev")*IF(ISNUMBER('Detailed Requirements'!L$2:L$5000),'Detailed Requirements'!L$2:L$5000,0))/'Timeline Summary'!C7+SUMPRODUCT(('Detailed Requirements'!C$2:C$5000="FR-011")*('Detailed Requirements'!J$2:J$5000="Frontend Dev")*IF(ISNUMBER('Detailed Requirements'!L$2:L$5000),'Detailed Requirements'!L$2:L$5000,0))/'Timeline Summary'!C8+SUMPRODUCT(('Detailed Requirements'!C$2:C$5000="FR-011")*('Detailed Requirements'!J$2:J$5000="QA / Both Devs")*IF(ISNUMBER('Detailed Requirements'!L$2:L$5000),'Detailed Requirements'!L$2:L$5000,0))/'Timeline Summary'!C7,1),0)</f>
        <v>4.5999999999999996</v>
      </c>
      <c r="I18" s="70">
        <f>IFERROR(I17+G18,0)</f>
        <v>15.5</v>
      </c>
    </row>
    <row r="19" spans="2:9" ht="21.75" customHeight="1" x14ac:dyDescent="0.25">
      <c r="B19" s="64" t="s">
        <v>723</v>
      </c>
      <c r="C19" s="65" t="s">
        <v>4366</v>
      </c>
      <c r="D19" s="66">
        <f>IFERROR(ROUND(SUMPRODUCT(('Detailed Requirements'!C$2:C$5000="FR-012")*('Detailed Requirements'!J$2:J$5000="Backend Dev")*IF(ISNUMBER('Detailed Requirements'!N$2:N$5000),'Detailed Requirements'!N$2:N$5000,0))/'Timeline Summary'!C7,1),0)</f>
        <v>0.4</v>
      </c>
      <c r="E19" s="67">
        <f>IFERROR(ROUND(SUMPRODUCT(('Detailed Requirements'!C$2:C$5000="FR-012")*('Detailed Requirements'!J$2:J$5000="Frontend Dev")*IF(ISNUMBER('Detailed Requirements'!N$2:N$5000),'Detailed Requirements'!N$2:N$5000,0))/'Timeline Summary'!C8,1),0)</f>
        <v>0</v>
      </c>
      <c r="F19" s="68">
        <f>IFERROR(ROUND(SUMPRODUCT(('Detailed Requirements'!C$2:C$5000="FR-012")*('Detailed Requirements'!J$2:J$5000="QA / Both Devs")*IF(ISNUMBER('Detailed Requirements'!N$2:N$5000),'Detailed Requirements'!N$2:N$5000,0))/'Timeline Summary'!C7,1),0)</f>
        <v>0.2</v>
      </c>
      <c r="G19" s="64">
        <f>IFERROR(MAX(D19,E19)+F19,0)</f>
        <v>0.60000000000000009</v>
      </c>
      <c r="H19" s="69">
        <f>IFERROR(ROUND(SUMPRODUCT(('Detailed Requirements'!C$2:C$5000="FR-012")*('Detailed Requirements'!J$2:J$5000="Backend Dev")*IF(ISNUMBER('Detailed Requirements'!L$2:L$5000),'Detailed Requirements'!L$2:L$5000,0))/'Timeline Summary'!C7+SUMPRODUCT(('Detailed Requirements'!C$2:C$5000="FR-012")*('Detailed Requirements'!J$2:J$5000="Frontend Dev")*IF(ISNUMBER('Detailed Requirements'!L$2:L$5000),'Detailed Requirements'!L$2:L$5000,0))/'Timeline Summary'!C8+SUMPRODUCT(('Detailed Requirements'!C$2:C$5000="FR-012")*('Detailed Requirements'!J$2:J$5000="QA / Both Devs")*IF(ISNUMBER('Detailed Requirements'!L$2:L$5000),'Detailed Requirements'!L$2:L$5000,0))/'Timeline Summary'!C7,1),0)</f>
        <v>1.8</v>
      </c>
      <c r="I19" s="70">
        <f>IFERROR(I18+G19,0)</f>
        <v>16.100000000000001</v>
      </c>
    </row>
    <row r="20" spans="2:9" ht="19.5" customHeight="1" x14ac:dyDescent="0.25">
      <c r="B20" s="6" t="s">
        <v>4367</v>
      </c>
      <c r="C20" s="6"/>
      <c r="D20" s="6"/>
      <c r="E20" s="6"/>
      <c r="F20" s="6"/>
      <c r="G20" s="6"/>
      <c r="H20" s="6"/>
      <c r="I20" s="6"/>
    </row>
    <row r="21" spans="2:9" ht="21.75" customHeight="1" x14ac:dyDescent="0.25">
      <c r="B21" s="64" t="s">
        <v>748</v>
      </c>
      <c r="C21" s="65" t="s">
        <v>4368</v>
      </c>
      <c r="D21" s="66">
        <f>IFERROR(ROUND(SUMPRODUCT(('Detailed Requirements'!C$2:C$5000="FR-013")*('Detailed Requirements'!J$2:J$5000="Backend Dev")*IF(ISNUMBER('Detailed Requirements'!N$2:N$5000),'Detailed Requirements'!N$2:N$5000,0))/'Timeline Summary'!C7,1),0)</f>
        <v>0.5</v>
      </c>
      <c r="E21" s="67">
        <f>IFERROR(ROUND(SUMPRODUCT(('Detailed Requirements'!C$2:C$5000="FR-013")*('Detailed Requirements'!J$2:J$5000="Frontend Dev")*IF(ISNUMBER('Detailed Requirements'!N$2:N$5000),'Detailed Requirements'!N$2:N$5000,0))/'Timeline Summary'!C8,1),0)</f>
        <v>0.7</v>
      </c>
      <c r="F21" s="68">
        <f>IFERROR(ROUND(SUMPRODUCT(('Detailed Requirements'!C$2:C$5000="FR-013")*('Detailed Requirements'!J$2:J$5000="QA / Both Devs")*IF(ISNUMBER('Detailed Requirements'!N$2:N$5000),'Detailed Requirements'!N$2:N$5000,0))/'Timeline Summary'!C7,1),0)</f>
        <v>0</v>
      </c>
      <c r="G21" s="64">
        <f>IFERROR(MAX(D21,E21)+F21,0)</f>
        <v>0.7</v>
      </c>
      <c r="H21" s="69">
        <f>IFERROR(ROUND(SUMPRODUCT(('Detailed Requirements'!C$2:C$5000="FR-013")*('Detailed Requirements'!J$2:J$5000="Backend Dev")*IF(ISNUMBER('Detailed Requirements'!L$2:L$5000),'Detailed Requirements'!L$2:L$5000,0))/'Timeline Summary'!C7+SUMPRODUCT(('Detailed Requirements'!C$2:C$5000="FR-013")*('Detailed Requirements'!J$2:J$5000="Frontend Dev")*IF(ISNUMBER('Detailed Requirements'!L$2:L$5000),'Detailed Requirements'!L$2:L$5000,0))/'Timeline Summary'!C8+SUMPRODUCT(('Detailed Requirements'!C$2:C$5000="FR-013")*('Detailed Requirements'!J$2:J$5000="QA / Both Devs")*IF(ISNUMBER('Detailed Requirements'!L$2:L$5000),'Detailed Requirements'!L$2:L$5000,0))/'Timeline Summary'!C7,1),0)</f>
        <v>2.5</v>
      </c>
      <c r="I21" s="70">
        <f>IFERROR(I19+G21,0)</f>
        <v>16.8</v>
      </c>
    </row>
    <row r="22" spans="2:9" ht="21.75" customHeight="1" x14ac:dyDescent="0.25">
      <c r="B22" s="64" t="s">
        <v>805</v>
      </c>
      <c r="C22" s="71" t="s">
        <v>4369</v>
      </c>
      <c r="D22" s="66">
        <f>IFERROR(ROUND(SUMPRODUCT(('Detailed Requirements'!C$2:C$5000="FR-014")*('Detailed Requirements'!J$2:J$5000="Backend Dev")*IF(ISNUMBER('Detailed Requirements'!N$2:N$5000),'Detailed Requirements'!N$2:N$5000,0))/'Timeline Summary'!C7,1),0)</f>
        <v>1.4</v>
      </c>
      <c r="E22" s="67">
        <f>IFERROR(ROUND(SUMPRODUCT(('Detailed Requirements'!C$2:C$5000="FR-014")*('Detailed Requirements'!J$2:J$5000="Frontend Dev")*IF(ISNUMBER('Detailed Requirements'!N$2:N$5000),'Detailed Requirements'!N$2:N$5000,0))/'Timeline Summary'!C8,1),0)</f>
        <v>0.9</v>
      </c>
      <c r="F22" s="68">
        <f>IFERROR(ROUND(SUMPRODUCT(('Detailed Requirements'!C$2:C$5000="FR-014")*('Detailed Requirements'!J$2:J$5000="QA / Both Devs")*IF(ISNUMBER('Detailed Requirements'!N$2:N$5000),'Detailed Requirements'!N$2:N$5000,0))/'Timeline Summary'!C7,1),0)</f>
        <v>0</v>
      </c>
      <c r="G22" s="64">
        <f>IFERROR(MAX(D22,E22)+F22,0)</f>
        <v>1.4</v>
      </c>
      <c r="H22" s="69">
        <f>IFERROR(ROUND(SUMPRODUCT(('Detailed Requirements'!C$2:C$5000="FR-014")*('Detailed Requirements'!J$2:J$5000="Backend Dev")*IF(ISNUMBER('Detailed Requirements'!L$2:L$5000),'Detailed Requirements'!L$2:L$5000,0))/'Timeline Summary'!C7+SUMPRODUCT(('Detailed Requirements'!C$2:C$5000="FR-014")*('Detailed Requirements'!J$2:J$5000="Frontend Dev")*IF(ISNUMBER('Detailed Requirements'!L$2:L$5000),'Detailed Requirements'!L$2:L$5000,0))/'Timeline Summary'!C8+SUMPRODUCT(('Detailed Requirements'!C$2:C$5000="FR-014")*('Detailed Requirements'!J$2:J$5000="QA / Both Devs")*IF(ISNUMBER('Detailed Requirements'!L$2:L$5000),'Detailed Requirements'!L$2:L$5000,0))/'Timeline Summary'!C7,1),0)</f>
        <v>4.9000000000000004</v>
      </c>
      <c r="I22" s="70">
        <f>IFERROR(I21+G22,0)</f>
        <v>18.2</v>
      </c>
    </row>
    <row r="23" spans="2:9" ht="21.75" customHeight="1" x14ac:dyDescent="0.25">
      <c r="B23" s="64" t="s">
        <v>890</v>
      </c>
      <c r="C23" s="65" t="s">
        <v>4370</v>
      </c>
      <c r="D23" s="66">
        <f>IFERROR(ROUND(SUMPRODUCT(('Detailed Requirements'!C$2:C$5000="FR-015")*('Detailed Requirements'!J$2:J$5000="Backend Dev")*IF(ISNUMBER('Detailed Requirements'!N$2:N$5000),'Detailed Requirements'!N$2:N$5000,0))/'Timeline Summary'!C7,1),0)</f>
        <v>0.8</v>
      </c>
      <c r="E23" s="67">
        <f>IFERROR(ROUND(SUMPRODUCT(('Detailed Requirements'!C$2:C$5000="FR-015")*('Detailed Requirements'!J$2:J$5000="Frontend Dev")*IF(ISNUMBER('Detailed Requirements'!N$2:N$5000),'Detailed Requirements'!N$2:N$5000,0))/'Timeline Summary'!C8,1),0)</f>
        <v>0.6</v>
      </c>
      <c r="F23" s="68">
        <f>IFERROR(ROUND(SUMPRODUCT(('Detailed Requirements'!C$2:C$5000="FR-015")*('Detailed Requirements'!J$2:J$5000="QA / Both Devs")*IF(ISNUMBER('Detailed Requirements'!N$2:N$5000),'Detailed Requirements'!N$2:N$5000,0))/'Timeline Summary'!C7,1),0)</f>
        <v>0</v>
      </c>
      <c r="G23" s="64">
        <f>IFERROR(MAX(D23,E23)+F23,0)</f>
        <v>0.8</v>
      </c>
      <c r="H23" s="69">
        <f>IFERROR(ROUND(SUMPRODUCT(('Detailed Requirements'!C$2:C$5000="FR-015")*('Detailed Requirements'!J$2:J$5000="Backend Dev")*IF(ISNUMBER('Detailed Requirements'!L$2:L$5000),'Detailed Requirements'!L$2:L$5000,0))/'Timeline Summary'!C7+SUMPRODUCT(('Detailed Requirements'!C$2:C$5000="FR-015")*('Detailed Requirements'!J$2:J$5000="Frontend Dev")*IF(ISNUMBER('Detailed Requirements'!L$2:L$5000),'Detailed Requirements'!L$2:L$5000,0))/'Timeline Summary'!C8+SUMPRODUCT(('Detailed Requirements'!C$2:C$5000="FR-015")*('Detailed Requirements'!J$2:J$5000="QA / Both Devs")*IF(ISNUMBER('Detailed Requirements'!L$2:L$5000),'Detailed Requirements'!L$2:L$5000,0))/'Timeline Summary'!C7,1),0)</f>
        <v>2.9</v>
      </c>
      <c r="I23" s="70">
        <f>IFERROR(I22+G23,0)</f>
        <v>19</v>
      </c>
    </row>
    <row r="24" spans="2:9" ht="21.75" customHeight="1" x14ac:dyDescent="0.25">
      <c r="B24" s="64" t="s">
        <v>951</v>
      </c>
      <c r="C24" s="71" t="s">
        <v>4371</v>
      </c>
      <c r="D24" s="66">
        <f>IFERROR(ROUND(SUMPRODUCT(('Detailed Requirements'!C$2:C$5000="FR-016")*('Detailed Requirements'!J$2:J$5000="Backend Dev")*IF(ISNUMBER('Detailed Requirements'!N$2:N$5000),'Detailed Requirements'!N$2:N$5000,0))/'Timeline Summary'!C7,1),0)</f>
        <v>0.7</v>
      </c>
      <c r="E24" s="67">
        <f>IFERROR(ROUND(SUMPRODUCT(('Detailed Requirements'!C$2:C$5000="FR-016")*('Detailed Requirements'!J$2:J$5000="Frontend Dev")*IF(ISNUMBER('Detailed Requirements'!N$2:N$5000),'Detailed Requirements'!N$2:N$5000,0))/'Timeline Summary'!C8,1),0)</f>
        <v>1.4</v>
      </c>
      <c r="F24" s="68">
        <f>IFERROR(ROUND(SUMPRODUCT(('Detailed Requirements'!C$2:C$5000="FR-016")*('Detailed Requirements'!J$2:J$5000="QA / Both Devs")*IF(ISNUMBER('Detailed Requirements'!N$2:N$5000),'Detailed Requirements'!N$2:N$5000,0))/'Timeline Summary'!C7,1),0)</f>
        <v>0</v>
      </c>
      <c r="G24" s="64">
        <f>IFERROR(MAX(D24,E24)+F24,0)</f>
        <v>1.4</v>
      </c>
      <c r="H24" s="69">
        <f>IFERROR(ROUND(SUMPRODUCT(('Detailed Requirements'!C$2:C$5000="FR-016")*('Detailed Requirements'!J$2:J$5000="Backend Dev")*IF(ISNUMBER('Detailed Requirements'!L$2:L$5000),'Detailed Requirements'!L$2:L$5000,0))/'Timeline Summary'!C7+SUMPRODUCT(('Detailed Requirements'!C$2:C$5000="FR-016")*('Detailed Requirements'!J$2:J$5000="Frontend Dev")*IF(ISNUMBER('Detailed Requirements'!L$2:L$5000),'Detailed Requirements'!L$2:L$5000,0))/'Timeline Summary'!C8+SUMPRODUCT(('Detailed Requirements'!C$2:C$5000="FR-016")*('Detailed Requirements'!J$2:J$5000="QA / Both Devs")*IF(ISNUMBER('Detailed Requirements'!L$2:L$5000),'Detailed Requirements'!L$2:L$5000,0))/'Timeline Summary'!C7,1),0)</f>
        <v>4.3</v>
      </c>
      <c r="I24" s="70">
        <f>IFERROR(I23+G24,0)</f>
        <v>20.399999999999999</v>
      </c>
    </row>
    <row r="25" spans="2:9" ht="21.75" customHeight="1" x14ac:dyDescent="0.25">
      <c r="B25" s="64" t="s">
        <v>1018</v>
      </c>
      <c r="C25" s="65" t="s">
        <v>4372</v>
      </c>
      <c r="D25" s="66">
        <f>IFERROR(ROUND(SUMPRODUCT(('Detailed Requirements'!C$2:C$5000="FR-017")*('Detailed Requirements'!J$2:J$5000="Backend Dev")*IF(ISNUMBER('Detailed Requirements'!N$2:N$5000),'Detailed Requirements'!N$2:N$5000,0))/'Timeline Summary'!C7,1),0)</f>
        <v>1.2</v>
      </c>
      <c r="E25" s="67">
        <f>IFERROR(ROUND(SUMPRODUCT(('Detailed Requirements'!C$2:C$5000="FR-017")*('Detailed Requirements'!J$2:J$5000="Frontend Dev")*IF(ISNUMBER('Detailed Requirements'!N$2:N$5000),'Detailed Requirements'!N$2:N$5000,0))/'Timeline Summary'!C8,1),0)</f>
        <v>1.3</v>
      </c>
      <c r="F25" s="68">
        <f>IFERROR(ROUND(SUMPRODUCT(('Detailed Requirements'!C$2:C$5000="FR-017")*('Detailed Requirements'!J$2:J$5000="QA / Both Devs")*IF(ISNUMBER('Detailed Requirements'!N$2:N$5000),'Detailed Requirements'!N$2:N$5000,0))/'Timeline Summary'!C7,1),0)</f>
        <v>0.6</v>
      </c>
      <c r="G25" s="64">
        <f>IFERROR(MAX(D25,E25)+F25,0)</f>
        <v>1.9</v>
      </c>
      <c r="H25" s="69">
        <f>IFERROR(ROUND(SUMPRODUCT(('Detailed Requirements'!C$2:C$5000="FR-017")*('Detailed Requirements'!J$2:J$5000="Backend Dev")*IF(ISNUMBER('Detailed Requirements'!L$2:L$5000),'Detailed Requirements'!L$2:L$5000,0))/'Timeline Summary'!C7+SUMPRODUCT(('Detailed Requirements'!C$2:C$5000="FR-017")*('Detailed Requirements'!J$2:J$5000="Frontend Dev")*IF(ISNUMBER('Detailed Requirements'!L$2:L$5000),'Detailed Requirements'!L$2:L$5000,0))/'Timeline Summary'!C8+SUMPRODUCT(('Detailed Requirements'!C$2:C$5000="FR-017")*('Detailed Requirements'!J$2:J$5000="QA / Both Devs")*IF(ISNUMBER('Detailed Requirements'!L$2:L$5000),'Detailed Requirements'!L$2:L$5000,0))/'Timeline Summary'!C7,1),0)</f>
        <v>7.5</v>
      </c>
      <c r="I25" s="70">
        <f>IFERROR(I24+G25,0)</f>
        <v>22.299999999999997</v>
      </c>
    </row>
    <row r="26" spans="2:9" ht="19.5" customHeight="1" x14ac:dyDescent="0.25">
      <c r="B26" s="8" t="s">
        <v>4373</v>
      </c>
      <c r="C26" s="8"/>
      <c r="D26" s="8"/>
      <c r="E26" s="8"/>
      <c r="F26" s="8"/>
      <c r="G26" s="8"/>
      <c r="H26" s="8"/>
      <c r="I26" s="8"/>
    </row>
    <row r="27" spans="2:9" ht="21.75" customHeight="1" x14ac:dyDescent="0.25">
      <c r="B27" s="64" t="s">
        <v>1147</v>
      </c>
      <c r="C27" s="65" t="s">
        <v>4374</v>
      </c>
      <c r="D27" s="66">
        <f>IFERROR(ROUND(SUMPRODUCT(('Detailed Requirements'!C$2:C$5000="FR-018")*('Detailed Requirements'!J$2:J$5000="Backend Dev")*IF(ISNUMBER('Detailed Requirements'!N$2:N$5000),'Detailed Requirements'!N$2:N$5000,0))/'Timeline Summary'!C7,1),0)</f>
        <v>3.9</v>
      </c>
      <c r="E27" s="67">
        <f>IFERROR(ROUND(SUMPRODUCT(('Detailed Requirements'!C$2:C$5000="FR-018")*('Detailed Requirements'!J$2:J$5000="Frontend Dev")*IF(ISNUMBER('Detailed Requirements'!N$2:N$5000),'Detailed Requirements'!N$2:N$5000,0))/'Timeline Summary'!C8,1),0)</f>
        <v>0</v>
      </c>
      <c r="F27" s="68">
        <f>IFERROR(ROUND(SUMPRODUCT(('Detailed Requirements'!C$2:C$5000="FR-018")*('Detailed Requirements'!J$2:J$5000="QA / Both Devs")*IF(ISNUMBER('Detailed Requirements'!N$2:N$5000),'Detailed Requirements'!N$2:N$5000,0))/'Timeline Summary'!C7,1),0)</f>
        <v>0.9</v>
      </c>
      <c r="G27" s="64">
        <f t="shared" ref="G27:G32" si="2">IFERROR(MAX(D27,E27)+F27,0)</f>
        <v>4.8</v>
      </c>
      <c r="H27" s="69">
        <f>IFERROR(ROUND(SUMPRODUCT(('Detailed Requirements'!C$2:C$5000="FR-018")*('Detailed Requirements'!J$2:J$5000="Backend Dev")*IF(ISNUMBER('Detailed Requirements'!L$2:L$5000),'Detailed Requirements'!L$2:L$5000,0))/'Timeline Summary'!C7+SUMPRODUCT(('Detailed Requirements'!C$2:C$5000="FR-018")*('Detailed Requirements'!J$2:J$5000="Frontend Dev")*IF(ISNUMBER('Detailed Requirements'!L$2:L$5000),'Detailed Requirements'!L$2:L$5000,0))/'Timeline Summary'!C8+SUMPRODUCT(('Detailed Requirements'!C$2:C$5000="FR-018")*('Detailed Requirements'!J$2:J$5000="QA / Both Devs")*IF(ISNUMBER('Detailed Requirements'!L$2:L$5000),'Detailed Requirements'!L$2:L$5000,0))/'Timeline Summary'!C7,1),0)</f>
        <v>11</v>
      </c>
      <c r="I27" s="70">
        <f>IFERROR(I25+G27,0)</f>
        <v>27.099999999999998</v>
      </c>
    </row>
    <row r="28" spans="2:9" ht="21.75" customHeight="1" x14ac:dyDescent="0.25">
      <c r="B28" s="64" t="s">
        <v>1283</v>
      </c>
      <c r="C28" s="71" t="s">
        <v>4375</v>
      </c>
      <c r="D28" s="66">
        <f>IFERROR(ROUND(SUMPRODUCT(('Detailed Requirements'!C$2:C$5000="FR-019")*('Detailed Requirements'!J$2:J$5000="Backend Dev")*IF(ISNUMBER('Detailed Requirements'!N$2:N$5000),'Detailed Requirements'!N$2:N$5000,0))/'Timeline Summary'!C7,1),0)</f>
        <v>3.2</v>
      </c>
      <c r="E28" s="67">
        <f>IFERROR(ROUND(SUMPRODUCT(('Detailed Requirements'!C$2:C$5000="FR-019")*('Detailed Requirements'!J$2:J$5000="Frontend Dev")*IF(ISNUMBER('Detailed Requirements'!N$2:N$5000),'Detailed Requirements'!N$2:N$5000,0))/'Timeline Summary'!C8,1),0)</f>
        <v>1.4</v>
      </c>
      <c r="F28" s="68">
        <f>IFERROR(ROUND(SUMPRODUCT(('Detailed Requirements'!C$2:C$5000="FR-019")*('Detailed Requirements'!J$2:J$5000="QA / Both Devs")*IF(ISNUMBER('Detailed Requirements'!N$2:N$5000),'Detailed Requirements'!N$2:N$5000,0))/'Timeline Summary'!C7,1),0)</f>
        <v>1.7</v>
      </c>
      <c r="G28" s="64">
        <f t="shared" si="2"/>
        <v>4.9000000000000004</v>
      </c>
      <c r="H28" s="69">
        <f>IFERROR(ROUND(SUMPRODUCT(('Detailed Requirements'!C$2:C$5000="FR-019")*('Detailed Requirements'!J$2:J$5000="Backend Dev")*IF(ISNUMBER('Detailed Requirements'!L$2:L$5000),'Detailed Requirements'!L$2:L$5000,0))/'Timeline Summary'!C7+SUMPRODUCT(('Detailed Requirements'!C$2:C$5000="FR-019")*('Detailed Requirements'!J$2:J$5000="Frontend Dev")*IF(ISNUMBER('Detailed Requirements'!L$2:L$5000),'Detailed Requirements'!L$2:L$5000,0))/'Timeline Summary'!C8+SUMPRODUCT(('Detailed Requirements'!C$2:C$5000="FR-019")*('Detailed Requirements'!J$2:J$5000="QA / Both Devs")*IF(ISNUMBER('Detailed Requirements'!L$2:L$5000),'Detailed Requirements'!L$2:L$5000,0))/'Timeline Summary'!C7,1),0)</f>
        <v>18.7</v>
      </c>
      <c r="I28" s="70">
        <f>IFERROR(I27+G28,0)</f>
        <v>32</v>
      </c>
    </row>
    <row r="29" spans="2:9" ht="21.75" customHeight="1" x14ac:dyDescent="0.25">
      <c r="B29" s="64" t="s">
        <v>1523</v>
      </c>
      <c r="C29" s="65" t="s">
        <v>4376</v>
      </c>
      <c r="D29" s="66">
        <f>IFERROR(ROUND(SUMPRODUCT(('Detailed Requirements'!C$2:C$5000="FR-020")*('Detailed Requirements'!J$2:J$5000="Backend Dev")*IF(ISNUMBER('Detailed Requirements'!N$2:N$5000),'Detailed Requirements'!N$2:N$5000,0))/'Timeline Summary'!C7,1),0)</f>
        <v>1.7</v>
      </c>
      <c r="E29" s="67">
        <f>IFERROR(ROUND(SUMPRODUCT(('Detailed Requirements'!C$2:C$5000="FR-020")*('Detailed Requirements'!J$2:J$5000="Frontend Dev")*IF(ISNUMBER('Detailed Requirements'!N$2:N$5000),'Detailed Requirements'!N$2:N$5000,0))/'Timeline Summary'!C8,1),0)</f>
        <v>1.9</v>
      </c>
      <c r="F29" s="68">
        <f>IFERROR(ROUND(SUMPRODUCT(('Detailed Requirements'!C$2:C$5000="FR-020")*('Detailed Requirements'!J$2:J$5000="QA / Both Devs")*IF(ISNUMBER('Detailed Requirements'!N$2:N$5000),'Detailed Requirements'!N$2:N$5000,0))/'Timeline Summary'!C7,1),0)</f>
        <v>1.7</v>
      </c>
      <c r="G29" s="64">
        <f t="shared" si="2"/>
        <v>3.5999999999999996</v>
      </c>
      <c r="H29" s="69">
        <f>IFERROR(ROUND(SUMPRODUCT(('Detailed Requirements'!C$2:C$5000="FR-020")*('Detailed Requirements'!J$2:J$5000="Backend Dev")*IF(ISNUMBER('Detailed Requirements'!L$2:L$5000),'Detailed Requirements'!L$2:L$5000,0))/'Timeline Summary'!C7+SUMPRODUCT(('Detailed Requirements'!C$2:C$5000="FR-020")*('Detailed Requirements'!J$2:J$5000="Frontend Dev")*IF(ISNUMBER('Detailed Requirements'!L$2:L$5000),'Detailed Requirements'!L$2:L$5000,0))/'Timeline Summary'!C8+SUMPRODUCT(('Detailed Requirements'!C$2:C$5000="FR-020")*('Detailed Requirements'!J$2:J$5000="QA / Both Devs")*IF(ISNUMBER('Detailed Requirements'!L$2:L$5000),'Detailed Requirements'!L$2:L$5000,0))/'Timeline Summary'!C7,1),0)</f>
        <v>14.4</v>
      </c>
      <c r="I29" s="70">
        <f>IFERROR(I28+G29,0)</f>
        <v>35.6</v>
      </c>
    </row>
    <row r="30" spans="2:9" ht="21.75" customHeight="1" x14ac:dyDescent="0.25">
      <c r="B30" s="64" t="s">
        <v>1712</v>
      </c>
      <c r="C30" s="71" t="s">
        <v>4377</v>
      </c>
      <c r="D30" s="66">
        <f>IFERROR(ROUND(SUMPRODUCT(('Detailed Requirements'!C$2:C$5000="FR-021")*('Detailed Requirements'!J$2:J$5000="Backend Dev")*IF(ISNUMBER('Detailed Requirements'!N$2:N$5000),'Detailed Requirements'!N$2:N$5000,0))/'Timeline Summary'!C7,1),0)</f>
        <v>0.8</v>
      </c>
      <c r="E30" s="67">
        <f>IFERROR(ROUND(SUMPRODUCT(('Detailed Requirements'!C$2:C$5000="FR-021")*('Detailed Requirements'!J$2:J$5000="Frontend Dev")*IF(ISNUMBER('Detailed Requirements'!N$2:N$5000),'Detailed Requirements'!N$2:N$5000,0))/'Timeline Summary'!C8,1),0)</f>
        <v>0.2</v>
      </c>
      <c r="F30" s="68">
        <f>IFERROR(ROUND(SUMPRODUCT(('Detailed Requirements'!C$2:C$5000="FR-021")*('Detailed Requirements'!J$2:J$5000="QA / Both Devs")*IF(ISNUMBER('Detailed Requirements'!N$2:N$5000),'Detailed Requirements'!N$2:N$5000,0))/'Timeline Summary'!C7,1),0)</f>
        <v>0.3</v>
      </c>
      <c r="G30" s="64">
        <f t="shared" si="2"/>
        <v>1.1000000000000001</v>
      </c>
      <c r="H30" s="69">
        <f>IFERROR(ROUND(SUMPRODUCT(('Detailed Requirements'!C$2:C$5000="FR-021")*('Detailed Requirements'!J$2:J$5000="Backend Dev")*IF(ISNUMBER('Detailed Requirements'!L$2:L$5000),'Detailed Requirements'!L$2:L$5000,0))/'Timeline Summary'!C7+SUMPRODUCT(('Detailed Requirements'!C$2:C$5000="FR-021")*('Detailed Requirements'!J$2:J$5000="Frontend Dev")*IF(ISNUMBER('Detailed Requirements'!L$2:L$5000),'Detailed Requirements'!L$2:L$5000,0))/'Timeline Summary'!C8+SUMPRODUCT(('Detailed Requirements'!C$2:C$5000="FR-021")*('Detailed Requirements'!J$2:J$5000="QA / Both Devs")*IF(ISNUMBER('Detailed Requirements'!L$2:L$5000),'Detailed Requirements'!L$2:L$5000,0))/'Timeline Summary'!C7,1),0)</f>
        <v>4.2</v>
      </c>
      <c r="I30" s="70">
        <f>IFERROR(I29+G30,0)</f>
        <v>36.700000000000003</v>
      </c>
    </row>
    <row r="31" spans="2:9" ht="21.75" customHeight="1" x14ac:dyDescent="0.25">
      <c r="B31" s="64" t="s">
        <v>1758</v>
      </c>
      <c r="C31" s="65" t="s">
        <v>1757</v>
      </c>
      <c r="D31" s="66">
        <f>IFERROR(ROUND(SUMPRODUCT(('Detailed Requirements'!C$2:C$5000="FR-022")*('Detailed Requirements'!J$2:J$5000="Backend Dev")*IF(ISNUMBER('Detailed Requirements'!N$2:N$5000),'Detailed Requirements'!N$2:N$5000,0))/'Timeline Summary'!C7,1),0)</f>
        <v>3</v>
      </c>
      <c r="E31" s="67">
        <f>IFERROR(ROUND(SUMPRODUCT(('Detailed Requirements'!C$2:C$5000="FR-022")*('Detailed Requirements'!J$2:J$5000="Frontend Dev")*IF(ISNUMBER('Detailed Requirements'!N$2:N$5000),'Detailed Requirements'!N$2:N$5000,0))/'Timeline Summary'!C8,1),0)</f>
        <v>2.5</v>
      </c>
      <c r="F31" s="68">
        <f>IFERROR(ROUND(SUMPRODUCT(('Detailed Requirements'!C$2:C$5000="FR-022")*('Detailed Requirements'!J$2:J$5000="QA / Both Devs")*IF(ISNUMBER('Detailed Requirements'!N$2:N$5000),'Detailed Requirements'!N$2:N$5000,0))/'Timeline Summary'!C7,1),0)</f>
        <v>1.1000000000000001</v>
      </c>
      <c r="G31" s="64">
        <f t="shared" si="2"/>
        <v>4.0999999999999996</v>
      </c>
      <c r="H31" s="69">
        <f>IFERROR(ROUND(SUMPRODUCT(('Detailed Requirements'!C$2:C$5000="FR-022")*('Detailed Requirements'!J$2:J$5000="Backend Dev")*IF(ISNUMBER('Detailed Requirements'!L$2:L$5000),'Detailed Requirements'!L$2:L$5000,0))/'Timeline Summary'!C7+SUMPRODUCT(('Detailed Requirements'!C$2:C$5000="FR-022")*('Detailed Requirements'!J$2:J$5000="Frontend Dev")*IF(ISNUMBER('Detailed Requirements'!L$2:L$5000),'Detailed Requirements'!L$2:L$5000,0))/'Timeline Summary'!C8+SUMPRODUCT(('Detailed Requirements'!C$2:C$5000="FR-022")*('Detailed Requirements'!J$2:J$5000="QA / Both Devs")*IF(ISNUMBER('Detailed Requirements'!L$2:L$5000),'Detailed Requirements'!L$2:L$5000,0))/'Timeline Summary'!C7,1),0)</f>
        <v>14.6</v>
      </c>
      <c r="I31" s="70">
        <f>IFERROR(I30+G31,0)</f>
        <v>40.800000000000004</v>
      </c>
    </row>
    <row r="32" spans="2:9" ht="21.75" customHeight="1" x14ac:dyDescent="0.25">
      <c r="B32" s="64" t="s">
        <v>1934</v>
      </c>
      <c r="C32" s="71" t="s">
        <v>4378</v>
      </c>
      <c r="D32" s="66">
        <f>IFERROR(ROUND(SUMPRODUCT(('Detailed Requirements'!C$2:C$5000="FR-023")*('Detailed Requirements'!J$2:J$5000="Backend Dev")*IF(ISNUMBER('Detailed Requirements'!N$2:N$5000),'Detailed Requirements'!N$2:N$5000,0))/'Timeline Summary'!C7,1),0)</f>
        <v>1.6</v>
      </c>
      <c r="E32" s="67">
        <f>IFERROR(ROUND(SUMPRODUCT(('Detailed Requirements'!C$2:C$5000="FR-023")*('Detailed Requirements'!J$2:J$5000="Frontend Dev")*IF(ISNUMBER('Detailed Requirements'!N$2:N$5000),'Detailed Requirements'!N$2:N$5000,0))/'Timeline Summary'!C8,1),0)</f>
        <v>0.2</v>
      </c>
      <c r="F32" s="68">
        <f>IFERROR(ROUND(SUMPRODUCT(('Detailed Requirements'!C$2:C$5000="FR-023")*('Detailed Requirements'!J$2:J$5000="QA / Both Devs")*IF(ISNUMBER('Detailed Requirements'!N$2:N$5000),'Detailed Requirements'!N$2:N$5000,0))/'Timeline Summary'!C7,1),0)</f>
        <v>0.9</v>
      </c>
      <c r="G32" s="64">
        <f t="shared" si="2"/>
        <v>2.5</v>
      </c>
      <c r="H32" s="69">
        <f>IFERROR(ROUND(SUMPRODUCT(('Detailed Requirements'!C$2:C$5000="FR-023")*('Detailed Requirements'!J$2:J$5000="Backend Dev")*IF(ISNUMBER('Detailed Requirements'!L$2:L$5000),'Detailed Requirements'!L$2:L$5000,0))/'Timeline Summary'!C7+SUMPRODUCT(('Detailed Requirements'!C$2:C$5000="FR-023")*('Detailed Requirements'!J$2:J$5000="Frontend Dev")*IF(ISNUMBER('Detailed Requirements'!L$2:L$5000),'Detailed Requirements'!L$2:L$5000,0))/'Timeline Summary'!C8+SUMPRODUCT(('Detailed Requirements'!C$2:C$5000="FR-023")*('Detailed Requirements'!J$2:J$5000="QA / Both Devs")*IF(ISNUMBER('Detailed Requirements'!L$2:L$5000),'Detailed Requirements'!L$2:L$5000,0))/'Timeline Summary'!C7,1),0)</f>
        <v>6</v>
      </c>
      <c r="I32" s="70">
        <f>IFERROR(I31+G32,0)</f>
        <v>43.300000000000004</v>
      </c>
    </row>
    <row r="33" spans="2:9" ht="19.5" customHeight="1" x14ac:dyDescent="0.25">
      <c r="B33" s="5" t="s">
        <v>4379</v>
      </c>
      <c r="C33" s="5"/>
      <c r="D33" s="5"/>
      <c r="E33" s="5"/>
      <c r="F33" s="5"/>
      <c r="G33" s="5"/>
      <c r="H33" s="5"/>
      <c r="I33" s="5"/>
    </row>
    <row r="34" spans="2:9" ht="21.75" customHeight="1" x14ac:dyDescent="0.25">
      <c r="B34" s="64" t="s">
        <v>2010</v>
      </c>
      <c r="C34" s="65" t="s">
        <v>2009</v>
      </c>
      <c r="D34" s="66">
        <f>IFERROR(ROUND(SUMPRODUCT(('Detailed Requirements'!C$2:C$5000="FR-024")*('Detailed Requirements'!J$2:J$5000="Backend Dev")*IF(ISNUMBER('Detailed Requirements'!N$2:N$5000),'Detailed Requirements'!N$2:N$5000,0))/'Timeline Summary'!C7,1),0)</f>
        <v>0.6</v>
      </c>
      <c r="E34" s="67">
        <f>IFERROR(ROUND(SUMPRODUCT(('Detailed Requirements'!C$2:C$5000="FR-024")*('Detailed Requirements'!J$2:J$5000="Frontend Dev")*IF(ISNUMBER('Detailed Requirements'!N$2:N$5000),'Detailed Requirements'!N$2:N$5000,0))/'Timeline Summary'!C8,1),0)</f>
        <v>0.9</v>
      </c>
      <c r="F34" s="68">
        <f>IFERROR(ROUND(SUMPRODUCT(('Detailed Requirements'!C$2:C$5000="FR-024")*('Detailed Requirements'!J$2:J$5000="QA / Both Devs")*IF(ISNUMBER('Detailed Requirements'!N$2:N$5000),'Detailed Requirements'!N$2:N$5000,0))/'Timeline Summary'!C7,1),0)</f>
        <v>0.3</v>
      </c>
      <c r="G34" s="64">
        <f t="shared" ref="G34:G52" si="3">IFERROR(MAX(D34,E34)+F34,0)</f>
        <v>1.2</v>
      </c>
      <c r="H34" s="69">
        <f>IFERROR(ROUND(SUMPRODUCT(('Detailed Requirements'!C$2:C$5000="FR-024")*('Detailed Requirements'!J$2:J$5000="Backend Dev")*IF(ISNUMBER('Detailed Requirements'!L$2:L$5000),'Detailed Requirements'!L$2:L$5000,0))/'Timeline Summary'!C7+SUMPRODUCT(('Detailed Requirements'!C$2:C$5000="FR-024")*('Detailed Requirements'!J$2:J$5000="Frontend Dev")*IF(ISNUMBER('Detailed Requirements'!L$2:L$5000),'Detailed Requirements'!L$2:L$5000,0))/'Timeline Summary'!C8+SUMPRODUCT(('Detailed Requirements'!C$2:C$5000="FR-024")*('Detailed Requirements'!J$2:J$5000="QA / Both Devs")*IF(ISNUMBER('Detailed Requirements'!L$2:L$5000),'Detailed Requirements'!L$2:L$5000,0))/'Timeline Summary'!C7,1),0)</f>
        <v>4</v>
      </c>
      <c r="I34" s="70">
        <f>IFERROR(I32+G34,0)</f>
        <v>44.500000000000007</v>
      </c>
    </row>
    <row r="35" spans="2:9" ht="21.75" customHeight="1" x14ac:dyDescent="0.25">
      <c r="B35" s="64" t="s">
        <v>2077</v>
      </c>
      <c r="C35" s="71" t="s">
        <v>2076</v>
      </c>
      <c r="D35" s="66">
        <f>IFERROR(ROUND(SUMPRODUCT(('Detailed Requirements'!C$2:C$5000="FR-025")*('Detailed Requirements'!J$2:J$5000="Backend Dev")*IF(ISNUMBER('Detailed Requirements'!N$2:N$5000),'Detailed Requirements'!N$2:N$5000,0))/'Timeline Summary'!C7,1),0)</f>
        <v>0.5</v>
      </c>
      <c r="E35" s="67">
        <f>IFERROR(ROUND(SUMPRODUCT(('Detailed Requirements'!C$2:C$5000="FR-025")*('Detailed Requirements'!J$2:J$5000="Frontend Dev")*IF(ISNUMBER('Detailed Requirements'!N$2:N$5000),'Detailed Requirements'!N$2:N$5000,0))/'Timeline Summary'!C8,1),0)</f>
        <v>0.8</v>
      </c>
      <c r="F35" s="68">
        <f>IFERROR(ROUND(SUMPRODUCT(('Detailed Requirements'!C$2:C$5000="FR-025")*('Detailed Requirements'!J$2:J$5000="QA / Both Devs")*IF(ISNUMBER('Detailed Requirements'!N$2:N$5000),'Detailed Requirements'!N$2:N$5000,0))/'Timeline Summary'!C7,1),0)</f>
        <v>0.3</v>
      </c>
      <c r="G35" s="64">
        <f t="shared" si="3"/>
        <v>1.1000000000000001</v>
      </c>
      <c r="H35" s="69">
        <f>IFERROR(ROUND(SUMPRODUCT(('Detailed Requirements'!C$2:C$5000="FR-025")*('Detailed Requirements'!J$2:J$5000="Backend Dev")*IF(ISNUMBER('Detailed Requirements'!L$2:L$5000),'Detailed Requirements'!L$2:L$5000,0))/'Timeline Summary'!C7+SUMPRODUCT(('Detailed Requirements'!C$2:C$5000="FR-025")*('Detailed Requirements'!J$2:J$5000="Frontend Dev")*IF(ISNUMBER('Detailed Requirements'!L$2:L$5000),'Detailed Requirements'!L$2:L$5000,0))/'Timeline Summary'!C8+SUMPRODUCT(('Detailed Requirements'!C$2:C$5000="FR-025")*('Detailed Requirements'!J$2:J$5000="QA / Both Devs")*IF(ISNUMBER('Detailed Requirements'!L$2:L$5000),'Detailed Requirements'!L$2:L$5000,0))/'Timeline Summary'!C7,1),0)</f>
        <v>2.8</v>
      </c>
      <c r="I35" s="70">
        <f t="shared" ref="I35:I52" si="4">IFERROR(I34+G35,0)</f>
        <v>45.600000000000009</v>
      </c>
    </row>
    <row r="36" spans="2:9" ht="21.75" customHeight="1" x14ac:dyDescent="0.25">
      <c r="B36" s="64" t="s">
        <v>2137</v>
      </c>
      <c r="C36" s="65" t="s">
        <v>2136</v>
      </c>
      <c r="D36" s="66">
        <f>IFERROR(ROUND(SUMPRODUCT(('Detailed Requirements'!C$2:C$5000="FR-026")*('Detailed Requirements'!J$2:J$5000="Backend Dev")*IF(ISNUMBER('Detailed Requirements'!N$2:N$5000),'Detailed Requirements'!N$2:N$5000,0))/'Timeline Summary'!C7,1),0)</f>
        <v>1</v>
      </c>
      <c r="E36" s="67">
        <f>IFERROR(ROUND(SUMPRODUCT(('Detailed Requirements'!C$2:C$5000="FR-026")*('Detailed Requirements'!J$2:J$5000="Frontend Dev")*IF(ISNUMBER('Detailed Requirements'!N$2:N$5000),'Detailed Requirements'!N$2:N$5000,0))/'Timeline Summary'!C8,1),0)</f>
        <v>1.1000000000000001</v>
      </c>
      <c r="F36" s="68">
        <f>IFERROR(ROUND(SUMPRODUCT(('Detailed Requirements'!C$2:C$5000="FR-026")*('Detailed Requirements'!J$2:J$5000="QA / Both Devs")*IF(ISNUMBER('Detailed Requirements'!N$2:N$5000),'Detailed Requirements'!N$2:N$5000,0))/'Timeline Summary'!C7,1),0)</f>
        <v>0.3</v>
      </c>
      <c r="G36" s="64">
        <f t="shared" si="3"/>
        <v>1.4000000000000001</v>
      </c>
      <c r="H36" s="69">
        <f>IFERROR(ROUND(SUMPRODUCT(('Detailed Requirements'!C$2:C$5000="FR-026")*('Detailed Requirements'!J$2:J$5000="Backend Dev")*IF(ISNUMBER('Detailed Requirements'!L$2:L$5000),'Detailed Requirements'!L$2:L$5000,0))/'Timeline Summary'!C7+SUMPRODUCT(('Detailed Requirements'!C$2:C$5000="FR-026")*('Detailed Requirements'!J$2:J$5000="Frontend Dev")*IF(ISNUMBER('Detailed Requirements'!L$2:L$5000),'Detailed Requirements'!L$2:L$5000,0))/'Timeline Summary'!C8+SUMPRODUCT(('Detailed Requirements'!C$2:C$5000="FR-026")*('Detailed Requirements'!J$2:J$5000="QA / Both Devs")*IF(ISNUMBER('Detailed Requirements'!L$2:L$5000),'Detailed Requirements'!L$2:L$5000,0))/'Timeline Summary'!C7,1),0)</f>
        <v>4.8</v>
      </c>
      <c r="I36" s="70">
        <f t="shared" si="4"/>
        <v>47.000000000000007</v>
      </c>
    </row>
    <row r="37" spans="2:9" ht="21.75" customHeight="1" x14ac:dyDescent="0.25">
      <c r="B37" s="64" t="s">
        <v>2222</v>
      </c>
      <c r="C37" s="71" t="s">
        <v>2221</v>
      </c>
      <c r="D37" s="66">
        <f>IFERROR(ROUND(SUMPRODUCT(('Detailed Requirements'!C$2:C$5000="FR-027")*('Detailed Requirements'!J$2:J$5000="Backend Dev")*IF(ISNUMBER('Detailed Requirements'!N$2:N$5000),'Detailed Requirements'!N$2:N$5000,0))/'Timeline Summary'!C7,1),0)</f>
        <v>0.7</v>
      </c>
      <c r="E37" s="67">
        <f>IFERROR(ROUND(SUMPRODUCT(('Detailed Requirements'!C$2:C$5000="FR-027")*('Detailed Requirements'!J$2:J$5000="Frontend Dev")*IF(ISNUMBER('Detailed Requirements'!N$2:N$5000),'Detailed Requirements'!N$2:N$5000,0))/'Timeline Summary'!C8,1),0)</f>
        <v>0.9</v>
      </c>
      <c r="F37" s="68">
        <f>IFERROR(ROUND(SUMPRODUCT(('Detailed Requirements'!C$2:C$5000="FR-027")*('Detailed Requirements'!J$2:J$5000="QA / Both Devs")*IF(ISNUMBER('Detailed Requirements'!N$2:N$5000),'Detailed Requirements'!N$2:N$5000,0))/'Timeline Summary'!C7,1),0)</f>
        <v>0.3</v>
      </c>
      <c r="G37" s="64">
        <f t="shared" si="3"/>
        <v>1.2</v>
      </c>
      <c r="H37" s="69">
        <f>IFERROR(ROUND(SUMPRODUCT(('Detailed Requirements'!C$2:C$5000="FR-027")*('Detailed Requirements'!J$2:J$5000="Backend Dev")*IF(ISNUMBER('Detailed Requirements'!L$2:L$5000),'Detailed Requirements'!L$2:L$5000,0))/'Timeline Summary'!C7+SUMPRODUCT(('Detailed Requirements'!C$2:C$5000="FR-027")*('Detailed Requirements'!J$2:J$5000="Frontend Dev")*IF(ISNUMBER('Detailed Requirements'!L$2:L$5000),'Detailed Requirements'!L$2:L$5000,0))/'Timeline Summary'!C8+SUMPRODUCT(('Detailed Requirements'!C$2:C$5000="FR-027")*('Detailed Requirements'!J$2:J$5000="QA / Both Devs")*IF(ISNUMBER('Detailed Requirements'!L$2:L$5000),'Detailed Requirements'!L$2:L$5000,0))/'Timeline Summary'!C7,1),0)</f>
        <v>3.8</v>
      </c>
      <c r="I37" s="70">
        <f t="shared" si="4"/>
        <v>48.20000000000001</v>
      </c>
    </row>
    <row r="38" spans="2:9" ht="21.75" customHeight="1" x14ac:dyDescent="0.25">
      <c r="B38" s="64" t="s">
        <v>2288</v>
      </c>
      <c r="C38" s="65" t="s">
        <v>2287</v>
      </c>
      <c r="D38" s="66">
        <f>IFERROR(ROUND(SUMPRODUCT(('Detailed Requirements'!C$2:C$5000="FR-028")*('Detailed Requirements'!J$2:J$5000="Backend Dev")*IF(ISNUMBER('Detailed Requirements'!N$2:N$5000),'Detailed Requirements'!N$2:N$5000,0))/'Timeline Summary'!C7,1),0)</f>
        <v>0.7</v>
      </c>
      <c r="E38" s="67">
        <f>IFERROR(ROUND(SUMPRODUCT(('Detailed Requirements'!C$2:C$5000="FR-028")*('Detailed Requirements'!J$2:J$5000="Frontend Dev")*IF(ISNUMBER('Detailed Requirements'!N$2:N$5000),'Detailed Requirements'!N$2:N$5000,0))/'Timeline Summary'!C8,1),0)</f>
        <v>0.9</v>
      </c>
      <c r="F38" s="68">
        <f>IFERROR(ROUND(SUMPRODUCT(('Detailed Requirements'!C$2:C$5000="FR-028")*('Detailed Requirements'!J$2:J$5000="QA / Both Devs")*IF(ISNUMBER('Detailed Requirements'!N$2:N$5000),'Detailed Requirements'!N$2:N$5000,0))/'Timeline Summary'!C7,1),0)</f>
        <v>0.3</v>
      </c>
      <c r="G38" s="64">
        <f t="shared" si="3"/>
        <v>1.2</v>
      </c>
      <c r="H38" s="69">
        <f>IFERROR(ROUND(SUMPRODUCT(('Detailed Requirements'!C$2:C$5000="FR-028")*('Detailed Requirements'!J$2:J$5000="Backend Dev")*IF(ISNUMBER('Detailed Requirements'!L$2:L$5000),'Detailed Requirements'!L$2:L$5000,0))/'Timeline Summary'!C7+SUMPRODUCT(('Detailed Requirements'!C$2:C$5000="FR-028")*('Detailed Requirements'!J$2:J$5000="Frontend Dev")*IF(ISNUMBER('Detailed Requirements'!L$2:L$5000),'Detailed Requirements'!L$2:L$5000,0))/'Timeline Summary'!C8+SUMPRODUCT(('Detailed Requirements'!C$2:C$5000="FR-028")*('Detailed Requirements'!J$2:J$5000="QA / Both Devs")*IF(ISNUMBER('Detailed Requirements'!L$2:L$5000),'Detailed Requirements'!L$2:L$5000,0))/'Timeline Summary'!C7,1),0)</f>
        <v>3.8</v>
      </c>
      <c r="I38" s="70">
        <f t="shared" si="4"/>
        <v>49.400000000000013</v>
      </c>
    </row>
    <row r="39" spans="2:9" ht="21.75" customHeight="1" x14ac:dyDescent="0.25">
      <c r="B39" s="64" t="s">
        <v>2351</v>
      </c>
      <c r="C39" s="71" t="s">
        <v>2350</v>
      </c>
      <c r="D39" s="66">
        <f>IFERROR(ROUND(SUMPRODUCT(('Detailed Requirements'!C$2:C$5000="FR-029")*('Detailed Requirements'!J$2:J$5000="Backend Dev")*IF(ISNUMBER('Detailed Requirements'!N$2:N$5000),'Detailed Requirements'!N$2:N$5000,0))/'Timeline Summary'!C7,1),0)</f>
        <v>0.2</v>
      </c>
      <c r="E39" s="67">
        <f>IFERROR(ROUND(SUMPRODUCT(('Detailed Requirements'!C$2:C$5000="FR-029")*('Detailed Requirements'!J$2:J$5000="Frontend Dev")*IF(ISNUMBER('Detailed Requirements'!N$2:N$5000),'Detailed Requirements'!N$2:N$5000,0))/'Timeline Summary'!C8,1),0)</f>
        <v>0.5</v>
      </c>
      <c r="F39" s="68">
        <f>IFERROR(ROUND(SUMPRODUCT(('Detailed Requirements'!C$2:C$5000="FR-029")*('Detailed Requirements'!J$2:J$5000="QA / Both Devs")*IF(ISNUMBER('Detailed Requirements'!N$2:N$5000),'Detailed Requirements'!N$2:N$5000,0))/'Timeline Summary'!C7,1),0)</f>
        <v>0.3</v>
      </c>
      <c r="G39" s="64">
        <f t="shared" si="3"/>
        <v>0.8</v>
      </c>
      <c r="H39" s="69">
        <f>IFERROR(ROUND(SUMPRODUCT(('Detailed Requirements'!C$2:C$5000="FR-029")*('Detailed Requirements'!J$2:J$5000="Backend Dev")*IF(ISNUMBER('Detailed Requirements'!L$2:L$5000),'Detailed Requirements'!L$2:L$5000,0))/'Timeline Summary'!C7+SUMPRODUCT(('Detailed Requirements'!C$2:C$5000="FR-029")*('Detailed Requirements'!J$2:J$5000="Frontend Dev")*IF(ISNUMBER('Detailed Requirements'!L$2:L$5000),'Detailed Requirements'!L$2:L$5000,0))/'Timeline Summary'!C8+SUMPRODUCT(('Detailed Requirements'!C$2:C$5000="FR-029")*('Detailed Requirements'!J$2:J$5000="QA / Both Devs")*IF(ISNUMBER('Detailed Requirements'!L$2:L$5000),'Detailed Requirements'!L$2:L$5000,0))/'Timeline Summary'!C7,1),0)</f>
        <v>1.8</v>
      </c>
      <c r="I39" s="70">
        <f t="shared" si="4"/>
        <v>50.20000000000001</v>
      </c>
    </row>
    <row r="40" spans="2:9" ht="21.75" customHeight="1" x14ac:dyDescent="0.25">
      <c r="B40" s="64" t="s">
        <v>2394</v>
      </c>
      <c r="C40" s="65" t="s">
        <v>2393</v>
      </c>
      <c r="D40" s="66">
        <f>IFERROR(ROUND(SUMPRODUCT(('Detailed Requirements'!C$2:C$5000="FR-030")*('Detailed Requirements'!J$2:J$5000="Backend Dev")*IF(ISNUMBER('Detailed Requirements'!N$2:N$5000),'Detailed Requirements'!N$2:N$5000,0))/'Timeline Summary'!C7,1),0)</f>
        <v>0.6</v>
      </c>
      <c r="E40" s="67">
        <f>IFERROR(ROUND(SUMPRODUCT(('Detailed Requirements'!C$2:C$5000="FR-030")*('Detailed Requirements'!J$2:J$5000="Frontend Dev")*IF(ISNUMBER('Detailed Requirements'!N$2:N$5000),'Detailed Requirements'!N$2:N$5000,0))/'Timeline Summary'!C8,1),0)</f>
        <v>0.5</v>
      </c>
      <c r="F40" s="68">
        <f>IFERROR(ROUND(SUMPRODUCT(('Detailed Requirements'!C$2:C$5000="FR-030")*('Detailed Requirements'!J$2:J$5000="QA / Both Devs")*IF(ISNUMBER('Detailed Requirements'!N$2:N$5000),'Detailed Requirements'!N$2:N$5000,0))/'Timeline Summary'!C7,1),0)</f>
        <v>0.3</v>
      </c>
      <c r="G40" s="64">
        <f t="shared" si="3"/>
        <v>0.89999999999999991</v>
      </c>
      <c r="H40" s="69">
        <f>IFERROR(ROUND(SUMPRODUCT(('Detailed Requirements'!C$2:C$5000="FR-030")*('Detailed Requirements'!J$2:J$5000="Backend Dev")*IF(ISNUMBER('Detailed Requirements'!L$2:L$5000),'Detailed Requirements'!L$2:L$5000,0))/'Timeline Summary'!C7+SUMPRODUCT(('Detailed Requirements'!C$2:C$5000="FR-030")*('Detailed Requirements'!J$2:J$5000="Frontend Dev")*IF(ISNUMBER('Detailed Requirements'!L$2:L$5000),'Detailed Requirements'!L$2:L$5000,0))/'Timeline Summary'!C8+SUMPRODUCT(('Detailed Requirements'!C$2:C$5000="FR-030")*('Detailed Requirements'!J$2:J$5000="QA / Both Devs")*IF(ISNUMBER('Detailed Requirements'!L$2:L$5000),'Detailed Requirements'!L$2:L$5000,0))/'Timeline Summary'!C7,1),0)</f>
        <v>3</v>
      </c>
      <c r="I40" s="70">
        <f t="shared" si="4"/>
        <v>51.100000000000009</v>
      </c>
    </row>
    <row r="41" spans="2:9" ht="21.75" customHeight="1" x14ac:dyDescent="0.25">
      <c r="B41" s="64" t="s">
        <v>2439</v>
      </c>
      <c r="C41" s="71" t="s">
        <v>2438</v>
      </c>
      <c r="D41" s="66">
        <f>IFERROR(ROUND(SUMPRODUCT(('Detailed Requirements'!C$2:C$5000="FR-031")*('Detailed Requirements'!J$2:J$5000="Backend Dev")*IF(ISNUMBER('Detailed Requirements'!N$2:N$5000),'Detailed Requirements'!N$2:N$5000,0))/'Timeline Summary'!C7,1),0)</f>
        <v>0.6</v>
      </c>
      <c r="E41" s="67">
        <f>IFERROR(ROUND(SUMPRODUCT(('Detailed Requirements'!C$2:C$5000="FR-031")*('Detailed Requirements'!J$2:J$5000="Frontend Dev")*IF(ISNUMBER('Detailed Requirements'!N$2:N$5000),'Detailed Requirements'!N$2:N$5000,0))/'Timeline Summary'!C8,1),0)</f>
        <v>0.9</v>
      </c>
      <c r="F41" s="68">
        <f>IFERROR(ROUND(SUMPRODUCT(('Detailed Requirements'!C$2:C$5000="FR-031")*('Detailed Requirements'!J$2:J$5000="QA / Both Devs")*IF(ISNUMBER('Detailed Requirements'!N$2:N$5000),'Detailed Requirements'!N$2:N$5000,0))/'Timeline Summary'!C7,1),0)</f>
        <v>0.3</v>
      </c>
      <c r="G41" s="64">
        <f t="shared" si="3"/>
        <v>1.2</v>
      </c>
      <c r="H41" s="69">
        <f>IFERROR(ROUND(SUMPRODUCT(('Detailed Requirements'!C$2:C$5000="FR-031")*('Detailed Requirements'!J$2:J$5000="Backend Dev")*IF(ISNUMBER('Detailed Requirements'!L$2:L$5000),'Detailed Requirements'!L$2:L$5000,0))/'Timeline Summary'!C7+SUMPRODUCT(('Detailed Requirements'!C$2:C$5000="FR-031")*('Detailed Requirements'!J$2:J$5000="Frontend Dev")*IF(ISNUMBER('Detailed Requirements'!L$2:L$5000),'Detailed Requirements'!L$2:L$5000,0))/'Timeline Summary'!C8+SUMPRODUCT(('Detailed Requirements'!C$2:C$5000="FR-031")*('Detailed Requirements'!J$2:J$5000="QA / Both Devs")*IF(ISNUMBER('Detailed Requirements'!L$2:L$5000),'Detailed Requirements'!L$2:L$5000,0))/'Timeline Summary'!C7,1),0)</f>
        <v>3.5</v>
      </c>
      <c r="I41" s="70">
        <f t="shared" si="4"/>
        <v>52.300000000000011</v>
      </c>
    </row>
    <row r="42" spans="2:9" ht="21.75" customHeight="1" x14ac:dyDescent="0.25">
      <c r="B42" s="64" t="s">
        <v>2509</v>
      </c>
      <c r="C42" s="65" t="s">
        <v>2508</v>
      </c>
      <c r="D42" s="66">
        <f>IFERROR(ROUND(SUMPRODUCT(('Detailed Requirements'!C$2:C$5000="FR-032")*('Detailed Requirements'!J$2:J$5000="Backend Dev")*IF(ISNUMBER('Detailed Requirements'!N$2:N$5000),'Detailed Requirements'!N$2:N$5000,0))/'Timeline Summary'!C7,1),0)</f>
        <v>0.7</v>
      </c>
      <c r="E42" s="67">
        <f>IFERROR(ROUND(SUMPRODUCT(('Detailed Requirements'!C$2:C$5000="FR-032")*('Detailed Requirements'!J$2:J$5000="Frontend Dev")*IF(ISNUMBER('Detailed Requirements'!N$2:N$5000),'Detailed Requirements'!N$2:N$5000,0))/'Timeline Summary'!C8,1),0)</f>
        <v>1</v>
      </c>
      <c r="F42" s="68">
        <f>IFERROR(ROUND(SUMPRODUCT(('Detailed Requirements'!C$2:C$5000="FR-032")*('Detailed Requirements'!J$2:J$5000="QA / Both Devs")*IF(ISNUMBER('Detailed Requirements'!N$2:N$5000),'Detailed Requirements'!N$2:N$5000,0))/'Timeline Summary'!C7,1),0)</f>
        <v>0.3</v>
      </c>
      <c r="G42" s="64">
        <f t="shared" si="3"/>
        <v>1.3</v>
      </c>
      <c r="H42" s="69">
        <f>IFERROR(ROUND(SUMPRODUCT(('Detailed Requirements'!C$2:C$5000="FR-032")*('Detailed Requirements'!J$2:J$5000="Backend Dev")*IF(ISNUMBER('Detailed Requirements'!L$2:L$5000),'Detailed Requirements'!L$2:L$5000,0))/'Timeline Summary'!C7+SUMPRODUCT(('Detailed Requirements'!C$2:C$5000="FR-032")*('Detailed Requirements'!J$2:J$5000="Frontend Dev")*IF(ISNUMBER('Detailed Requirements'!L$2:L$5000),'Detailed Requirements'!L$2:L$5000,0))/'Timeline Summary'!C8+SUMPRODUCT(('Detailed Requirements'!C$2:C$5000="FR-032")*('Detailed Requirements'!J$2:J$5000="QA / Both Devs")*IF(ISNUMBER('Detailed Requirements'!L$2:L$5000),'Detailed Requirements'!L$2:L$5000,0))/'Timeline Summary'!C7,1),0)</f>
        <v>3.8</v>
      </c>
      <c r="I42" s="70">
        <f t="shared" si="4"/>
        <v>53.600000000000009</v>
      </c>
    </row>
    <row r="43" spans="2:9" ht="21.75" customHeight="1" x14ac:dyDescent="0.25">
      <c r="B43" s="64" t="s">
        <v>2584</v>
      </c>
      <c r="C43" s="71" t="s">
        <v>2583</v>
      </c>
      <c r="D43" s="66">
        <f>IFERROR(ROUND(SUMPRODUCT(('Detailed Requirements'!C$2:C$5000="FR-033")*('Detailed Requirements'!J$2:J$5000="Backend Dev")*IF(ISNUMBER('Detailed Requirements'!N$2:N$5000),'Detailed Requirements'!N$2:N$5000,0))/'Timeline Summary'!C7,1),0)</f>
        <v>0.4</v>
      </c>
      <c r="E43" s="67">
        <f>IFERROR(ROUND(SUMPRODUCT(('Detailed Requirements'!C$2:C$5000="FR-033")*('Detailed Requirements'!J$2:J$5000="Frontend Dev")*IF(ISNUMBER('Detailed Requirements'!N$2:N$5000),'Detailed Requirements'!N$2:N$5000,0))/'Timeline Summary'!C8,1),0)</f>
        <v>0.8</v>
      </c>
      <c r="F43" s="68">
        <f>IFERROR(ROUND(SUMPRODUCT(('Detailed Requirements'!C$2:C$5000="FR-033")*('Detailed Requirements'!J$2:J$5000="QA / Both Devs")*IF(ISNUMBER('Detailed Requirements'!N$2:N$5000),'Detailed Requirements'!N$2:N$5000,0))/'Timeline Summary'!C7,1),0)</f>
        <v>0.3</v>
      </c>
      <c r="G43" s="64">
        <f t="shared" si="3"/>
        <v>1.1000000000000001</v>
      </c>
      <c r="H43" s="69">
        <f>IFERROR(ROUND(SUMPRODUCT(('Detailed Requirements'!C$2:C$5000="FR-033")*('Detailed Requirements'!J$2:J$5000="Backend Dev")*IF(ISNUMBER('Detailed Requirements'!L$2:L$5000),'Detailed Requirements'!L$2:L$5000,0))/'Timeline Summary'!C7+SUMPRODUCT(('Detailed Requirements'!C$2:C$5000="FR-033")*('Detailed Requirements'!J$2:J$5000="Frontend Dev")*IF(ISNUMBER('Detailed Requirements'!L$2:L$5000),'Detailed Requirements'!L$2:L$5000,0))/'Timeline Summary'!C8+SUMPRODUCT(('Detailed Requirements'!C$2:C$5000="FR-033")*('Detailed Requirements'!J$2:J$5000="QA / Both Devs")*IF(ISNUMBER('Detailed Requirements'!L$2:L$5000),'Detailed Requirements'!L$2:L$5000,0))/'Timeline Summary'!C7,1),0)</f>
        <v>2.8</v>
      </c>
      <c r="I43" s="70">
        <f t="shared" si="4"/>
        <v>54.70000000000001</v>
      </c>
    </row>
    <row r="44" spans="2:9" ht="21.75" customHeight="1" x14ac:dyDescent="0.25">
      <c r="B44" s="64" t="s">
        <v>2642</v>
      </c>
      <c r="C44" s="65" t="s">
        <v>2641</v>
      </c>
      <c r="D44" s="66">
        <f>IFERROR(ROUND(SUMPRODUCT(('Detailed Requirements'!C$2:C$5000="FR-034")*('Detailed Requirements'!J$2:J$5000="Backend Dev")*IF(ISNUMBER('Detailed Requirements'!N$2:N$5000),'Detailed Requirements'!N$2:N$5000,0))/'Timeline Summary'!C7,1),0)</f>
        <v>0.2</v>
      </c>
      <c r="E44" s="67">
        <f>IFERROR(ROUND(SUMPRODUCT(('Detailed Requirements'!C$2:C$5000="FR-034")*('Detailed Requirements'!J$2:J$5000="Frontend Dev")*IF(ISNUMBER('Detailed Requirements'!N$2:N$5000),'Detailed Requirements'!N$2:N$5000,0))/'Timeline Summary'!C8,1),0)</f>
        <v>0.6</v>
      </c>
      <c r="F44" s="68">
        <f>IFERROR(ROUND(SUMPRODUCT(('Detailed Requirements'!C$2:C$5000="FR-034")*('Detailed Requirements'!J$2:J$5000="QA / Both Devs")*IF(ISNUMBER('Detailed Requirements'!N$2:N$5000),'Detailed Requirements'!N$2:N$5000,0))/'Timeline Summary'!C7,1),0)</f>
        <v>0.3</v>
      </c>
      <c r="G44" s="64">
        <f t="shared" si="3"/>
        <v>0.89999999999999991</v>
      </c>
      <c r="H44" s="69">
        <f>IFERROR(ROUND(SUMPRODUCT(('Detailed Requirements'!C$2:C$5000="FR-034")*('Detailed Requirements'!J$2:J$5000="Backend Dev")*IF(ISNUMBER('Detailed Requirements'!L$2:L$5000),'Detailed Requirements'!L$2:L$5000,0))/'Timeline Summary'!C7+SUMPRODUCT(('Detailed Requirements'!C$2:C$5000="FR-034")*('Detailed Requirements'!J$2:J$5000="Frontend Dev")*IF(ISNUMBER('Detailed Requirements'!L$2:L$5000),'Detailed Requirements'!L$2:L$5000,0))/'Timeline Summary'!C8+SUMPRODUCT(('Detailed Requirements'!C$2:C$5000="FR-034")*('Detailed Requirements'!J$2:J$5000="QA / Both Devs")*IF(ISNUMBER('Detailed Requirements'!L$2:L$5000),'Detailed Requirements'!L$2:L$5000,0))/'Timeline Summary'!C7,1),0)</f>
        <v>2</v>
      </c>
      <c r="I44" s="70">
        <f t="shared" si="4"/>
        <v>55.600000000000009</v>
      </c>
    </row>
    <row r="45" spans="2:9" ht="21.75" customHeight="1" x14ac:dyDescent="0.25">
      <c r="B45" s="64" t="s">
        <v>2691</v>
      </c>
      <c r="C45" s="71" t="s">
        <v>2690</v>
      </c>
      <c r="D45" s="66">
        <f>IFERROR(ROUND(SUMPRODUCT(('Detailed Requirements'!C$2:C$5000="FR-035")*('Detailed Requirements'!J$2:J$5000="Backend Dev")*IF(ISNUMBER('Detailed Requirements'!N$2:N$5000),'Detailed Requirements'!N$2:N$5000,0))/'Timeline Summary'!C7,1),0)</f>
        <v>0.6</v>
      </c>
      <c r="E45" s="67">
        <f>IFERROR(ROUND(SUMPRODUCT(('Detailed Requirements'!C$2:C$5000="FR-035")*('Detailed Requirements'!J$2:J$5000="Frontend Dev")*IF(ISNUMBER('Detailed Requirements'!N$2:N$5000),'Detailed Requirements'!N$2:N$5000,0))/'Timeline Summary'!C8,1),0)</f>
        <v>0.7</v>
      </c>
      <c r="F45" s="68">
        <f>IFERROR(ROUND(SUMPRODUCT(('Detailed Requirements'!C$2:C$5000="FR-035")*('Detailed Requirements'!J$2:J$5000="QA / Both Devs")*IF(ISNUMBER('Detailed Requirements'!N$2:N$5000),'Detailed Requirements'!N$2:N$5000,0))/'Timeline Summary'!C7,1),0)</f>
        <v>0.3</v>
      </c>
      <c r="G45" s="64">
        <f t="shared" si="3"/>
        <v>1</v>
      </c>
      <c r="H45" s="69">
        <f>IFERROR(ROUND(SUMPRODUCT(('Detailed Requirements'!C$2:C$5000="FR-035")*('Detailed Requirements'!J$2:J$5000="Backend Dev")*IF(ISNUMBER('Detailed Requirements'!L$2:L$5000),'Detailed Requirements'!L$2:L$5000,0))/'Timeline Summary'!C7+SUMPRODUCT(('Detailed Requirements'!C$2:C$5000="FR-035")*('Detailed Requirements'!J$2:J$5000="Frontend Dev")*IF(ISNUMBER('Detailed Requirements'!L$2:L$5000),'Detailed Requirements'!L$2:L$5000,0))/'Timeline Summary'!C8+SUMPRODUCT(('Detailed Requirements'!C$2:C$5000="FR-035")*('Detailed Requirements'!J$2:J$5000="QA / Both Devs")*IF(ISNUMBER('Detailed Requirements'!L$2:L$5000),'Detailed Requirements'!L$2:L$5000,0))/'Timeline Summary'!C7,1),0)</f>
        <v>3</v>
      </c>
      <c r="I45" s="70">
        <f t="shared" si="4"/>
        <v>56.600000000000009</v>
      </c>
    </row>
    <row r="46" spans="2:9" ht="21.75" customHeight="1" x14ac:dyDescent="0.25">
      <c r="B46" s="64" t="s">
        <v>2757</v>
      </c>
      <c r="C46" s="65" t="s">
        <v>4380</v>
      </c>
      <c r="D46" s="66">
        <f>IFERROR(ROUND(SUMPRODUCT(('Detailed Requirements'!C$2:C$5000="FR-036")*('Detailed Requirements'!J$2:J$5000="Backend Dev")*IF(ISNUMBER('Detailed Requirements'!N$2:N$5000),'Detailed Requirements'!N$2:N$5000,0))/'Timeline Summary'!C7,1),0)</f>
        <v>1.7</v>
      </c>
      <c r="E46" s="67">
        <f>IFERROR(ROUND(SUMPRODUCT(('Detailed Requirements'!C$2:C$5000="FR-036")*('Detailed Requirements'!J$2:J$5000="Frontend Dev")*IF(ISNUMBER('Detailed Requirements'!N$2:N$5000),'Detailed Requirements'!N$2:N$5000,0))/'Timeline Summary'!C8,1),0)</f>
        <v>0.6</v>
      </c>
      <c r="F46" s="68">
        <f>IFERROR(ROUND(SUMPRODUCT(('Detailed Requirements'!C$2:C$5000="FR-036")*('Detailed Requirements'!J$2:J$5000="QA / Both Devs")*IF(ISNUMBER('Detailed Requirements'!N$2:N$5000),'Detailed Requirements'!N$2:N$5000,0))/'Timeline Summary'!C7,1),0)</f>
        <v>0.7</v>
      </c>
      <c r="G46" s="64">
        <f t="shared" si="3"/>
        <v>2.4</v>
      </c>
      <c r="H46" s="69">
        <f>IFERROR(ROUND(SUMPRODUCT(('Detailed Requirements'!C$2:C$5000="FR-036")*('Detailed Requirements'!J$2:J$5000="Backend Dev")*IF(ISNUMBER('Detailed Requirements'!L$2:L$5000),'Detailed Requirements'!L$2:L$5000,0))/'Timeline Summary'!C7+SUMPRODUCT(('Detailed Requirements'!C$2:C$5000="FR-036")*('Detailed Requirements'!J$2:J$5000="Frontend Dev")*IF(ISNUMBER('Detailed Requirements'!L$2:L$5000),'Detailed Requirements'!L$2:L$5000,0))/'Timeline Summary'!C8+SUMPRODUCT(('Detailed Requirements'!C$2:C$5000="FR-036")*('Detailed Requirements'!J$2:J$5000="QA / Both Devs")*IF(ISNUMBER('Detailed Requirements'!L$2:L$5000),'Detailed Requirements'!L$2:L$5000,0))/'Timeline Summary'!C7,1),0)</f>
        <v>6.5</v>
      </c>
      <c r="I46" s="70">
        <f t="shared" si="4"/>
        <v>59.000000000000007</v>
      </c>
    </row>
    <row r="47" spans="2:9" ht="21.75" customHeight="1" x14ac:dyDescent="0.25">
      <c r="B47" s="64" t="s">
        <v>2868</v>
      </c>
      <c r="C47" s="71" t="s">
        <v>4381</v>
      </c>
      <c r="D47" s="66">
        <f>IFERROR(ROUND(SUMPRODUCT(('Detailed Requirements'!C$2:C$5000="FR-037")*('Detailed Requirements'!J$2:J$5000="Backend Dev")*IF(ISNUMBER('Detailed Requirements'!N$2:N$5000),'Detailed Requirements'!N$2:N$5000,0))/'Timeline Summary'!C7,1),0)</f>
        <v>1.6</v>
      </c>
      <c r="E47" s="67">
        <f>IFERROR(ROUND(SUMPRODUCT(('Detailed Requirements'!C$2:C$5000="FR-037")*('Detailed Requirements'!J$2:J$5000="Frontend Dev")*IF(ISNUMBER('Detailed Requirements'!N$2:N$5000),'Detailed Requirements'!N$2:N$5000,0))/'Timeline Summary'!C8,1),0)</f>
        <v>1.6</v>
      </c>
      <c r="F47" s="68">
        <f>IFERROR(ROUND(SUMPRODUCT(('Detailed Requirements'!C$2:C$5000="FR-037")*('Detailed Requirements'!J$2:J$5000="QA / Both Devs")*IF(ISNUMBER('Detailed Requirements'!N$2:N$5000),'Detailed Requirements'!N$2:N$5000,0))/'Timeline Summary'!C7,1),0)</f>
        <v>0.7</v>
      </c>
      <c r="G47" s="64">
        <f t="shared" si="3"/>
        <v>2.2999999999999998</v>
      </c>
      <c r="H47" s="69">
        <f>IFERROR(ROUND(SUMPRODUCT(('Detailed Requirements'!C$2:C$5000="FR-037")*('Detailed Requirements'!J$2:J$5000="Backend Dev")*IF(ISNUMBER('Detailed Requirements'!L$2:L$5000),'Detailed Requirements'!L$2:L$5000,0))/'Timeline Summary'!C7+SUMPRODUCT(('Detailed Requirements'!C$2:C$5000="FR-037")*('Detailed Requirements'!J$2:J$5000="Frontend Dev")*IF(ISNUMBER('Detailed Requirements'!L$2:L$5000),'Detailed Requirements'!L$2:L$5000,0))/'Timeline Summary'!C8+SUMPRODUCT(('Detailed Requirements'!C$2:C$5000="FR-037")*('Detailed Requirements'!J$2:J$5000="QA / Both Devs")*IF(ISNUMBER('Detailed Requirements'!L$2:L$5000),'Detailed Requirements'!L$2:L$5000,0))/'Timeline Summary'!C7,1),0)</f>
        <v>8.1999999999999993</v>
      </c>
      <c r="I47" s="70">
        <f t="shared" si="4"/>
        <v>61.300000000000004</v>
      </c>
    </row>
    <row r="48" spans="2:9" ht="21.75" customHeight="1" x14ac:dyDescent="0.25">
      <c r="B48" s="64" t="s">
        <v>2966</v>
      </c>
      <c r="C48" s="65" t="s">
        <v>4382</v>
      </c>
      <c r="D48" s="66">
        <f>IFERROR(ROUND(SUMPRODUCT(('Detailed Requirements'!C$2:C$5000="FR-038")*('Detailed Requirements'!J$2:J$5000="Backend Dev")*IF(ISNUMBER('Detailed Requirements'!N$2:N$5000),'Detailed Requirements'!N$2:N$5000,0))/'Timeline Summary'!C7,1),0)</f>
        <v>0.2</v>
      </c>
      <c r="E48" s="67">
        <f>IFERROR(ROUND(SUMPRODUCT(('Detailed Requirements'!C$2:C$5000="FR-038")*('Detailed Requirements'!J$2:J$5000="Frontend Dev")*IF(ISNUMBER('Detailed Requirements'!N$2:N$5000),'Detailed Requirements'!N$2:N$5000,0))/'Timeline Summary'!C8,1),0)</f>
        <v>0.5</v>
      </c>
      <c r="F48" s="68">
        <f>IFERROR(ROUND(SUMPRODUCT(('Detailed Requirements'!C$2:C$5000="FR-038")*('Detailed Requirements'!J$2:J$5000="QA / Both Devs")*IF(ISNUMBER('Detailed Requirements'!N$2:N$5000),'Detailed Requirements'!N$2:N$5000,0))/'Timeline Summary'!C7,1),0)</f>
        <v>0.2</v>
      </c>
      <c r="G48" s="64">
        <f t="shared" si="3"/>
        <v>0.7</v>
      </c>
      <c r="H48" s="69">
        <f>IFERROR(ROUND(SUMPRODUCT(('Detailed Requirements'!C$2:C$5000="FR-038")*('Detailed Requirements'!J$2:J$5000="Backend Dev")*IF(ISNUMBER('Detailed Requirements'!L$2:L$5000),'Detailed Requirements'!L$2:L$5000,0))/'Timeline Summary'!C7+SUMPRODUCT(('Detailed Requirements'!C$2:C$5000="FR-038")*('Detailed Requirements'!J$2:J$5000="Frontend Dev")*IF(ISNUMBER('Detailed Requirements'!L$2:L$5000),'Detailed Requirements'!L$2:L$5000,0))/'Timeline Summary'!C8+SUMPRODUCT(('Detailed Requirements'!C$2:C$5000="FR-038")*('Detailed Requirements'!J$2:J$5000="QA / Both Devs")*IF(ISNUMBER('Detailed Requirements'!L$2:L$5000),'Detailed Requirements'!L$2:L$5000,0))/'Timeline Summary'!C7,1),0)</f>
        <v>1.7</v>
      </c>
      <c r="I48" s="70">
        <f t="shared" si="4"/>
        <v>62.000000000000007</v>
      </c>
    </row>
    <row r="49" spans="2:9" ht="21.75" customHeight="1" x14ac:dyDescent="0.25">
      <c r="B49" s="64" t="s">
        <v>3025</v>
      </c>
      <c r="C49" s="71" t="s">
        <v>4383</v>
      </c>
      <c r="D49" s="66">
        <f>IFERROR(ROUND(SUMPRODUCT(('Detailed Requirements'!C$2:C$5000="FR-039")*('Detailed Requirements'!J$2:J$5000="Backend Dev")*IF(ISNUMBER('Detailed Requirements'!N$2:N$5000),'Detailed Requirements'!N$2:N$5000,0))/'Timeline Summary'!C7,1),0)</f>
        <v>0.9</v>
      </c>
      <c r="E49" s="67">
        <f>IFERROR(ROUND(SUMPRODUCT(('Detailed Requirements'!C$2:C$5000="FR-039")*('Detailed Requirements'!J$2:J$5000="Frontend Dev")*IF(ISNUMBER('Detailed Requirements'!N$2:N$5000),'Detailed Requirements'!N$2:N$5000,0))/'Timeline Summary'!C8,1),0)</f>
        <v>0.6</v>
      </c>
      <c r="F49" s="68">
        <f>IFERROR(ROUND(SUMPRODUCT(('Detailed Requirements'!C$2:C$5000="FR-039")*('Detailed Requirements'!J$2:J$5000="QA / Both Devs")*IF(ISNUMBER('Detailed Requirements'!N$2:N$5000),'Detailed Requirements'!N$2:N$5000,0))/'Timeline Summary'!C7,1),0)</f>
        <v>0.3</v>
      </c>
      <c r="G49" s="64">
        <f t="shared" si="3"/>
        <v>1.2</v>
      </c>
      <c r="H49" s="69">
        <f>IFERROR(ROUND(SUMPRODUCT(('Detailed Requirements'!C$2:C$5000="FR-039")*('Detailed Requirements'!J$2:J$5000="Backend Dev")*IF(ISNUMBER('Detailed Requirements'!L$2:L$5000),'Detailed Requirements'!L$2:L$5000,0))/'Timeline Summary'!C7+SUMPRODUCT(('Detailed Requirements'!C$2:C$5000="FR-039")*('Detailed Requirements'!J$2:J$5000="Frontend Dev")*IF(ISNUMBER('Detailed Requirements'!L$2:L$5000),'Detailed Requirements'!L$2:L$5000,0))/'Timeline Summary'!C8+SUMPRODUCT(('Detailed Requirements'!C$2:C$5000="FR-039")*('Detailed Requirements'!J$2:J$5000="QA / Both Devs")*IF(ISNUMBER('Detailed Requirements'!L$2:L$5000),'Detailed Requirements'!L$2:L$5000,0))/'Timeline Summary'!C7,1),0)</f>
        <v>3.7</v>
      </c>
      <c r="I49" s="70">
        <f t="shared" si="4"/>
        <v>63.20000000000001</v>
      </c>
    </row>
    <row r="50" spans="2:9" ht="21.75" customHeight="1" x14ac:dyDescent="0.25">
      <c r="B50" s="64" t="s">
        <v>3084</v>
      </c>
      <c r="C50" s="65" t="s">
        <v>4384</v>
      </c>
      <c r="D50" s="66">
        <f>IFERROR(ROUND(SUMPRODUCT(('Detailed Requirements'!C$2:C$5000="FR-040")*('Detailed Requirements'!J$2:J$5000="Backend Dev")*IF(ISNUMBER('Detailed Requirements'!N$2:N$5000),'Detailed Requirements'!N$2:N$5000,0))/'Timeline Summary'!C7,1),0)</f>
        <v>1.1000000000000001</v>
      </c>
      <c r="E50" s="67">
        <f>IFERROR(ROUND(SUMPRODUCT(('Detailed Requirements'!C$2:C$5000="FR-040")*('Detailed Requirements'!J$2:J$5000="Frontend Dev")*IF(ISNUMBER('Detailed Requirements'!N$2:N$5000),'Detailed Requirements'!N$2:N$5000,0))/'Timeline Summary'!C8,1),0)</f>
        <v>0.6</v>
      </c>
      <c r="F50" s="68">
        <f>IFERROR(ROUND(SUMPRODUCT(('Detailed Requirements'!C$2:C$5000="FR-040")*('Detailed Requirements'!J$2:J$5000="QA / Both Devs")*IF(ISNUMBER('Detailed Requirements'!N$2:N$5000),'Detailed Requirements'!N$2:N$5000,0))/'Timeline Summary'!C7,1),0)</f>
        <v>0.3</v>
      </c>
      <c r="G50" s="64">
        <f t="shared" si="3"/>
        <v>1.4000000000000001</v>
      </c>
      <c r="H50" s="69">
        <f>IFERROR(ROUND(SUMPRODUCT(('Detailed Requirements'!C$2:C$5000="FR-040")*('Detailed Requirements'!J$2:J$5000="Backend Dev")*IF(ISNUMBER('Detailed Requirements'!L$2:L$5000),'Detailed Requirements'!L$2:L$5000,0))/'Timeline Summary'!C7+SUMPRODUCT(('Detailed Requirements'!C$2:C$5000="FR-040")*('Detailed Requirements'!J$2:J$5000="Frontend Dev")*IF(ISNUMBER('Detailed Requirements'!L$2:L$5000),'Detailed Requirements'!L$2:L$5000,0))/'Timeline Summary'!C8+SUMPRODUCT(('Detailed Requirements'!C$2:C$5000="FR-040")*('Detailed Requirements'!J$2:J$5000="QA / Both Devs")*IF(ISNUMBER('Detailed Requirements'!L$2:L$5000),'Detailed Requirements'!L$2:L$5000,0))/'Timeline Summary'!C7,1),0)</f>
        <v>4.4000000000000004</v>
      </c>
      <c r="I50" s="70">
        <f t="shared" si="4"/>
        <v>64.600000000000009</v>
      </c>
    </row>
    <row r="51" spans="2:9" ht="21.75" customHeight="1" x14ac:dyDescent="0.25">
      <c r="B51" s="64" t="s">
        <v>3139</v>
      </c>
      <c r="C51" s="71" t="s">
        <v>4385</v>
      </c>
      <c r="D51" s="66">
        <f>IFERROR(ROUND(SUMPRODUCT(('Detailed Requirements'!C$2:C$5000="FR-041")*('Detailed Requirements'!J$2:J$5000="Backend Dev")*IF(ISNUMBER('Detailed Requirements'!N$2:N$5000),'Detailed Requirements'!N$2:N$5000,0))/'Timeline Summary'!C7,1),0)</f>
        <v>0.8</v>
      </c>
      <c r="E51" s="67">
        <f>IFERROR(ROUND(SUMPRODUCT(('Detailed Requirements'!C$2:C$5000="FR-041")*('Detailed Requirements'!J$2:J$5000="Frontend Dev")*IF(ISNUMBER('Detailed Requirements'!N$2:N$5000),'Detailed Requirements'!N$2:N$5000,0))/'Timeline Summary'!C8,1),0)</f>
        <v>0.5</v>
      </c>
      <c r="F51" s="68">
        <f>IFERROR(ROUND(SUMPRODUCT(('Detailed Requirements'!C$2:C$5000="FR-041")*('Detailed Requirements'!J$2:J$5000="QA / Both Devs")*IF(ISNUMBER('Detailed Requirements'!N$2:N$5000),'Detailed Requirements'!N$2:N$5000,0))/'Timeline Summary'!C7,1),0)</f>
        <v>0.3</v>
      </c>
      <c r="G51" s="64">
        <f t="shared" si="3"/>
        <v>1.1000000000000001</v>
      </c>
      <c r="H51" s="69">
        <f>IFERROR(ROUND(SUMPRODUCT(('Detailed Requirements'!C$2:C$5000="FR-041")*('Detailed Requirements'!J$2:J$5000="Backend Dev")*IF(ISNUMBER('Detailed Requirements'!L$2:L$5000),'Detailed Requirements'!L$2:L$5000,0))/'Timeline Summary'!C7+SUMPRODUCT(('Detailed Requirements'!C$2:C$5000="FR-041")*('Detailed Requirements'!J$2:J$5000="Frontend Dev")*IF(ISNUMBER('Detailed Requirements'!L$2:L$5000),'Detailed Requirements'!L$2:L$5000,0))/'Timeline Summary'!C8+SUMPRODUCT(('Detailed Requirements'!C$2:C$5000="FR-041")*('Detailed Requirements'!J$2:J$5000="QA / Both Devs")*IF(ISNUMBER('Detailed Requirements'!L$2:L$5000),'Detailed Requirements'!L$2:L$5000,0))/'Timeline Summary'!C7,1),0)</f>
        <v>3.4</v>
      </c>
      <c r="I51" s="70">
        <f t="shared" si="4"/>
        <v>65.7</v>
      </c>
    </row>
    <row r="52" spans="2:9" ht="21.75" customHeight="1" x14ac:dyDescent="0.25">
      <c r="B52" s="64" t="s">
        <v>3195</v>
      </c>
      <c r="C52" s="65" t="s">
        <v>4386</v>
      </c>
      <c r="D52" s="66">
        <f>IFERROR(ROUND(SUMPRODUCT(('Detailed Requirements'!C$2:C$5000="FR-042")*('Detailed Requirements'!J$2:J$5000="Backend Dev")*IF(ISNUMBER('Detailed Requirements'!N$2:N$5000),'Detailed Requirements'!N$2:N$5000,0))/'Timeline Summary'!C7,1),0)</f>
        <v>1.2</v>
      </c>
      <c r="E52" s="67">
        <f>IFERROR(ROUND(SUMPRODUCT(('Detailed Requirements'!C$2:C$5000="FR-042")*('Detailed Requirements'!J$2:J$5000="Frontend Dev")*IF(ISNUMBER('Detailed Requirements'!N$2:N$5000),'Detailed Requirements'!N$2:N$5000,0))/'Timeline Summary'!C8,1),0)</f>
        <v>1.4</v>
      </c>
      <c r="F52" s="68">
        <f>IFERROR(ROUND(SUMPRODUCT(('Detailed Requirements'!C$2:C$5000="FR-042")*('Detailed Requirements'!J$2:J$5000="QA / Both Devs")*IF(ISNUMBER('Detailed Requirements'!N$2:N$5000),'Detailed Requirements'!N$2:N$5000,0))/'Timeline Summary'!C7,1),0)</f>
        <v>0.6</v>
      </c>
      <c r="G52" s="64">
        <f t="shared" si="3"/>
        <v>2</v>
      </c>
      <c r="H52" s="69">
        <f>IFERROR(ROUND(SUMPRODUCT(('Detailed Requirements'!C$2:C$5000="FR-042")*('Detailed Requirements'!J$2:J$5000="Backend Dev")*IF(ISNUMBER('Detailed Requirements'!L$2:L$5000),'Detailed Requirements'!L$2:L$5000,0))/'Timeline Summary'!C7+SUMPRODUCT(('Detailed Requirements'!C$2:C$5000="FR-042")*('Detailed Requirements'!J$2:J$5000="Frontend Dev")*IF(ISNUMBER('Detailed Requirements'!L$2:L$5000),'Detailed Requirements'!L$2:L$5000,0))/'Timeline Summary'!C8+SUMPRODUCT(('Detailed Requirements'!C$2:C$5000="FR-042")*('Detailed Requirements'!J$2:J$5000="QA / Both Devs")*IF(ISNUMBER('Detailed Requirements'!L$2:L$5000),'Detailed Requirements'!L$2:L$5000,0))/'Timeline Summary'!C7,1),0)</f>
        <v>7</v>
      </c>
      <c r="I52" s="70">
        <f t="shared" si="4"/>
        <v>67.7</v>
      </c>
    </row>
    <row r="53" spans="2:9" ht="19.5" customHeight="1" x14ac:dyDescent="0.25">
      <c r="B53" s="4" t="s">
        <v>4387</v>
      </c>
      <c r="C53" s="4"/>
      <c r="D53" s="4"/>
      <c r="E53" s="4"/>
      <c r="F53" s="4"/>
      <c r="G53" s="4"/>
      <c r="H53" s="4"/>
      <c r="I53" s="4"/>
    </row>
    <row r="54" spans="2:9" ht="21.75" customHeight="1" x14ac:dyDescent="0.25">
      <c r="B54" s="64" t="s">
        <v>3283</v>
      </c>
      <c r="C54" s="65" t="s">
        <v>3282</v>
      </c>
      <c r="D54" s="66">
        <f>IFERROR(ROUND(SUMPRODUCT(('Detailed Requirements'!C$2:C$5000="FR-043")*('Detailed Requirements'!J$2:J$5000="Backend Dev")*IF(ISNUMBER('Detailed Requirements'!N$2:N$5000),'Detailed Requirements'!N$2:N$5000,0))/'Timeline Summary'!C7,1),0)</f>
        <v>1.8</v>
      </c>
      <c r="E54" s="67">
        <f>IFERROR(ROUND(SUMPRODUCT(('Detailed Requirements'!C$2:C$5000="FR-043")*('Detailed Requirements'!J$2:J$5000="Frontend Dev")*IF(ISNUMBER('Detailed Requirements'!N$2:N$5000),'Detailed Requirements'!N$2:N$5000,0))/'Timeline Summary'!C8,1),0)</f>
        <v>0.8</v>
      </c>
      <c r="F54" s="68">
        <f>IFERROR(ROUND(SUMPRODUCT(('Detailed Requirements'!C$2:C$5000="FR-043")*('Detailed Requirements'!J$2:J$5000="QA / Both Devs")*IF(ISNUMBER('Detailed Requirements'!N$2:N$5000),'Detailed Requirements'!N$2:N$5000,0))/'Timeline Summary'!C7,1),0)</f>
        <v>0.7</v>
      </c>
      <c r="G54" s="64">
        <f>IFERROR(MAX(D54,E54)+F54,0)</f>
        <v>2.5</v>
      </c>
      <c r="H54" s="69">
        <f>IFERROR(ROUND(SUMPRODUCT(('Detailed Requirements'!C$2:C$5000="FR-043")*('Detailed Requirements'!J$2:J$5000="Backend Dev")*IF(ISNUMBER('Detailed Requirements'!L$2:L$5000),'Detailed Requirements'!L$2:L$5000,0))/'Timeline Summary'!C7+SUMPRODUCT(('Detailed Requirements'!C$2:C$5000="FR-043")*('Detailed Requirements'!J$2:J$5000="Frontend Dev")*IF(ISNUMBER('Detailed Requirements'!L$2:L$5000),'Detailed Requirements'!L$2:L$5000,0))/'Timeline Summary'!C8+SUMPRODUCT(('Detailed Requirements'!C$2:C$5000="FR-043")*('Detailed Requirements'!J$2:J$5000="QA / Both Devs")*IF(ISNUMBER('Detailed Requirements'!L$2:L$5000),'Detailed Requirements'!L$2:L$5000,0))/'Timeline Summary'!C7,1),0)</f>
        <v>7.4</v>
      </c>
      <c r="I54" s="70">
        <f>IFERROR(I52+G54,0)</f>
        <v>70.2</v>
      </c>
    </row>
    <row r="55" spans="2:9" ht="21.75" customHeight="1" x14ac:dyDescent="0.25">
      <c r="B55" s="64" t="s">
        <v>3380</v>
      </c>
      <c r="C55" s="71" t="s">
        <v>3379</v>
      </c>
      <c r="D55" s="66">
        <f>IFERROR(ROUND(SUMPRODUCT(('Detailed Requirements'!C$2:C$5000="FR-044")*('Detailed Requirements'!J$2:J$5000="Backend Dev")*IF(ISNUMBER('Detailed Requirements'!N$2:N$5000),'Detailed Requirements'!N$2:N$5000,0))/'Timeline Summary'!C7,1),0)</f>
        <v>2.8</v>
      </c>
      <c r="E55" s="67">
        <f>IFERROR(ROUND(SUMPRODUCT(('Detailed Requirements'!C$2:C$5000="FR-044")*('Detailed Requirements'!J$2:J$5000="Frontend Dev")*IF(ISNUMBER('Detailed Requirements'!N$2:N$5000),'Detailed Requirements'!N$2:N$5000,0))/'Timeline Summary'!C8,1),0)</f>
        <v>0.5</v>
      </c>
      <c r="F55" s="68">
        <f>IFERROR(ROUND(SUMPRODUCT(('Detailed Requirements'!C$2:C$5000="FR-044")*('Detailed Requirements'!J$2:J$5000="QA / Both Devs")*IF(ISNUMBER('Detailed Requirements'!N$2:N$5000),'Detailed Requirements'!N$2:N$5000,0))/'Timeline Summary'!C7,1),0)</f>
        <v>1</v>
      </c>
      <c r="G55" s="64">
        <f>IFERROR(MAX(D55,E55)+F55,0)</f>
        <v>3.8</v>
      </c>
      <c r="H55" s="69">
        <f>IFERROR(ROUND(SUMPRODUCT(('Detailed Requirements'!C$2:C$5000="FR-044")*('Detailed Requirements'!J$2:J$5000="Backend Dev")*IF(ISNUMBER('Detailed Requirements'!L$2:L$5000),'Detailed Requirements'!L$2:L$5000,0))/'Timeline Summary'!C7+SUMPRODUCT(('Detailed Requirements'!C$2:C$5000="FR-044")*('Detailed Requirements'!J$2:J$5000="Frontend Dev")*IF(ISNUMBER('Detailed Requirements'!L$2:L$5000),'Detailed Requirements'!L$2:L$5000,0))/'Timeline Summary'!C8+SUMPRODUCT(('Detailed Requirements'!C$2:C$5000="FR-044")*('Detailed Requirements'!J$2:J$5000="QA / Both Devs")*IF(ISNUMBER('Detailed Requirements'!L$2:L$5000),'Detailed Requirements'!L$2:L$5000,0))/'Timeline Summary'!C7,1),0)</f>
        <v>9.8000000000000007</v>
      </c>
      <c r="I55" s="70">
        <f>IFERROR(I54+G55,0)</f>
        <v>74</v>
      </c>
    </row>
    <row r="56" spans="2:9" ht="19.5" customHeight="1" x14ac:dyDescent="0.25">
      <c r="B56" s="6" t="s">
        <v>4388</v>
      </c>
      <c r="C56" s="6"/>
      <c r="D56" s="6"/>
      <c r="E56" s="6"/>
      <c r="F56" s="6"/>
      <c r="G56" s="6"/>
      <c r="H56" s="6"/>
      <c r="I56" s="6"/>
    </row>
    <row r="57" spans="2:9" ht="21.75" customHeight="1" x14ac:dyDescent="0.25">
      <c r="B57" s="64" t="s">
        <v>3503</v>
      </c>
      <c r="C57" s="65" t="s">
        <v>4389</v>
      </c>
      <c r="D57" s="66">
        <f>IFERROR(ROUND(SUMPRODUCT(('Detailed Requirements'!C$2:C$5000="FR-045")*('Detailed Requirements'!J$2:J$5000="Backend Dev")*IF(ISNUMBER('Detailed Requirements'!N$2:N$5000),'Detailed Requirements'!N$2:N$5000,0))/'Timeline Summary'!C7,1),0)</f>
        <v>4.4000000000000004</v>
      </c>
      <c r="E57" s="67">
        <f>IFERROR(ROUND(SUMPRODUCT(('Detailed Requirements'!C$2:C$5000="FR-045")*('Detailed Requirements'!J$2:J$5000="Frontend Dev")*IF(ISNUMBER('Detailed Requirements'!N$2:N$5000),'Detailed Requirements'!N$2:N$5000,0))/'Timeline Summary'!C8,1),0)</f>
        <v>0</v>
      </c>
      <c r="F57" s="68">
        <f>IFERROR(ROUND(SUMPRODUCT(('Detailed Requirements'!C$2:C$5000="FR-045")*('Detailed Requirements'!J$2:J$5000="QA / Both Devs")*IF(ISNUMBER('Detailed Requirements'!N$2:N$5000),'Detailed Requirements'!N$2:N$5000,0))/'Timeline Summary'!C7,1),0)</f>
        <v>0.6</v>
      </c>
      <c r="G57" s="64">
        <f t="shared" ref="G57:G65" si="5">IFERROR(MAX(D57,E57)+F57,0)</f>
        <v>5</v>
      </c>
      <c r="H57" s="69">
        <f>IFERROR(ROUND(SUMPRODUCT(('Detailed Requirements'!C$2:C$5000="FR-045")*('Detailed Requirements'!J$2:J$5000="Backend Dev")*IF(ISNUMBER('Detailed Requirements'!L$2:L$5000),'Detailed Requirements'!L$2:L$5000,0))/'Timeline Summary'!C7+SUMPRODUCT(('Detailed Requirements'!C$2:C$5000="FR-045")*('Detailed Requirements'!J$2:J$5000="Frontend Dev")*IF(ISNUMBER('Detailed Requirements'!L$2:L$5000),'Detailed Requirements'!L$2:L$5000,0))/'Timeline Summary'!C8+SUMPRODUCT(('Detailed Requirements'!C$2:C$5000="FR-045")*('Detailed Requirements'!J$2:J$5000="QA / Both Devs")*IF(ISNUMBER('Detailed Requirements'!L$2:L$5000),'Detailed Requirements'!L$2:L$5000,0))/'Timeline Summary'!C7,1),0)</f>
        <v>13.4</v>
      </c>
      <c r="I57" s="70">
        <f>IFERROR(I55+G57,0)</f>
        <v>79</v>
      </c>
    </row>
    <row r="58" spans="2:9" ht="21.75" customHeight="1" x14ac:dyDescent="0.25">
      <c r="B58" s="64" t="s">
        <v>3631</v>
      </c>
      <c r="C58" s="71" t="s">
        <v>4390</v>
      </c>
      <c r="D58" s="66">
        <f>IFERROR(ROUND(SUMPRODUCT(('Detailed Requirements'!C$2:C$5000="FR-046")*('Detailed Requirements'!J$2:J$5000="Backend Dev")*IF(ISNUMBER('Detailed Requirements'!N$2:N$5000),'Detailed Requirements'!N$2:N$5000,0))/'Timeline Summary'!C7,1),0)</f>
        <v>1.8</v>
      </c>
      <c r="E58" s="67">
        <f>IFERROR(ROUND(SUMPRODUCT(('Detailed Requirements'!C$2:C$5000="FR-046")*('Detailed Requirements'!J$2:J$5000="Frontend Dev")*IF(ISNUMBER('Detailed Requirements'!N$2:N$5000),'Detailed Requirements'!N$2:N$5000,0))/'Timeline Summary'!C8,1),0)</f>
        <v>0</v>
      </c>
      <c r="F58" s="68">
        <f>IFERROR(ROUND(SUMPRODUCT(('Detailed Requirements'!C$2:C$5000="FR-046")*('Detailed Requirements'!J$2:J$5000="QA / Both Devs")*IF(ISNUMBER('Detailed Requirements'!N$2:N$5000),'Detailed Requirements'!N$2:N$5000,0))/'Timeline Summary'!C7,1),0)</f>
        <v>0.5</v>
      </c>
      <c r="G58" s="64">
        <f t="shared" si="5"/>
        <v>2.2999999999999998</v>
      </c>
      <c r="H58" s="69">
        <f>IFERROR(ROUND(SUMPRODUCT(('Detailed Requirements'!C$2:C$5000="FR-046")*('Detailed Requirements'!J$2:J$5000="Backend Dev")*IF(ISNUMBER('Detailed Requirements'!L$2:L$5000),'Detailed Requirements'!L$2:L$5000,0))/'Timeline Summary'!C7+SUMPRODUCT(('Detailed Requirements'!C$2:C$5000="FR-046")*('Detailed Requirements'!J$2:J$5000="Frontend Dev")*IF(ISNUMBER('Detailed Requirements'!L$2:L$5000),'Detailed Requirements'!L$2:L$5000,0))/'Timeline Summary'!C8+SUMPRODUCT(('Detailed Requirements'!C$2:C$5000="FR-046")*('Detailed Requirements'!J$2:J$5000="QA / Both Devs")*IF(ISNUMBER('Detailed Requirements'!L$2:L$5000),'Detailed Requirements'!L$2:L$5000,0))/'Timeline Summary'!C7,1),0)</f>
        <v>5.2</v>
      </c>
      <c r="I58" s="70">
        <f t="shared" ref="I58:I65" si="6">IFERROR(I57+G58,0)</f>
        <v>81.3</v>
      </c>
    </row>
    <row r="59" spans="2:9" ht="21.75" customHeight="1" x14ac:dyDescent="0.25">
      <c r="B59" s="64" t="s">
        <v>3694</v>
      </c>
      <c r="C59" s="65" t="s">
        <v>4391</v>
      </c>
      <c r="D59" s="66">
        <f>IFERROR(ROUND(SUMPRODUCT(('Detailed Requirements'!C$2:C$5000="FR-047")*('Detailed Requirements'!J$2:J$5000="Backend Dev")*IF(ISNUMBER('Detailed Requirements'!N$2:N$5000),'Detailed Requirements'!N$2:N$5000,0))/'Timeline Summary'!C7,1),0)</f>
        <v>1.7</v>
      </c>
      <c r="E59" s="67">
        <f>IFERROR(ROUND(SUMPRODUCT(('Detailed Requirements'!C$2:C$5000="FR-047")*('Detailed Requirements'!J$2:J$5000="Frontend Dev")*IF(ISNUMBER('Detailed Requirements'!N$2:N$5000),'Detailed Requirements'!N$2:N$5000,0))/'Timeline Summary'!C8,1),0)</f>
        <v>0.3</v>
      </c>
      <c r="F59" s="68">
        <f>IFERROR(ROUND(SUMPRODUCT(('Detailed Requirements'!C$2:C$5000="FR-047")*('Detailed Requirements'!J$2:J$5000="QA / Both Devs")*IF(ISNUMBER('Detailed Requirements'!N$2:N$5000),'Detailed Requirements'!N$2:N$5000,0))/'Timeline Summary'!C7,1),0)</f>
        <v>0.6</v>
      </c>
      <c r="G59" s="64">
        <f t="shared" si="5"/>
        <v>2.2999999999999998</v>
      </c>
      <c r="H59" s="69">
        <f>IFERROR(ROUND(SUMPRODUCT(('Detailed Requirements'!C$2:C$5000="FR-047")*('Detailed Requirements'!J$2:J$5000="Backend Dev")*IF(ISNUMBER('Detailed Requirements'!L$2:L$5000),'Detailed Requirements'!L$2:L$5000,0))/'Timeline Summary'!C7+SUMPRODUCT(('Detailed Requirements'!C$2:C$5000="FR-047")*('Detailed Requirements'!J$2:J$5000="Frontend Dev")*IF(ISNUMBER('Detailed Requirements'!L$2:L$5000),'Detailed Requirements'!L$2:L$5000,0))/'Timeline Summary'!C8+SUMPRODUCT(('Detailed Requirements'!C$2:C$5000="FR-047")*('Detailed Requirements'!J$2:J$5000="QA / Both Devs")*IF(ISNUMBER('Detailed Requirements'!L$2:L$5000),'Detailed Requirements'!L$2:L$5000,0))/'Timeline Summary'!C7,1),0)</f>
        <v>5.9</v>
      </c>
      <c r="I59" s="70">
        <f t="shared" si="6"/>
        <v>83.6</v>
      </c>
    </row>
    <row r="60" spans="2:9" ht="21.75" customHeight="1" x14ac:dyDescent="0.25">
      <c r="B60" s="64" t="s">
        <v>3763</v>
      </c>
      <c r="C60" s="71" t="s">
        <v>4392</v>
      </c>
      <c r="D60" s="66">
        <f>IFERROR(ROUND(SUMPRODUCT(('Detailed Requirements'!C$2:C$5000="FR-048")*('Detailed Requirements'!J$2:J$5000="Backend Dev")*IF(ISNUMBER('Detailed Requirements'!N$2:N$5000),'Detailed Requirements'!N$2:N$5000,0))/'Timeline Summary'!C7,1),0)</f>
        <v>1.9</v>
      </c>
      <c r="E60" s="67">
        <f>IFERROR(ROUND(SUMPRODUCT(('Detailed Requirements'!C$2:C$5000="FR-048")*('Detailed Requirements'!J$2:J$5000="Frontend Dev")*IF(ISNUMBER('Detailed Requirements'!N$2:N$5000),'Detailed Requirements'!N$2:N$5000,0))/'Timeline Summary'!C8,1),0)</f>
        <v>0.3</v>
      </c>
      <c r="F60" s="68">
        <f>IFERROR(ROUND(SUMPRODUCT(('Detailed Requirements'!C$2:C$5000="FR-048")*('Detailed Requirements'!J$2:J$5000="QA / Both Devs")*IF(ISNUMBER('Detailed Requirements'!N$2:N$5000),'Detailed Requirements'!N$2:N$5000,0))/'Timeline Summary'!C7,1),0)</f>
        <v>0.5</v>
      </c>
      <c r="G60" s="64">
        <f t="shared" si="5"/>
        <v>2.4</v>
      </c>
      <c r="H60" s="69">
        <f>IFERROR(ROUND(SUMPRODUCT(('Detailed Requirements'!C$2:C$5000="FR-048")*('Detailed Requirements'!J$2:J$5000="Backend Dev")*IF(ISNUMBER('Detailed Requirements'!L$2:L$5000),'Detailed Requirements'!L$2:L$5000,0))/'Timeline Summary'!C7+SUMPRODUCT(('Detailed Requirements'!C$2:C$5000="FR-048")*('Detailed Requirements'!J$2:J$5000="Frontend Dev")*IF(ISNUMBER('Detailed Requirements'!L$2:L$5000),'Detailed Requirements'!L$2:L$5000,0))/'Timeline Summary'!C8+SUMPRODUCT(('Detailed Requirements'!C$2:C$5000="FR-048")*('Detailed Requirements'!J$2:J$5000="QA / Both Devs")*IF(ISNUMBER('Detailed Requirements'!L$2:L$5000),'Detailed Requirements'!L$2:L$5000,0))/'Timeline Summary'!C7,1),0)</f>
        <v>5.7</v>
      </c>
      <c r="I60" s="70">
        <f t="shared" si="6"/>
        <v>86</v>
      </c>
    </row>
    <row r="61" spans="2:9" ht="21.75" customHeight="1" x14ac:dyDescent="0.25">
      <c r="B61" s="64" t="s">
        <v>3827</v>
      </c>
      <c r="C61" s="65" t="s">
        <v>4393</v>
      </c>
      <c r="D61" s="66">
        <f>IFERROR(ROUND(SUMPRODUCT(('Detailed Requirements'!C$2:C$5000="FR-049")*('Detailed Requirements'!J$2:J$5000="Backend Dev")*IF(ISNUMBER('Detailed Requirements'!N$2:N$5000),'Detailed Requirements'!N$2:N$5000,0))/'Timeline Summary'!C7,1),0)</f>
        <v>3.7</v>
      </c>
      <c r="E61" s="67">
        <f>IFERROR(ROUND(SUMPRODUCT(('Detailed Requirements'!C$2:C$5000="FR-049")*('Detailed Requirements'!J$2:J$5000="Frontend Dev")*IF(ISNUMBER('Detailed Requirements'!N$2:N$5000),'Detailed Requirements'!N$2:N$5000,0))/'Timeline Summary'!C8,1),0)</f>
        <v>0.2</v>
      </c>
      <c r="F61" s="68">
        <f>IFERROR(ROUND(SUMPRODUCT(('Detailed Requirements'!C$2:C$5000="FR-049")*('Detailed Requirements'!J$2:J$5000="QA / Both Devs")*IF(ISNUMBER('Detailed Requirements'!N$2:N$5000),'Detailed Requirements'!N$2:N$5000,0))/'Timeline Summary'!C7,1),0)</f>
        <v>1</v>
      </c>
      <c r="G61" s="64">
        <f t="shared" si="5"/>
        <v>4.7</v>
      </c>
      <c r="H61" s="69">
        <f>IFERROR(ROUND(SUMPRODUCT(('Detailed Requirements'!C$2:C$5000="FR-049")*('Detailed Requirements'!J$2:J$5000="Backend Dev")*IF(ISNUMBER('Detailed Requirements'!L$2:L$5000),'Detailed Requirements'!L$2:L$5000,0))/'Timeline Summary'!C7+SUMPRODUCT(('Detailed Requirements'!C$2:C$5000="FR-049")*('Detailed Requirements'!J$2:J$5000="Frontend Dev")*IF(ISNUMBER('Detailed Requirements'!L$2:L$5000),'Detailed Requirements'!L$2:L$5000,0))/'Timeline Summary'!C8+SUMPRODUCT(('Detailed Requirements'!C$2:C$5000="FR-049")*('Detailed Requirements'!J$2:J$5000="QA / Both Devs")*IF(ISNUMBER('Detailed Requirements'!L$2:L$5000),'Detailed Requirements'!L$2:L$5000,0))/'Timeline Summary'!C7,1),0)</f>
        <v>10.3</v>
      </c>
      <c r="I61" s="70">
        <f t="shared" si="6"/>
        <v>90.7</v>
      </c>
    </row>
    <row r="62" spans="2:9" ht="21.75" customHeight="1" x14ac:dyDescent="0.25">
      <c r="B62" s="64" t="s">
        <v>3918</v>
      </c>
      <c r="C62" s="71" t="s">
        <v>4394</v>
      </c>
      <c r="D62" s="66">
        <f>IFERROR(ROUND(SUMPRODUCT(('Detailed Requirements'!C$2:C$5000="FR-050")*('Detailed Requirements'!J$2:J$5000="Backend Dev")*IF(ISNUMBER('Detailed Requirements'!N$2:N$5000),'Detailed Requirements'!N$2:N$5000,0))/'Timeline Summary'!C7,1),0)</f>
        <v>1.5</v>
      </c>
      <c r="E62" s="67">
        <f>IFERROR(ROUND(SUMPRODUCT(('Detailed Requirements'!C$2:C$5000="FR-050")*('Detailed Requirements'!J$2:J$5000="Frontend Dev")*IF(ISNUMBER('Detailed Requirements'!N$2:N$5000),'Detailed Requirements'!N$2:N$5000,0))/'Timeline Summary'!C8,1),0)</f>
        <v>0.6</v>
      </c>
      <c r="F62" s="68">
        <f>IFERROR(ROUND(SUMPRODUCT(('Detailed Requirements'!C$2:C$5000="FR-050")*('Detailed Requirements'!J$2:J$5000="QA / Both Devs")*IF(ISNUMBER('Detailed Requirements'!N$2:N$5000),'Detailed Requirements'!N$2:N$5000,0))/'Timeline Summary'!C7,1),0)</f>
        <v>1</v>
      </c>
      <c r="G62" s="64">
        <f t="shared" si="5"/>
        <v>2.5</v>
      </c>
      <c r="H62" s="69">
        <f>IFERROR(ROUND(SUMPRODUCT(('Detailed Requirements'!C$2:C$5000="FR-050")*('Detailed Requirements'!J$2:J$5000="Backend Dev")*IF(ISNUMBER('Detailed Requirements'!L$2:L$5000),'Detailed Requirements'!L$2:L$5000,0))/'Timeline Summary'!C7+SUMPRODUCT(('Detailed Requirements'!C$2:C$5000="FR-050")*('Detailed Requirements'!J$2:J$5000="Frontend Dev")*IF(ISNUMBER('Detailed Requirements'!L$2:L$5000),'Detailed Requirements'!L$2:L$5000,0))/'Timeline Summary'!C8+SUMPRODUCT(('Detailed Requirements'!C$2:C$5000="FR-050")*('Detailed Requirements'!J$2:J$5000="QA / Both Devs")*IF(ISNUMBER('Detailed Requirements'!L$2:L$5000),'Detailed Requirements'!L$2:L$5000,0))/'Timeline Summary'!C7,1),0)</f>
        <v>6.9</v>
      </c>
      <c r="I62" s="70">
        <f t="shared" si="6"/>
        <v>93.2</v>
      </c>
    </row>
    <row r="63" spans="2:9" ht="21.75" customHeight="1" x14ac:dyDescent="0.25">
      <c r="B63" s="64" t="s">
        <v>3994</v>
      </c>
      <c r="C63" s="65" t="s">
        <v>4395</v>
      </c>
      <c r="D63" s="66">
        <f>IFERROR(ROUND(SUMPRODUCT(('Detailed Requirements'!C$2:C$5000="FR-051")*('Detailed Requirements'!J$2:J$5000="Backend Dev")*IF(ISNUMBER('Detailed Requirements'!N$2:N$5000),'Detailed Requirements'!N$2:N$5000,0))/'Timeline Summary'!C7,1),0)</f>
        <v>2.8</v>
      </c>
      <c r="E63" s="67">
        <f>IFERROR(ROUND(SUMPRODUCT(('Detailed Requirements'!C$2:C$5000="FR-051")*('Detailed Requirements'!J$2:J$5000="Frontend Dev")*IF(ISNUMBER('Detailed Requirements'!N$2:N$5000),'Detailed Requirements'!N$2:N$5000,0))/'Timeline Summary'!C8,1),0)</f>
        <v>0.7</v>
      </c>
      <c r="F63" s="68">
        <f>IFERROR(ROUND(SUMPRODUCT(('Detailed Requirements'!C$2:C$5000="FR-051")*('Detailed Requirements'!J$2:J$5000="QA / Both Devs")*IF(ISNUMBER('Detailed Requirements'!N$2:N$5000),'Detailed Requirements'!N$2:N$5000,0))/'Timeline Summary'!C7,1),0)</f>
        <v>0.6</v>
      </c>
      <c r="G63" s="64">
        <f t="shared" si="5"/>
        <v>3.4</v>
      </c>
      <c r="H63" s="69">
        <f>IFERROR(ROUND(SUMPRODUCT(('Detailed Requirements'!C$2:C$5000="FR-051")*('Detailed Requirements'!J$2:J$5000="Backend Dev")*IF(ISNUMBER('Detailed Requirements'!L$2:L$5000),'Detailed Requirements'!L$2:L$5000,0))/'Timeline Summary'!C7+SUMPRODUCT(('Detailed Requirements'!C$2:C$5000="FR-051")*('Detailed Requirements'!J$2:J$5000="Frontend Dev")*IF(ISNUMBER('Detailed Requirements'!L$2:L$5000),'Detailed Requirements'!L$2:L$5000,0))/'Timeline Summary'!C8+SUMPRODUCT(('Detailed Requirements'!C$2:C$5000="FR-051")*('Detailed Requirements'!J$2:J$5000="QA / Both Devs")*IF(ISNUMBER('Detailed Requirements'!L$2:L$5000),'Detailed Requirements'!L$2:L$5000,0))/'Timeline Summary'!C7,1),0)</f>
        <v>8.8000000000000007</v>
      </c>
      <c r="I63" s="70">
        <f t="shared" si="6"/>
        <v>96.600000000000009</v>
      </c>
    </row>
    <row r="64" spans="2:9" ht="21.75" customHeight="1" x14ac:dyDescent="0.25">
      <c r="B64" s="64" t="s">
        <v>4074</v>
      </c>
      <c r="C64" s="71" t="s">
        <v>4073</v>
      </c>
      <c r="D64" s="66">
        <f>IFERROR(ROUND(SUMPRODUCT(('Detailed Requirements'!C$2:C$5000="FR-052")*('Detailed Requirements'!J$2:J$5000="Backend Dev")*IF(ISNUMBER('Detailed Requirements'!N$2:N$5000),'Detailed Requirements'!N$2:N$5000,0))/'Timeline Summary'!C7,1),0)</f>
        <v>2.4</v>
      </c>
      <c r="E64" s="67">
        <f>IFERROR(ROUND(SUMPRODUCT(('Detailed Requirements'!C$2:C$5000="FR-052")*('Detailed Requirements'!J$2:J$5000="Frontend Dev")*IF(ISNUMBER('Detailed Requirements'!N$2:N$5000),'Detailed Requirements'!N$2:N$5000,0))/'Timeline Summary'!C8,1),0)</f>
        <v>0.4</v>
      </c>
      <c r="F64" s="68">
        <f>IFERROR(ROUND(SUMPRODUCT(('Detailed Requirements'!C$2:C$5000="FR-052")*('Detailed Requirements'!J$2:J$5000="QA / Both Devs")*IF(ISNUMBER('Detailed Requirements'!N$2:N$5000),'Detailed Requirements'!N$2:N$5000,0))/'Timeline Summary'!C7,1),0)</f>
        <v>0.5</v>
      </c>
      <c r="G64" s="64">
        <f t="shared" si="5"/>
        <v>2.9</v>
      </c>
      <c r="H64" s="69">
        <f>IFERROR(ROUND(SUMPRODUCT(('Detailed Requirements'!C$2:C$5000="FR-052")*('Detailed Requirements'!J$2:J$5000="Backend Dev")*IF(ISNUMBER('Detailed Requirements'!L$2:L$5000),'Detailed Requirements'!L$2:L$5000,0))/'Timeline Summary'!C7+SUMPRODUCT(('Detailed Requirements'!C$2:C$5000="FR-052")*('Detailed Requirements'!J$2:J$5000="Frontend Dev")*IF(ISNUMBER('Detailed Requirements'!L$2:L$5000),'Detailed Requirements'!L$2:L$5000,0))/'Timeline Summary'!C8+SUMPRODUCT(('Detailed Requirements'!C$2:C$5000="FR-052")*('Detailed Requirements'!J$2:J$5000="QA / Both Devs")*IF(ISNUMBER('Detailed Requirements'!L$2:L$5000),'Detailed Requirements'!L$2:L$5000,0))/'Timeline Summary'!C7,1),0)</f>
        <v>7</v>
      </c>
      <c r="I64" s="70">
        <f t="shared" si="6"/>
        <v>99.500000000000014</v>
      </c>
    </row>
    <row r="65" spans="2:9" ht="21.75" customHeight="1" x14ac:dyDescent="0.25">
      <c r="B65" s="64" t="s">
        <v>4142</v>
      </c>
      <c r="C65" s="65" t="s">
        <v>4396</v>
      </c>
      <c r="D65" s="66">
        <f>IFERROR(ROUND(SUMPRODUCT(('Detailed Requirements'!C$2:C$5000="FR-053")*('Detailed Requirements'!J$2:J$5000="Backend Dev")*IF(ISNUMBER('Detailed Requirements'!N$2:N$5000),'Detailed Requirements'!N$2:N$5000,0))/'Timeline Summary'!C7,1),0)</f>
        <v>1.9</v>
      </c>
      <c r="E65" s="67">
        <f>IFERROR(ROUND(SUMPRODUCT(('Detailed Requirements'!C$2:C$5000="FR-053")*('Detailed Requirements'!J$2:J$5000="Frontend Dev")*IF(ISNUMBER('Detailed Requirements'!N$2:N$5000),'Detailed Requirements'!N$2:N$5000,0))/'Timeline Summary'!C8,1),0)</f>
        <v>0.6</v>
      </c>
      <c r="F65" s="68">
        <f>IFERROR(ROUND(SUMPRODUCT(('Detailed Requirements'!C$2:C$5000="FR-053")*('Detailed Requirements'!J$2:J$5000="QA / Both Devs")*IF(ISNUMBER('Detailed Requirements'!N$2:N$5000),'Detailed Requirements'!N$2:N$5000,0))/'Timeline Summary'!C7,1),0)</f>
        <v>0.4</v>
      </c>
      <c r="G65" s="64">
        <f t="shared" si="5"/>
        <v>2.2999999999999998</v>
      </c>
      <c r="H65" s="69">
        <f>IFERROR(ROUND(SUMPRODUCT(('Detailed Requirements'!C$2:C$5000="FR-053")*('Detailed Requirements'!J$2:J$5000="Backend Dev")*IF(ISNUMBER('Detailed Requirements'!L$2:L$5000),'Detailed Requirements'!L$2:L$5000,0))/'Timeline Summary'!C7+SUMPRODUCT(('Detailed Requirements'!C$2:C$5000="FR-053")*('Detailed Requirements'!J$2:J$5000="Frontend Dev")*IF(ISNUMBER('Detailed Requirements'!L$2:L$5000),'Detailed Requirements'!L$2:L$5000,0))/'Timeline Summary'!C8+SUMPRODUCT(('Detailed Requirements'!C$2:C$5000="FR-053")*('Detailed Requirements'!J$2:J$5000="QA / Both Devs")*IF(ISNUMBER('Detailed Requirements'!L$2:L$5000),'Detailed Requirements'!L$2:L$5000,0))/'Timeline Summary'!C7,1),0)</f>
        <v>8.1999999999999993</v>
      </c>
      <c r="I65" s="70">
        <f t="shared" si="6"/>
        <v>101.80000000000001</v>
      </c>
    </row>
    <row r="66" spans="2:9" ht="19.5" customHeight="1" x14ac:dyDescent="0.25">
      <c r="B66" s="7" t="s">
        <v>4397</v>
      </c>
      <c r="C66" s="7"/>
      <c r="D66" s="7"/>
      <c r="E66" s="7"/>
      <c r="F66" s="7"/>
      <c r="G66" s="7"/>
      <c r="H66" s="7"/>
      <c r="I66" s="7"/>
    </row>
    <row r="67" spans="2:9" ht="21.75" customHeight="1" x14ac:dyDescent="0.25">
      <c r="B67" s="64" t="s">
        <v>4235</v>
      </c>
      <c r="C67" s="65" t="s">
        <v>4398</v>
      </c>
      <c r="D67" s="66">
        <f>IFERROR(ROUND(SUMPRODUCT(('Detailed Requirements'!C$2:C$5000="FR-054")*('Detailed Requirements'!J$2:J$5000="Backend Dev")*IF(ISNUMBER('Detailed Requirements'!N$2:N$5000),'Detailed Requirements'!N$2:N$5000,0))/'Timeline Summary'!C7,1),0)</f>
        <v>2.2000000000000002</v>
      </c>
      <c r="E67" s="67">
        <f>IFERROR(ROUND(SUMPRODUCT(('Detailed Requirements'!C$2:C$5000="FR-054")*('Detailed Requirements'!J$2:J$5000="Frontend Dev")*IF(ISNUMBER('Detailed Requirements'!N$2:N$5000),'Detailed Requirements'!N$2:N$5000,0))/'Timeline Summary'!C8,1),0)</f>
        <v>0.4</v>
      </c>
      <c r="F67" s="68">
        <f>IFERROR(ROUND(SUMPRODUCT(('Detailed Requirements'!C$2:C$5000="FR-054")*('Detailed Requirements'!J$2:J$5000="QA / Both Devs")*IF(ISNUMBER('Detailed Requirements'!N$2:N$5000),'Detailed Requirements'!N$2:N$5000,0))/'Timeline Summary'!C7,1),0)</f>
        <v>0.6</v>
      </c>
      <c r="G67" s="64">
        <f>IFERROR(MAX(D67,E67)+F67,0)</f>
        <v>2.8000000000000003</v>
      </c>
      <c r="H67" s="69">
        <f>IFERROR(ROUND(SUMPRODUCT(('Detailed Requirements'!C$2:C$5000="FR-054")*('Detailed Requirements'!J$2:J$5000="Backend Dev")*IF(ISNUMBER('Detailed Requirements'!L$2:L$5000),'Detailed Requirements'!L$2:L$5000,0))/'Timeline Summary'!C7+SUMPRODUCT(('Detailed Requirements'!C$2:C$5000="FR-054")*('Detailed Requirements'!J$2:J$5000="Frontend Dev")*IF(ISNUMBER('Detailed Requirements'!L$2:L$5000),'Detailed Requirements'!L$2:L$5000,0))/'Timeline Summary'!C8+SUMPRODUCT(('Detailed Requirements'!C$2:C$5000="FR-054")*('Detailed Requirements'!J$2:J$5000="QA / Both Devs")*IF(ISNUMBER('Detailed Requirements'!L$2:L$5000),'Detailed Requirements'!L$2:L$5000,0))/'Timeline Summary'!C7,1),0)</f>
        <v>8.1999999999999993</v>
      </c>
      <c r="I67" s="70">
        <f>IFERROR(I65+G67,0)</f>
        <v>104.60000000000001</v>
      </c>
    </row>
    <row r="68" spans="2:9" ht="24" customHeight="1" x14ac:dyDescent="0.25">
      <c r="B68" s="72" t="s">
        <v>4330</v>
      </c>
      <c r="C68" s="73"/>
      <c r="D68" s="72">
        <f>ROUND(SUM(D7:D67),1)</f>
        <v>72.099999999999994</v>
      </c>
      <c r="E68" s="72">
        <f>ROUND(SUM(E7:E67),1)</f>
        <v>36.799999999999997</v>
      </c>
      <c r="F68" s="72">
        <f>ROUND(SUM(F7:F67),1)</f>
        <v>26.3</v>
      </c>
      <c r="G68" s="74">
        <f>ROUND(SUM(G7:G67),1)</f>
        <v>104.6</v>
      </c>
      <c r="H68" s="75">
        <f>ROUND(SUM(H7:H67),1)</f>
        <v>318.2</v>
      </c>
      <c r="I68" s="74" t="str">
        <f>TEXT(ROUND(G68/'Timeline Summary'!C11,1),"0.0")&amp;" wks"</f>
        <v>20.9 wks</v>
      </c>
    </row>
  </sheetData>
  <mergeCells count="10">
    <mergeCell ref="B26:I26"/>
    <mergeCell ref="B33:I33"/>
    <mergeCell ref="B53:I53"/>
    <mergeCell ref="B56:I56"/>
    <mergeCell ref="B66:I66"/>
    <mergeCell ref="B1:I1"/>
    <mergeCell ref="B2:I2"/>
    <mergeCell ref="B6:I6"/>
    <mergeCell ref="B14:I14"/>
    <mergeCell ref="B20:I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showGridLines="0" zoomScale="70" zoomScaleNormal="70" workbookViewId="0">
      <pane xSplit="1" ySplit="9" topLeftCell="B16" activePane="bottomRight" state="frozen"/>
      <selection pane="topRight" activeCell="B1" sqref="B1"/>
      <selection pane="bottomLeft" activeCell="A16" sqref="A16"/>
      <selection pane="bottomRight" activeCell="G20" sqref="G20"/>
    </sheetView>
  </sheetViews>
  <sheetFormatPr defaultColWidth="8.7109375" defaultRowHeight="15" x14ac:dyDescent="0.25"/>
  <cols>
    <col min="1" max="1" width="2" style="17" customWidth="1"/>
    <col min="2" max="2" width="42.140625" style="17" customWidth="1"/>
    <col min="3" max="3" width="52" style="17" customWidth="1"/>
    <col min="4" max="9" width="14" style="17" customWidth="1"/>
  </cols>
  <sheetData>
    <row r="1" spans="2:9" ht="31.5" customHeight="1" x14ac:dyDescent="0.25">
      <c r="B1" s="3" t="s">
        <v>4399</v>
      </c>
      <c r="C1" s="3"/>
      <c r="D1" s="3"/>
      <c r="E1" s="3"/>
      <c r="F1" s="3"/>
      <c r="G1" s="3"/>
      <c r="H1" s="3"/>
      <c r="I1" s="3"/>
    </row>
    <row r="2" spans="2:9" ht="15.75" customHeight="1" x14ac:dyDescent="0.25">
      <c r="B2" s="9" t="s">
        <v>4400</v>
      </c>
      <c r="C2" s="9"/>
      <c r="D2" s="9"/>
      <c r="E2" s="9"/>
      <c r="F2" s="9"/>
      <c r="G2" s="9"/>
      <c r="H2" s="9"/>
      <c r="I2" s="9"/>
    </row>
    <row r="4" spans="2:9" ht="19.5" customHeight="1" x14ac:dyDescent="0.25">
      <c r="B4" s="2" t="s">
        <v>4401</v>
      </c>
      <c r="C4" s="2"/>
      <c r="D4" s="2"/>
      <c r="E4" s="2"/>
      <c r="F4" s="2"/>
      <c r="G4" s="2"/>
      <c r="H4" s="2"/>
      <c r="I4" s="2"/>
    </row>
    <row r="5" spans="2:9" ht="21.75" customHeight="1" x14ac:dyDescent="0.25">
      <c r="B5" s="76" t="s">
        <v>4402</v>
      </c>
      <c r="C5" s="77">
        <f>'Timeline Summary'!C7</f>
        <v>5</v>
      </c>
      <c r="D5" s="78" t="s">
        <v>4312</v>
      </c>
      <c r="E5" s="79"/>
      <c r="F5" s="79"/>
      <c r="G5" s="79"/>
      <c r="H5" s="79"/>
      <c r="I5" s="79"/>
    </row>
    <row r="6" spans="2:9" ht="21.75" customHeight="1" x14ac:dyDescent="0.25">
      <c r="B6" s="76" t="s">
        <v>4314</v>
      </c>
      <c r="C6" s="77">
        <f>'Timeline Summary'!C8</f>
        <v>5</v>
      </c>
      <c r="D6" s="78" t="s">
        <v>4312</v>
      </c>
      <c r="E6" s="79"/>
      <c r="F6" s="79"/>
      <c r="G6" s="79"/>
      <c r="H6" s="79"/>
      <c r="I6" s="79"/>
    </row>
    <row r="7" spans="2:9" ht="21.75" customHeight="1" x14ac:dyDescent="0.25">
      <c r="B7" s="76" t="s">
        <v>4316</v>
      </c>
      <c r="C7" s="77">
        <v>5</v>
      </c>
      <c r="D7" s="78" t="s">
        <v>4403</v>
      </c>
      <c r="E7" s="79"/>
      <c r="F7" s="79"/>
      <c r="G7" s="79"/>
      <c r="H7" s="79"/>
      <c r="I7" s="79"/>
    </row>
    <row r="8" spans="2:9" ht="7.5" customHeight="1" x14ac:dyDescent="0.25"/>
    <row r="9" spans="2:9" ht="36" customHeight="1" x14ac:dyDescent="0.25">
      <c r="B9" s="63" t="s">
        <v>4404</v>
      </c>
      <c r="C9" s="63" t="s">
        <v>4405</v>
      </c>
      <c r="D9" s="63" t="s">
        <v>4406</v>
      </c>
      <c r="E9" s="63" t="s">
        <v>4407</v>
      </c>
      <c r="F9" s="63" t="s">
        <v>4408</v>
      </c>
      <c r="G9" s="63" t="s">
        <v>4409</v>
      </c>
      <c r="H9" s="63" t="s">
        <v>4410</v>
      </c>
      <c r="I9" s="63" t="s">
        <v>4411</v>
      </c>
    </row>
    <row r="10" spans="2:9" ht="42" customHeight="1" x14ac:dyDescent="0.25">
      <c r="B10" s="80" t="s">
        <v>4412</v>
      </c>
      <c r="C10" s="81" t="s">
        <v>4413</v>
      </c>
      <c r="D10" s="82">
        <f>ROUND(SUMPRODUCT((('Detailed Requirements'!C$2:C$5000="FR-001")+('Detailed Requirements'!C$2:C$5000="FR-002")+('Detailed Requirements'!C$2:C$5000="FR-003")+('Detailed Requirements'!C$2:C$5000="FR-004")+('Detailed Requirements'!C$2:C$5000="FR-005"))*('Detailed Requirements'!J$2:J$5000="Backend Dev")*IF(ISNUMBER('Detailed Requirements'!N$2:N$5000),'Detailed Requirements'!N$2:N$5000,0)),1)+ROUND(SUMPRODUCT((('Detailed Requirements'!C$2:C$5000="FR-001")+('Detailed Requirements'!C$2:C$5000="FR-002")+('Detailed Requirements'!C$2:C$5000="FR-003")+('Detailed Requirements'!C$2:C$5000="FR-004")+('Detailed Requirements'!C$2:C$5000="FR-005"))*('Detailed Requirements'!J$2:J$5000="QA / Both Devs")*IF(ISNUMBER('Detailed Requirements'!N$2:N$5000),'Detailed Requirements'!N$2:N$5000,0)),1)</f>
        <v>41.3</v>
      </c>
      <c r="E10" s="83">
        <f>ROUND(SUMPRODUCT((('Detailed Requirements'!C$2:C$5000="FR-001")+('Detailed Requirements'!C$2:C$5000="FR-002")+('Detailed Requirements'!C$2:C$5000="FR-003")+('Detailed Requirements'!C$2:C$5000="FR-004")+('Detailed Requirements'!C$2:C$5000="FR-005"))*('Detailed Requirements'!J$2:J$5000="Frontend Dev")*IF(ISNUMBER('Detailed Requirements'!N$2:N$5000),'Detailed Requirements'!N$2:N$5000,0)),1)</f>
        <v>10</v>
      </c>
      <c r="F10" s="84">
        <f>ROUND(MAX(D10/C5, E10/C6), 1)</f>
        <v>8.3000000000000007</v>
      </c>
      <c r="G10" s="84">
        <f>ROUND(F10/C7, 1)</f>
        <v>1.7</v>
      </c>
      <c r="H10" s="85">
        <f>F10</f>
        <v>8.3000000000000007</v>
      </c>
      <c r="I10" s="85">
        <f>ROUND(H10/C7, 1)</f>
        <v>1.7</v>
      </c>
    </row>
    <row r="11" spans="2:9" ht="42" customHeight="1" x14ac:dyDescent="0.25">
      <c r="B11" s="86" t="s">
        <v>4414</v>
      </c>
      <c r="C11" s="87" t="s">
        <v>4415</v>
      </c>
      <c r="D11" s="82">
        <f>ROUND(SUMPRODUCT((('Detailed Requirements'!C$2:C$5000="FR-006")+('Detailed Requirements'!C$2:C$5000="FR-007")+('Detailed Requirements'!C$2:C$5000="FR-008")+('Detailed Requirements'!C$2:C$5000="FR-009")+('Detailed Requirements'!C$2:C$5000="FR-010")+('Detailed Requirements'!C$2:C$5000="FR-011")+('Detailed Requirements'!C$2:C$5000="FR-012")+('Detailed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Requirements'!J$2:J$5000="Backend Dev")*IF(ISNUMBER('Detailed Requirements'!N$2:N$5000),'Detailed Requirements'!N$2:N$5000,0)),1)+ROUND(SUMPRODUCT((('Detailed Requirements'!C$2:C$5000="FR-006")+('Detailed Requirements'!C$2:C$5000="FR-007")+('Detailed Requirements'!C$2:C$5000="FR-008")+('Detailed Requirements'!C$2:C$5000="FR-009")+('Detailed Requirements'!C$2:C$5000="FR-010")+('Detailed Requirements'!C$2:C$5000="FR-011")+('Detailed Requirements'!C$2:C$5000="FR-012")+('Detailed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Requirements'!J$2:J$5000="QA / Both Devs")*IF(ISNUMBER('Detailed Requirements'!N$2:N$5000),'Detailed Requirements'!N$2:N$5000,0)),1)</f>
        <v>68.599999999999994</v>
      </c>
      <c r="E11" s="83">
        <f>ROUND(SUMPRODUCT((('Detailed Requirements'!C$2:C$5000="FR-006")+('Detailed Requirements'!C$2:C$5000="FR-007")+('Detailed Requirements'!C$2:C$5000="FR-008")+('Detailed Requirements'!C$2:C$5000="FR-009")+('Detailed Requirements'!C$2:C$5000="FR-010")+('Detailed Requirements'!C$2:C$5000="FR-011")+('Detailed Requirements'!C$2:C$5000="FR-012")+('Detailed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Requirements'!J$2:J$5000="Frontend Dev")*IF(ISNUMBER('Detailed Requirements'!N$2:N$5000),'Detailed Requirements'!N$2:N$5000,0)),1)</f>
        <v>55.3</v>
      </c>
      <c r="F11" s="84">
        <f>ROUND(MAX(D11/C5, E11/C6), 1)</f>
        <v>13.7</v>
      </c>
      <c r="G11" s="84">
        <f>ROUND(F11/C7, 1)</f>
        <v>2.7</v>
      </c>
      <c r="H11" s="88">
        <f t="shared" ref="H11:H19" si="0">H10+F11</f>
        <v>22</v>
      </c>
      <c r="I11" s="88">
        <f>ROUND(H11/C7, 1)</f>
        <v>4.4000000000000004</v>
      </c>
    </row>
    <row r="12" spans="2:9" ht="42" customHeight="1" x14ac:dyDescent="0.25">
      <c r="B12" s="89" t="s">
        <v>4416</v>
      </c>
      <c r="C12" s="81" t="s">
        <v>4417</v>
      </c>
      <c r="D12" s="82">
        <f>ROUND(SUMPRODUCT((('Detailed Requirements'!C$2:C$5000="FR-013")+('Detailed Requirements'!C$2:C$5000="FR-014")+('Detailed Requirements'!C$2:C$5000="FR-015"))*('Detailed Requirements'!J$2:J$5000="Backend Dev")*IF(ISNUMBER('Detailed Requirements'!N$2:N$5000),'Detailed Requirements'!N$2:N$5000,0)),1)+ROUND(SUMPRODUCT((('Detailed Requirements'!C$2:C$5000="FR-013")+('Detailed Requirements'!C$2:C$5000="FR-014")+('Detailed Requirements'!C$2:C$5000="FR-015"))*('Detailed Requirements'!J$2:J$5000="QA / Both Devs")*IF(ISNUMBER('Detailed Requirements'!N$2:N$5000),'Detailed Requirements'!N$2:N$5000,0)),1)</f>
        <v>13</v>
      </c>
      <c r="E12" s="83">
        <f>ROUND(SUMPRODUCT((('Detailed Requirements'!C$2:C$5000="FR-013")+('Detailed Requirements'!C$2:C$5000="FR-014")+('Detailed Requirements'!C$2:C$5000="FR-015"))*('Detailed Requirements'!J$2:J$5000="Frontend Dev")*IF(ISNUMBER('Detailed Requirements'!N$2:N$5000),'Detailed Requirements'!N$2:N$5000,0)),1)</f>
        <v>11</v>
      </c>
      <c r="F12" s="84">
        <f>ROUND(MAX(D12/C5, E12/C6), 1)</f>
        <v>2.6</v>
      </c>
      <c r="G12" s="84">
        <f>ROUND(F12/C7, 1)</f>
        <v>0.5</v>
      </c>
      <c r="H12" s="85">
        <f t="shared" si="0"/>
        <v>24.6</v>
      </c>
      <c r="I12" s="85">
        <f>ROUND(H12/C7, 1)</f>
        <v>4.9000000000000004</v>
      </c>
    </row>
    <row r="13" spans="2:9" ht="42" customHeight="1" x14ac:dyDescent="0.25">
      <c r="B13" s="90" t="s">
        <v>4418</v>
      </c>
      <c r="C13" s="87" t="s">
        <v>4419</v>
      </c>
      <c r="D13" s="82">
        <f>ROUND(SUMPRODUCT((('Detailed Requirements'!C$2:C$5000="FR-016")+('Detailed Requirements'!C$2:C$5000="FR-017"))*('Detailed Requirements'!J$2:J$5000="Backend Dev")*IF(ISNUMBER('Detailed Requirements'!N$2:N$5000),'Detailed Requirements'!N$2:N$5000,0)),1)+ROUND(SUMPRODUCT((('Detailed Requirements'!C$2:C$5000="FR-016")+('Detailed Requirements'!C$2:C$5000="FR-017"))*('Detailed Requirements'!J$2:J$5000="QA / Both Devs")*IF(ISNUMBER('Detailed Requirements'!N$2:N$5000),'Detailed Requirements'!N$2:N$5000,0)),1)</f>
        <v>12.3</v>
      </c>
      <c r="E13" s="83">
        <f>ROUND(SUMPRODUCT((('Detailed Requirements'!C$2:C$5000="FR-016")+('Detailed Requirements'!C$2:C$5000="FR-017"))*('Detailed Requirements'!J$2:J$5000="Frontend Dev")*IF(ISNUMBER('Detailed Requirements'!N$2:N$5000),'Detailed Requirements'!N$2:N$5000,0)),1)</f>
        <v>13.3</v>
      </c>
      <c r="F13" s="84">
        <f>ROUND(MAX(D13/C5, E13/C6), 1)</f>
        <v>2.7</v>
      </c>
      <c r="G13" s="84">
        <f>ROUND(F13/C7, 1)</f>
        <v>0.5</v>
      </c>
      <c r="H13" s="88">
        <f t="shared" si="0"/>
        <v>27.3</v>
      </c>
      <c r="I13" s="88">
        <f>ROUND(H13/C7, 1)</f>
        <v>5.5</v>
      </c>
    </row>
    <row r="14" spans="2:9" ht="42" customHeight="1" x14ac:dyDescent="0.25">
      <c r="B14" s="91" t="s">
        <v>4420</v>
      </c>
      <c r="C14" s="81" t="s">
        <v>4421</v>
      </c>
      <c r="D14" s="82">
        <f>ROUND(SUMPRODUCT((('Detailed Requirements'!C$2:C$5000="FR-018")+('Detailed Requirements'!C$2:C$5000="FR-019"))*('Detailed Requirements'!J$2:J$5000="Backend Dev")*IF(ISNUMBER('Detailed Requirements'!N$2:N$5000),'Detailed Requirements'!N$2:N$5000,0)),1)+ROUND(SUMPRODUCT((('Detailed Requirements'!C$2:C$5000="FR-018")+('Detailed Requirements'!C$2:C$5000="FR-019"))*('Detailed Requirements'!J$2:J$5000="QA / Both Devs")*IF(ISNUMBER('Detailed Requirements'!N$2:N$5000),'Detailed Requirements'!N$2:N$5000,0)),1)</f>
        <v>48.3</v>
      </c>
      <c r="E14" s="83">
        <f>ROUND(SUMPRODUCT((('Detailed Requirements'!C$2:C$5000="FR-018")+('Detailed Requirements'!C$2:C$5000="FR-019"))*('Detailed Requirements'!J$2:J$5000="Frontend Dev")*IF(ISNUMBER('Detailed Requirements'!N$2:N$5000),'Detailed Requirements'!N$2:N$5000,0)),1)</f>
        <v>7</v>
      </c>
      <c r="F14" s="84">
        <f>ROUND(MAX(D14/C5, E14/C6), 1)</f>
        <v>9.6999999999999993</v>
      </c>
      <c r="G14" s="84">
        <f>ROUND(F14/C7, 1)</f>
        <v>1.9</v>
      </c>
      <c r="H14" s="85">
        <f t="shared" si="0"/>
        <v>37</v>
      </c>
      <c r="I14" s="85">
        <f>ROUND(H14/C7, 1)</f>
        <v>7.4</v>
      </c>
    </row>
    <row r="15" spans="2:9" ht="42" customHeight="1" x14ac:dyDescent="0.25">
      <c r="B15" s="92" t="s">
        <v>4422</v>
      </c>
      <c r="C15" s="87" t="s">
        <v>4423</v>
      </c>
      <c r="D15" s="82">
        <f>ROUND(SUMPRODUCT((('Detailed Requirements'!C$2:C$5000="FR-020")+('Detailed Requirements'!C$2:C$5000="FR-021")+('Detailed Requirements'!C$2:C$5000="FR-022")+('Detailed Requirements'!C$2:C$5000="FR-023")+('Detailed Requirements'!C$2:C$5000="FR-024")+('Detailed Requirements'!C$2:C$5000="FR-039")+('Detailed Requirements'!C$2:C$5000="FR-040"))*('Detailed Requirements'!J$2:J$5000="Backend Dev")*IF(ISNUMBER('Detailed Requirements'!N$2:N$5000),'Detailed Requirements'!N$2:N$5000,0)),1)+ROUND(SUMPRODUCT((('Detailed Requirements'!C$2:C$5000="FR-020")+('Detailed Requirements'!C$2:C$5000="FR-021")+('Detailed Requirements'!C$2:C$5000="FR-022")+('Detailed Requirements'!C$2:C$5000="FR-023")+('Detailed Requirements'!C$2:C$5000="FR-024")+('Detailed Requirements'!C$2:C$5000="FR-039")+('Detailed Requirements'!C$2:C$5000="FR-040"))*('Detailed Requirements'!J$2:J$5000="QA / Both Devs")*IF(ISNUMBER('Detailed Requirements'!N$2:N$5000),'Detailed Requirements'!N$2:N$5000,0)),1)</f>
        <v>71.3</v>
      </c>
      <c r="E15" s="83">
        <f>ROUND(SUMPRODUCT((('Detailed Requirements'!C$2:C$5000="FR-020")+('Detailed Requirements'!C$2:C$5000="FR-021")+('Detailed Requirements'!C$2:C$5000="FR-022")+('Detailed Requirements'!C$2:C$5000="FR-023")+('Detailed Requirements'!C$2:C$5000="FR-024")+('Detailed Requirements'!C$2:C$5000="FR-039")+('Detailed Requirements'!C$2:C$5000="FR-040"))*('Detailed Requirements'!J$2:J$5000="Frontend Dev")*IF(ISNUMBER('Detailed Requirements'!N$2:N$5000),'Detailed Requirements'!N$2:N$5000,0)),1)</f>
        <v>33.5</v>
      </c>
      <c r="F15" s="84">
        <f>ROUND(MAX(D15/C5, E15/C6), 1)</f>
        <v>14.3</v>
      </c>
      <c r="G15" s="84">
        <f>ROUND(F15/C7, 1)</f>
        <v>2.9</v>
      </c>
      <c r="H15" s="88">
        <f t="shared" si="0"/>
        <v>51.3</v>
      </c>
      <c r="I15" s="88">
        <f>ROUND(H15/C7, 1)</f>
        <v>10.3</v>
      </c>
    </row>
    <row r="16" spans="2:9" ht="42" customHeight="1" x14ac:dyDescent="0.25">
      <c r="B16" s="89" t="s">
        <v>4424</v>
      </c>
      <c r="C16" s="87" t="s">
        <v>4425</v>
      </c>
      <c r="D16" s="82">
        <f>ROUND(SUMPRODUCT((('Detailed Requirements'!C$2:C$5000="FR-043")+('Detailed Requirements'!C$2:C$5000="FR-044"))*('Detailed Requirements'!J$2:J$5000="Backend Dev")*IF(ISNUMBER('Detailed Requirements'!N$2:N$5000),'Detailed Requirements'!N$2:N$5000,0)),1)+ROUND(SUMPRODUCT((('Detailed Requirements'!C$2:C$5000="FR-043")+('Detailed Requirements'!C$2:C$5000="FR-044"))*('Detailed Requirements'!J$2:J$5000="QA / Both Devs")*IF(ISNUMBER('Detailed Requirements'!N$2:N$5000),'Detailed Requirements'!N$2:N$5000,0)),1)</f>
        <v>31.5</v>
      </c>
      <c r="E16" s="83">
        <f>ROUND(SUMPRODUCT((('Detailed Requirements'!C$2:C$5000="FR-043")+('Detailed Requirements'!C$2:C$5000="FR-044"))*('Detailed Requirements'!J$2:J$5000="Frontend Dev")*IF(ISNUMBER('Detailed Requirements'!N$2:N$5000),'Detailed Requirements'!N$2:N$5000,0)),1)</f>
        <v>6.3</v>
      </c>
      <c r="F16" s="84">
        <f>ROUND(MAX(D16/C5, E16/C6), 1)</f>
        <v>6.3</v>
      </c>
      <c r="G16" s="84">
        <f>ROUND(F16/C7, 1)</f>
        <v>1.3</v>
      </c>
      <c r="H16" s="88">
        <f t="shared" si="0"/>
        <v>57.599999999999994</v>
      </c>
      <c r="I16" s="88">
        <f>ROUND(H16/C7, 1)</f>
        <v>11.5</v>
      </c>
    </row>
    <row r="17" spans="2:9" ht="42" customHeight="1" x14ac:dyDescent="0.25">
      <c r="B17" s="90" t="s">
        <v>4426</v>
      </c>
      <c r="C17" s="81" t="s">
        <v>4427</v>
      </c>
      <c r="D17" s="82">
        <f>ROUND(SUMPRODUCT((('Detailed Requirements'!C$2:C$5000="FR-045")+('Detailed Requirements'!C$2:C$5000="FR-046")+('Detailed Requirements'!C$2:C$5000="FR-047")+('Detailed Requirements'!C$2:C$5000="FR-048")+('Detailed Requirements'!C$2:C$5000="FR-049"))*('Detailed Requirements'!J$2:J$5000="Backend Dev")*IF(ISNUMBER('Detailed Requirements'!N$2:N$5000),'Detailed Requirements'!N$2:N$5000,0)),1)+ROUND(SUMPRODUCT((('Detailed Requirements'!C$2:C$5000="FR-045")+('Detailed Requirements'!C$2:C$5000="FR-046")+('Detailed Requirements'!C$2:C$5000="FR-047")+('Detailed Requirements'!C$2:C$5000="FR-048")+('Detailed Requirements'!C$2:C$5000="FR-049"))*('Detailed Requirements'!J$2:J$5000="QA / Both Devs")*IF(ISNUMBER('Detailed Requirements'!N$2:N$5000),'Detailed Requirements'!N$2:N$5000,0)),1)</f>
        <v>83.3</v>
      </c>
      <c r="E17" s="83">
        <f>ROUND(SUMPRODUCT((('Detailed Requirements'!C$2:C$5000="FR-045")+('Detailed Requirements'!C$2:C$5000="FR-046")+('Detailed Requirements'!C$2:C$5000="FR-047")+('Detailed Requirements'!C$2:C$5000="FR-048")+('Detailed Requirements'!C$2:C$5000="FR-049"))*('Detailed Requirements'!J$2:J$5000="Frontend Dev")*IF(ISNUMBER('Detailed Requirements'!N$2:N$5000),'Detailed Requirements'!N$2:N$5000,0)),1)</f>
        <v>3.5</v>
      </c>
      <c r="F17" s="84">
        <f>ROUND(MAX(D17/C5, E17/C6), 1)</f>
        <v>16.7</v>
      </c>
      <c r="G17" s="84">
        <f>ROUND(F17/C7, 1)</f>
        <v>3.3</v>
      </c>
      <c r="H17" s="85">
        <f t="shared" si="0"/>
        <v>74.3</v>
      </c>
      <c r="I17" s="85">
        <f>ROUND(H17/C7, 1)</f>
        <v>14.9</v>
      </c>
    </row>
    <row r="18" spans="2:9" ht="42" customHeight="1" x14ac:dyDescent="0.25">
      <c r="B18" s="93" t="s">
        <v>4428</v>
      </c>
      <c r="C18" s="87" t="s">
        <v>4429</v>
      </c>
      <c r="D18" s="82">
        <f>ROUND(SUMPRODUCT((('Detailed Requirements'!C$2:C$5000="FR-035")+('Detailed Requirements'!C$2:C$5000="FR-036")+('Detailed Requirements'!C$2:C$5000="FR-037")+('Detailed Requirements'!C$2:C$5000="FR-038")+('Detailed Requirements'!C$2:C$5000="FR-050")+('Detailed Requirements'!C$2:C$5000="FR-051"))*('Detailed Requirements'!J$2:J$5000="Backend Dev")*IF(ISNUMBER('Detailed Requirements'!N$2:N$5000),'Detailed Requirements'!N$2:N$5000,0)),1)+ROUND(SUMPRODUCT((('Detailed Requirements'!C$2:C$5000="FR-035")+('Detailed Requirements'!C$2:C$5000="FR-036")+('Detailed Requirements'!C$2:C$5000="FR-037")+('Detailed Requirements'!C$2:C$5000="FR-038")+('Detailed Requirements'!C$2:C$5000="FR-050")+('Detailed Requirements'!C$2:C$5000="FR-051"))*('Detailed Requirements'!J$2:J$5000="QA / Both Devs")*IF(ISNUMBER('Detailed Requirements'!N$2:N$5000),'Detailed Requirements'!N$2:N$5000,0)),1)</f>
        <v>58.599999999999994</v>
      </c>
      <c r="E18" s="83">
        <f>ROUND(SUMPRODUCT((('Detailed Requirements'!C$2:C$5000="FR-035")+('Detailed Requirements'!C$2:C$5000="FR-036")+('Detailed Requirements'!C$2:C$5000="FR-037")+('Detailed Requirements'!C$2:C$5000="FR-038")+('Detailed Requirements'!C$2:C$5000="FR-050")+('Detailed Requirements'!C$2:C$5000="FR-051"))*('Detailed Requirements'!J$2:J$5000="Frontend Dev")*IF(ISNUMBER('Detailed Requirements'!N$2:N$5000),'Detailed Requirements'!N$2:N$5000,0)),1)</f>
        <v>22.5</v>
      </c>
      <c r="F18" s="84">
        <f>ROUND(MAX(D18/C5, E18/C6), 1)</f>
        <v>11.7</v>
      </c>
      <c r="G18" s="84">
        <f>ROUND(F18/C7, 1)</f>
        <v>2.2999999999999998</v>
      </c>
      <c r="H18" s="88">
        <f t="shared" si="0"/>
        <v>86</v>
      </c>
      <c r="I18" s="88">
        <f>ROUND(H18/C7, 1)</f>
        <v>17.2</v>
      </c>
    </row>
    <row r="19" spans="2:9" ht="42" customHeight="1" x14ac:dyDescent="0.25">
      <c r="B19" s="86" t="s">
        <v>4430</v>
      </c>
      <c r="C19" s="81" t="s">
        <v>4431</v>
      </c>
      <c r="D19" s="82">
        <f>ROUND(SUMPRODUCT((('Detailed Requirements'!C$2:C$5000="FR-042")+('Detailed Requirements'!C$2:C$5000="FR-052")+('Detailed Requirements'!C$2:C$5000="FR-053")+('Detailed Requirements'!C$2:C$5000="FR-041")+('Detailed Requirements'!C$2:C$5000="FR-054"))*('Detailed Requirements'!J$2:J$5000="Backend Dev")*IF(ISNUMBER('Detailed Requirements'!N$2:N$5000),'Detailed Requirements'!N$2:N$5000,0)),1)+ROUND(SUMPRODUCT((('Detailed Requirements'!C$2:C$5000="FR-042")+('Detailed Requirements'!C$2:C$5000="FR-052")+('Detailed Requirements'!C$2:C$5000="FR-053")+('Detailed Requirements'!C$2:C$5000="FR-041")+('Detailed Requirements'!C$2:C$5000="FR-054"))*('Detailed Requirements'!J$2:J$5000="QA / Both Devs")*IF(ISNUMBER('Detailed Requirements'!N$2:N$5000),'Detailed Requirements'!N$2:N$5000,0)),1)</f>
        <v>53.8</v>
      </c>
      <c r="E19" s="83">
        <f>ROUND(SUMPRODUCT((('Detailed Requirements'!C$2:C$5000="FR-042")+('Detailed Requirements'!C$2:C$5000="FR-052")+('Detailed Requirements'!C$2:C$5000="FR-053")+('Detailed Requirements'!C$2:C$5000="FR-041")+('Detailed Requirements'!C$2:C$5000="FR-054"))*('Detailed Requirements'!J$2:J$5000="Frontend Dev")*IF(ISNUMBER('Detailed Requirements'!N$2:N$5000),'Detailed Requirements'!N$2:N$5000,0)),1)</f>
        <v>16</v>
      </c>
      <c r="F19" s="84">
        <f>ROUND(MAX(D19/C5, E19/C6), 1)</f>
        <v>10.8</v>
      </c>
      <c r="G19" s="84">
        <f>ROUND(F19/C7, 1)</f>
        <v>2.2000000000000002</v>
      </c>
      <c r="H19" s="85">
        <f t="shared" si="0"/>
        <v>96.8</v>
      </c>
      <c r="I19" s="85">
        <f>ROUND(H19/C7, 1)</f>
        <v>19.399999999999999</v>
      </c>
    </row>
    <row r="20" spans="2:9" ht="42" customHeight="1" x14ac:dyDescent="0.25">
      <c r="B20" s="94" t="s">
        <v>4330</v>
      </c>
      <c r="C20" s="95" t="s">
        <v>4432</v>
      </c>
      <c r="D20" s="96">
        <f>ROUND(SUM(D10:D19),1)</f>
        <v>482</v>
      </c>
      <c r="E20" s="96">
        <f>ROUND(SUM(E10:E19),1)</f>
        <v>178.4</v>
      </c>
      <c r="F20" s="97">
        <f>ROUND(SUM(F10:F19),1)</f>
        <v>96.8</v>
      </c>
      <c r="G20" s="97">
        <f>ROUND(I19,1)</f>
        <v>19.399999999999999</v>
      </c>
      <c r="H20" s="98"/>
      <c r="I20" s="98"/>
    </row>
    <row r="21" spans="2:9" ht="25.5" customHeight="1" x14ac:dyDescent="0.25"/>
    <row r="22" spans="2:9" ht="95.25" customHeight="1" x14ac:dyDescent="0.25">
      <c r="B22" s="99" t="s">
        <v>4433</v>
      </c>
    </row>
    <row r="23" spans="2:9" ht="30" customHeight="1" x14ac:dyDescent="0.25">
      <c r="B23" s="1"/>
      <c r="C23" s="1"/>
      <c r="D23" s="1"/>
      <c r="E23" s="1"/>
      <c r="F23" s="1"/>
      <c r="G23" s="1"/>
      <c r="H23" s="1"/>
      <c r="I23" s="1"/>
    </row>
  </sheetData>
  <mergeCells count="4">
    <mergeCell ref="B1:I1"/>
    <mergeCell ref="B2:I2"/>
    <mergeCell ref="B4:I4"/>
    <mergeCell ref="B23:I2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8"/>
  <sheetViews>
    <sheetView showGridLines="0" tabSelected="1" zoomScaleNormal="100" workbookViewId="0">
      <pane ySplit="4" topLeftCell="A140" activePane="bottomLeft" state="frozen"/>
      <selection pane="bottomLeft" activeCell="A218" sqref="A218"/>
    </sheetView>
  </sheetViews>
  <sheetFormatPr defaultColWidth="8.7109375" defaultRowHeight="15" x14ac:dyDescent="0.25"/>
  <cols>
    <col min="1" max="1" width="18.5703125" style="17" customWidth="1"/>
    <col min="2" max="3" width="8" style="17" customWidth="1"/>
    <col min="4" max="4" width="7" style="17" customWidth="1"/>
    <col min="5" max="5" width="14" style="17" customWidth="1"/>
    <col min="6" max="6" width="58" style="17" customWidth="1"/>
    <col min="7" max="7" width="9" style="17" customWidth="1"/>
    <col min="8" max="11" width="12" style="17" customWidth="1"/>
    <col min="12" max="13" width="14" style="17" customWidth="1"/>
    <col min="14" max="14" width="10" style="17" customWidth="1"/>
    <col min="15" max="15" width="12" style="17" customWidth="1"/>
    <col min="16" max="16" width="30" style="17" customWidth="1"/>
  </cols>
  <sheetData>
    <row r="1" spans="1:16" ht="30" customHeight="1" x14ac:dyDescent="0.25">
      <c r="A1" s="232" t="s">
        <v>4434</v>
      </c>
      <c r="B1" s="232"/>
      <c r="C1" s="232"/>
      <c r="D1" s="232"/>
      <c r="E1" s="232"/>
      <c r="F1" s="232"/>
      <c r="G1" s="232"/>
      <c r="H1" s="232"/>
      <c r="I1" s="232"/>
      <c r="J1" s="232"/>
      <c r="K1" s="232"/>
      <c r="L1" s="232"/>
      <c r="M1" s="232"/>
      <c r="N1" s="232"/>
      <c r="O1" s="232"/>
      <c r="P1" s="232"/>
    </row>
    <row r="2" spans="1:16" ht="21.75" customHeight="1" x14ac:dyDescent="0.25">
      <c r="A2" s="233" t="s">
        <v>4435</v>
      </c>
      <c r="B2" s="233"/>
      <c r="C2" s="100">
        <v>46143</v>
      </c>
      <c r="D2" s="234" t="s">
        <v>4436</v>
      </c>
      <c r="E2" s="234"/>
      <c r="F2" s="234"/>
      <c r="G2" s="234"/>
      <c r="H2" s="234"/>
      <c r="I2" s="234"/>
      <c r="J2" s="234"/>
      <c r="K2" s="234"/>
      <c r="L2" s="234"/>
      <c r="M2" s="234"/>
      <c r="N2" s="234"/>
      <c r="O2" s="234"/>
      <c r="P2" s="234"/>
    </row>
    <row r="3" spans="1:16" ht="27.75" customHeight="1" x14ac:dyDescent="0.25">
      <c r="A3" s="101" t="s">
        <v>4404</v>
      </c>
      <c r="B3" s="101" t="s">
        <v>2</v>
      </c>
      <c r="C3" s="101" t="s">
        <v>5</v>
      </c>
      <c r="D3" s="101" t="s">
        <v>4437</v>
      </c>
      <c r="E3" s="101" t="s">
        <v>4438</v>
      </c>
      <c r="F3" s="101" t="s">
        <v>4439</v>
      </c>
      <c r="G3" s="101" t="s">
        <v>4440</v>
      </c>
      <c r="H3" s="101" t="s">
        <v>4441</v>
      </c>
      <c r="I3" s="101" t="s">
        <v>4442</v>
      </c>
      <c r="J3" s="101" t="s">
        <v>4443</v>
      </c>
      <c r="K3" s="101" t="s">
        <v>4444</v>
      </c>
      <c r="L3" s="101" t="s">
        <v>4445</v>
      </c>
      <c r="M3" s="101" t="s">
        <v>4446</v>
      </c>
      <c r="N3" s="101" t="s">
        <v>4447</v>
      </c>
      <c r="O3" s="101" t="s">
        <v>4448</v>
      </c>
      <c r="P3" s="101" t="s">
        <v>4449</v>
      </c>
    </row>
    <row r="4" spans="1:16" ht="19.5" customHeight="1" x14ac:dyDescent="0.25">
      <c r="A4" s="102" t="s">
        <v>4450</v>
      </c>
      <c r="J4" s="103"/>
      <c r="K4" s="103"/>
    </row>
    <row r="5" spans="1:16" ht="19.5" customHeight="1" x14ac:dyDescent="0.25">
      <c r="A5" s="104" t="s">
        <v>4412</v>
      </c>
      <c r="B5" s="66" t="s">
        <v>23</v>
      </c>
      <c r="C5" s="66" t="s">
        <v>26</v>
      </c>
      <c r="D5" s="105" t="s">
        <v>4451</v>
      </c>
      <c r="E5" s="106" t="s">
        <v>30</v>
      </c>
      <c r="F5" s="107" t="s">
        <v>4452</v>
      </c>
      <c r="G5" s="108">
        <v>0.5</v>
      </c>
      <c r="H5" s="109">
        <f t="shared" ref="H5:H46" si="0">C$2</f>
        <v>46143</v>
      </c>
      <c r="I5" s="109">
        <f t="shared" ref="I5:I11" si="1">H5</f>
        <v>46143</v>
      </c>
      <c r="J5" s="110"/>
      <c r="K5" s="110"/>
      <c r="L5" s="111"/>
      <c r="M5" s="66" t="s">
        <v>4453</v>
      </c>
      <c r="N5" s="66"/>
      <c r="O5" s="112" t="str">
        <f t="shared" ref="O5:O36" si="2">IF(AND(J5&lt;&gt;"",K5&lt;&gt;""),NETWORKDAYS(J5,K5)-1-G5,"")</f>
        <v/>
      </c>
      <c r="P5" s="111"/>
    </row>
    <row r="6" spans="1:16" ht="19.5" customHeight="1" x14ac:dyDescent="0.25">
      <c r="A6" s="104" t="s">
        <v>4412</v>
      </c>
      <c r="B6" s="66" t="s">
        <v>23</v>
      </c>
      <c r="C6" s="66" t="s">
        <v>38</v>
      </c>
      <c r="D6" s="105" t="s">
        <v>4451</v>
      </c>
      <c r="E6" s="106" t="s">
        <v>30</v>
      </c>
      <c r="F6" s="107" t="s">
        <v>4454</v>
      </c>
      <c r="G6" s="108">
        <v>0.5</v>
      </c>
      <c r="H6" s="109">
        <f t="shared" si="0"/>
        <v>46143</v>
      </c>
      <c r="I6" s="109">
        <f t="shared" si="1"/>
        <v>46143</v>
      </c>
      <c r="J6" s="110"/>
      <c r="K6" s="110"/>
      <c r="L6" s="111"/>
      <c r="M6" s="66" t="s">
        <v>4453</v>
      </c>
      <c r="N6" s="66"/>
      <c r="O6" s="112" t="str">
        <f t="shared" si="2"/>
        <v/>
      </c>
      <c r="P6" s="111"/>
    </row>
    <row r="7" spans="1:16" ht="19.5" customHeight="1" x14ac:dyDescent="0.25">
      <c r="A7" s="104" t="s">
        <v>4412</v>
      </c>
      <c r="B7" s="66" t="s">
        <v>23</v>
      </c>
      <c r="C7" s="66" t="s">
        <v>46</v>
      </c>
      <c r="D7" s="105" t="s">
        <v>4451</v>
      </c>
      <c r="E7" s="106" t="s">
        <v>30</v>
      </c>
      <c r="F7" s="107" t="s">
        <v>4455</v>
      </c>
      <c r="G7" s="108">
        <v>0.25</v>
      </c>
      <c r="H7" s="109">
        <f t="shared" si="0"/>
        <v>46143</v>
      </c>
      <c r="I7" s="109">
        <f t="shared" si="1"/>
        <v>46143</v>
      </c>
      <c r="J7" s="110"/>
      <c r="K7" s="110"/>
      <c r="L7" s="111"/>
      <c r="M7" s="66" t="s">
        <v>4453</v>
      </c>
      <c r="N7" s="66"/>
      <c r="O7" s="112" t="str">
        <f t="shared" si="2"/>
        <v/>
      </c>
      <c r="P7" s="111"/>
    </row>
    <row r="8" spans="1:16" ht="19.5" customHeight="1" x14ac:dyDescent="0.25">
      <c r="A8" s="104" t="s">
        <v>4412</v>
      </c>
      <c r="B8" s="66" t="s">
        <v>23</v>
      </c>
      <c r="C8" s="66" t="s">
        <v>53</v>
      </c>
      <c r="D8" s="105" t="s">
        <v>4451</v>
      </c>
      <c r="E8" s="106" t="s">
        <v>30</v>
      </c>
      <c r="F8" s="107" t="s">
        <v>4456</v>
      </c>
      <c r="G8" s="108">
        <v>0.5</v>
      </c>
      <c r="H8" s="109">
        <f t="shared" si="0"/>
        <v>46143</v>
      </c>
      <c r="I8" s="109">
        <f t="shared" si="1"/>
        <v>46143</v>
      </c>
      <c r="J8" s="110"/>
      <c r="K8" s="110"/>
      <c r="L8" s="111"/>
      <c r="M8" s="66" t="s">
        <v>4453</v>
      </c>
      <c r="N8" s="66"/>
      <c r="O8" s="112" t="str">
        <f t="shared" si="2"/>
        <v/>
      </c>
      <c r="P8" s="111"/>
    </row>
    <row r="9" spans="1:16" ht="19.5" customHeight="1" x14ac:dyDescent="0.25">
      <c r="A9" s="104" t="s">
        <v>4412</v>
      </c>
      <c r="B9" s="66" t="s">
        <v>23</v>
      </c>
      <c r="C9" s="66" t="s">
        <v>64</v>
      </c>
      <c r="D9" s="105" t="s">
        <v>4451</v>
      </c>
      <c r="E9" s="106" t="s">
        <v>30</v>
      </c>
      <c r="F9" s="107" t="s">
        <v>4457</v>
      </c>
      <c r="G9" s="108">
        <v>0.5</v>
      </c>
      <c r="H9" s="109">
        <f t="shared" si="0"/>
        <v>46143</v>
      </c>
      <c r="I9" s="109">
        <f t="shared" si="1"/>
        <v>46143</v>
      </c>
      <c r="J9" s="110"/>
      <c r="K9" s="110"/>
      <c r="L9" s="111"/>
      <c r="M9" s="66" t="s">
        <v>4453</v>
      </c>
      <c r="N9" s="66"/>
      <c r="O9" s="112" t="str">
        <f t="shared" si="2"/>
        <v/>
      </c>
      <c r="P9" s="111"/>
    </row>
    <row r="10" spans="1:16" ht="19.5" customHeight="1" x14ac:dyDescent="0.25">
      <c r="A10" s="104" t="s">
        <v>4412</v>
      </c>
      <c r="B10" s="66" t="s">
        <v>23</v>
      </c>
      <c r="C10" s="66" t="s">
        <v>72</v>
      </c>
      <c r="D10" s="105" t="s">
        <v>4451</v>
      </c>
      <c r="E10" s="106" t="s">
        <v>30</v>
      </c>
      <c r="F10" s="107" t="s">
        <v>4458</v>
      </c>
      <c r="G10" s="108">
        <v>0.25</v>
      </c>
      <c r="H10" s="109">
        <f t="shared" si="0"/>
        <v>46143</v>
      </c>
      <c r="I10" s="109">
        <f t="shared" si="1"/>
        <v>46143</v>
      </c>
      <c r="J10" s="110"/>
      <c r="K10" s="110"/>
      <c r="L10" s="111"/>
      <c r="M10" s="66" t="s">
        <v>4453</v>
      </c>
      <c r="N10" s="66"/>
      <c r="O10" s="112" t="str">
        <f t="shared" si="2"/>
        <v/>
      </c>
      <c r="P10" s="111"/>
    </row>
    <row r="11" spans="1:16" ht="19.5" customHeight="1" x14ac:dyDescent="0.25">
      <c r="A11" s="104" t="s">
        <v>4412</v>
      </c>
      <c r="B11" s="66" t="s">
        <v>23</v>
      </c>
      <c r="C11" s="66" t="s">
        <v>80</v>
      </c>
      <c r="D11" s="105" t="s">
        <v>4451</v>
      </c>
      <c r="E11" s="106" t="s">
        <v>30</v>
      </c>
      <c r="F11" s="107" t="s">
        <v>4459</v>
      </c>
      <c r="G11" s="108">
        <v>1.25</v>
      </c>
      <c r="H11" s="109">
        <f t="shared" si="0"/>
        <v>46143</v>
      </c>
      <c r="I11" s="109">
        <f t="shared" si="1"/>
        <v>46143</v>
      </c>
      <c r="J11" s="110"/>
      <c r="K11" s="110"/>
      <c r="L11" s="111"/>
      <c r="M11" s="66" t="s">
        <v>4453</v>
      </c>
      <c r="N11" s="66"/>
      <c r="O11" s="112" t="str">
        <f t="shared" si="2"/>
        <v/>
      </c>
      <c r="P11" s="111"/>
    </row>
    <row r="12" spans="1:16" ht="19.5" customHeight="1" x14ac:dyDescent="0.25">
      <c r="A12" s="104" t="s">
        <v>4412</v>
      </c>
      <c r="B12" s="66" t="s">
        <v>23</v>
      </c>
      <c r="C12" s="66" t="s">
        <v>88</v>
      </c>
      <c r="D12" s="105" t="s">
        <v>4451</v>
      </c>
      <c r="E12" s="106" t="s">
        <v>30</v>
      </c>
      <c r="F12" s="107" t="s">
        <v>4460</v>
      </c>
      <c r="G12" s="108">
        <v>1.75</v>
      </c>
      <c r="H12" s="109">
        <f t="shared" si="0"/>
        <v>46143</v>
      </c>
      <c r="I12" s="109">
        <f>WORKDAY(H12,1)</f>
        <v>46146</v>
      </c>
      <c r="J12" s="110"/>
      <c r="K12" s="110"/>
      <c r="L12" s="111"/>
      <c r="M12" s="66" t="s">
        <v>4453</v>
      </c>
      <c r="N12" s="66"/>
      <c r="O12" s="112" t="str">
        <f t="shared" si="2"/>
        <v/>
      </c>
      <c r="P12" s="111"/>
    </row>
    <row r="13" spans="1:16" ht="19.5" customHeight="1" x14ac:dyDescent="0.25">
      <c r="A13" s="104" t="s">
        <v>4412</v>
      </c>
      <c r="B13" s="66" t="s">
        <v>23</v>
      </c>
      <c r="C13" s="66" t="s">
        <v>95</v>
      </c>
      <c r="D13" s="105" t="s">
        <v>4451</v>
      </c>
      <c r="E13" s="106" t="s">
        <v>30</v>
      </c>
      <c r="F13" s="107" t="s">
        <v>4461</v>
      </c>
      <c r="G13" s="108">
        <v>0.5</v>
      </c>
      <c r="H13" s="109">
        <f t="shared" si="0"/>
        <v>46143</v>
      </c>
      <c r="I13" s="109">
        <f>H13</f>
        <v>46143</v>
      </c>
      <c r="J13" s="110"/>
      <c r="K13" s="110"/>
      <c r="L13" s="111"/>
      <c r="M13" s="66" t="s">
        <v>4453</v>
      </c>
      <c r="N13" s="66"/>
      <c r="O13" s="112" t="str">
        <f t="shared" si="2"/>
        <v/>
      </c>
      <c r="P13" s="111"/>
    </row>
    <row r="14" spans="1:16" ht="19.5" customHeight="1" x14ac:dyDescent="0.25">
      <c r="A14" s="104" t="s">
        <v>4412</v>
      </c>
      <c r="B14" s="66" t="s">
        <v>23</v>
      </c>
      <c r="C14" s="66" t="s">
        <v>103</v>
      </c>
      <c r="D14" s="105" t="s">
        <v>4451</v>
      </c>
      <c r="E14" s="106" t="s">
        <v>30</v>
      </c>
      <c r="F14" s="107" t="s">
        <v>4462</v>
      </c>
      <c r="G14" s="108">
        <v>1.75</v>
      </c>
      <c r="H14" s="109">
        <f t="shared" si="0"/>
        <v>46143</v>
      </c>
      <c r="I14" s="109">
        <f>WORKDAY(H14,1)</f>
        <v>46146</v>
      </c>
      <c r="J14" s="110"/>
      <c r="K14" s="110"/>
      <c r="L14" s="111"/>
      <c r="M14" s="66" t="s">
        <v>4453</v>
      </c>
      <c r="N14" s="66"/>
      <c r="O14" s="112" t="str">
        <f t="shared" si="2"/>
        <v/>
      </c>
      <c r="P14" s="111"/>
    </row>
    <row r="15" spans="1:16" ht="19.5" customHeight="1" x14ac:dyDescent="0.25">
      <c r="A15" s="104" t="s">
        <v>4412</v>
      </c>
      <c r="B15" s="66" t="s">
        <v>175</v>
      </c>
      <c r="C15" s="66" t="s">
        <v>26</v>
      </c>
      <c r="D15" s="105" t="s">
        <v>4451</v>
      </c>
      <c r="E15" s="106" t="s">
        <v>30</v>
      </c>
      <c r="F15" s="107" t="s">
        <v>4463</v>
      </c>
      <c r="G15" s="108">
        <v>1</v>
      </c>
      <c r="H15" s="109">
        <f t="shared" si="0"/>
        <v>46143</v>
      </c>
      <c r="I15" s="109">
        <f>H15</f>
        <v>46143</v>
      </c>
      <c r="J15" s="110"/>
      <c r="K15" s="110"/>
      <c r="L15" s="111"/>
      <c r="M15" s="66" t="s">
        <v>4453</v>
      </c>
      <c r="N15" s="66"/>
      <c r="O15" s="112" t="str">
        <f t="shared" si="2"/>
        <v/>
      </c>
      <c r="P15" s="111"/>
    </row>
    <row r="16" spans="1:16" ht="19.5" customHeight="1" x14ac:dyDescent="0.25">
      <c r="A16" s="104" t="s">
        <v>4412</v>
      </c>
      <c r="B16" s="66" t="s">
        <v>175</v>
      </c>
      <c r="C16" s="66" t="s">
        <v>38</v>
      </c>
      <c r="D16" s="105" t="s">
        <v>4451</v>
      </c>
      <c r="E16" s="106" t="s">
        <v>30</v>
      </c>
      <c r="F16" s="107" t="s">
        <v>4464</v>
      </c>
      <c r="G16" s="108">
        <v>0.5</v>
      </c>
      <c r="H16" s="109">
        <f t="shared" si="0"/>
        <v>46143</v>
      </c>
      <c r="I16" s="109">
        <f>H16</f>
        <v>46143</v>
      </c>
      <c r="J16" s="110"/>
      <c r="K16" s="110"/>
      <c r="L16" s="111"/>
      <c r="M16" s="66" t="s">
        <v>4453</v>
      </c>
      <c r="N16" s="66"/>
      <c r="O16" s="112" t="str">
        <f t="shared" si="2"/>
        <v/>
      </c>
      <c r="P16" s="111"/>
    </row>
    <row r="17" spans="1:16" ht="19.5" customHeight="1" x14ac:dyDescent="0.25">
      <c r="A17" s="104" t="s">
        <v>4412</v>
      </c>
      <c r="B17" s="66" t="s">
        <v>175</v>
      </c>
      <c r="C17" s="66" t="s">
        <v>46</v>
      </c>
      <c r="D17" s="105" t="s">
        <v>4451</v>
      </c>
      <c r="E17" s="106" t="s">
        <v>30</v>
      </c>
      <c r="F17" s="107" t="s">
        <v>4465</v>
      </c>
      <c r="G17" s="108">
        <v>1.25</v>
      </c>
      <c r="H17" s="109">
        <f t="shared" si="0"/>
        <v>46143</v>
      </c>
      <c r="I17" s="109">
        <f>H17</f>
        <v>46143</v>
      </c>
      <c r="J17" s="110"/>
      <c r="K17" s="110"/>
      <c r="L17" s="111"/>
      <c r="M17" s="66" t="s">
        <v>4453</v>
      </c>
      <c r="N17" s="66"/>
      <c r="O17" s="112" t="str">
        <f t="shared" si="2"/>
        <v/>
      </c>
      <c r="P17" s="111"/>
    </row>
    <row r="18" spans="1:16" ht="19.5" customHeight="1" x14ac:dyDescent="0.25">
      <c r="A18" s="104" t="s">
        <v>4412</v>
      </c>
      <c r="B18" s="66" t="s">
        <v>175</v>
      </c>
      <c r="C18" s="66" t="s">
        <v>53</v>
      </c>
      <c r="D18" s="105" t="s">
        <v>4451</v>
      </c>
      <c r="E18" s="106" t="s">
        <v>30</v>
      </c>
      <c r="F18" s="107" t="s">
        <v>4466</v>
      </c>
      <c r="G18" s="108">
        <v>0.5</v>
      </c>
      <c r="H18" s="109">
        <f t="shared" si="0"/>
        <v>46143</v>
      </c>
      <c r="I18" s="109">
        <f>H18</f>
        <v>46143</v>
      </c>
      <c r="J18" s="110"/>
      <c r="K18" s="110"/>
      <c r="L18" s="111"/>
      <c r="M18" s="66" t="s">
        <v>4453</v>
      </c>
      <c r="N18" s="66"/>
      <c r="O18" s="112" t="str">
        <f t="shared" si="2"/>
        <v/>
      </c>
      <c r="P18" s="111"/>
    </row>
    <row r="19" spans="1:16" ht="19.5" customHeight="1" x14ac:dyDescent="0.25">
      <c r="A19" s="104" t="s">
        <v>4412</v>
      </c>
      <c r="B19" s="66" t="s">
        <v>213</v>
      </c>
      <c r="C19" s="66" t="s">
        <v>26</v>
      </c>
      <c r="D19" s="105" t="s">
        <v>4451</v>
      </c>
      <c r="E19" s="106" t="s">
        <v>30</v>
      </c>
      <c r="F19" s="107" t="s">
        <v>4467</v>
      </c>
      <c r="G19" s="108">
        <v>1.25</v>
      </c>
      <c r="H19" s="109">
        <f t="shared" si="0"/>
        <v>46143</v>
      </c>
      <c r="I19" s="109">
        <f>H19</f>
        <v>46143</v>
      </c>
      <c r="J19" s="110"/>
      <c r="K19" s="110"/>
      <c r="L19" s="111"/>
      <c r="M19" s="66" t="s">
        <v>4453</v>
      </c>
      <c r="N19" s="66"/>
      <c r="O19" s="112" t="str">
        <f t="shared" si="2"/>
        <v/>
      </c>
      <c r="P19" s="111"/>
    </row>
    <row r="20" spans="1:16" ht="19.5" customHeight="1" x14ac:dyDescent="0.25">
      <c r="A20" s="104" t="s">
        <v>4412</v>
      </c>
      <c r="B20" s="66" t="s">
        <v>213</v>
      </c>
      <c r="C20" s="66" t="s">
        <v>38</v>
      </c>
      <c r="D20" s="105" t="s">
        <v>4451</v>
      </c>
      <c r="E20" s="106" t="s">
        <v>30</v>
      </c>
      <c r="F20" s="107" t="s">
        <v>4468</v>
      </c>
      <c r="G20" s="108">
        <v>1.75</v>
      </c>
      <c r="H20" s="109">
        <f t="shared" si="0"/>
        <v>46143</v>
      </c>
      <c r="I20" s="109">
        <f>WORKDAY(H20,1)</f>
        <v>46146</v>
      </c>
      <c r="J20" s="110"/>
      <c r="K20" s="110"/>
      <c r="L20" s="111"/>
      <c r="M20" s="66" t="s">
        <v>4453</v>
      </c>
      <c r="N20" s="66"/>
      <c r="O20" s="112" t="str">
        <f t="shared" si="2"/>
        <v/>
      </c>
      <c r="P20" s="111"/>
    </row>
    <row r="21" spans="1:16" ht="19.5" customHeight="1" x14ac:dyDescent="0.25">
      <c r="A21" s="104" t="s">
        <v>4412</v>
      </c>
      <c r="B21" s="66" t="s">
        <v>213</v>
      </c>
      <c r="C21" s="66" t="s">
        <v>46</v>
      </c>
      <c r="D21" s="105" t="s">
        <v>4451</v>
      </c>
      <c r="E21" s="106" t="s">
        <v>30</v>
      </c>
      <c r="F21" s="107" t="s">
        <v>4469</v>
      </c>
      <c r="G21" s="108">
        <v>1.75</v>
      </c>
      <c r="H21" s="109">
        <f t="shared" si="0"/>
        <v>46143</v>
      </c>
      <c r="I21" s="109">
        <f>WORKDAY(H21,1)</f>
        <v>46146</v>
      </c>
      <c r="J21" s="110"/>
      <c r="K21" s="110"/>
      <c r="L21" s="111"/>
      <c r="M21" s="66" t="s">
        <v>4453</v>
      </c>
      <c r="N21" s="66"/>
      <c r="O21" s="112" t="str">
        <f t="shared" si="2"/>
        <v/>
      </c>
      <c r="P21" s="111"/>
    </row>
    <row r="22" spans="1:16" ht="19.5" customHeight="1" x14ac:dyDescent="0.25">
      <c r="A22" s="104" t="s">
        <v>4412</v>
      </c>
      <c r="B22" s="66" t="s">
        <v>213</v>
      </c>
      <c r="C22" s="66" t="s">
        <v>53</v>
      </c>
      <c r="D22" s="105" t="s">
        <v>4451</v>
      </c>
      <c r="E22" s="106" t="s">
        <v>30</v>
      </c>
      <c r="F22" s="107" t="s">
        <v>4470</v>
      </c>
      <c r="G22" s="108">
        <v>0.5</v>
      </c>
      <c r="H22" s="109">
        <f t="shared" si="0"/>
        <v>46143</v>
      </c>
      <c r="I22" s="109">
        <f>H22</f>
        <v>46143</v>
      </c>
      <c r="J22" s="110"/>
      <c r="K22" s="110"/>
      <c r="L22" s="111"/>
      <c r="M22" s="66" t="s">
        <v>4453</v>
      </c>
      <c r="N22" s="66"/>
      <c r="O22" s="112" t="str">
        <f t="shared" si="2"/>
        <v/>
      </c>
      <c r="P22" s="111"/>
    </row>
    <row r="23" spans="1:16" ht="19.5" customHeight="1" x14ac:dyDescent="0.25">
      <c r="A23" s="104" t="s">
        <v>4412</v>
      </c>
      <c r="B23" s="66" t="s">
        <v>213</v>
      </c>
      <c r="C23" s="66" t="s">
        <v>64</v>
      </c>
      <c r="D23" s="105" t="s">
        <v>4451</v>
      </c>
      <c r="E23" s="106" t="s">
        <v>30</v>
      </c>
      <c r="F23" s="107" t="s">
        <v>4471</v>
      </c>
      <c r="G23" s="108">
        <v>1.75</v>
      </c>
      <c r="H23" s="109">
        <f t="shared" si="0"/>
        <v>46143</v>
      </c>
      <c r="I23" s="109">
        <f>WORKDAY(H23,1)</f>
        <v>46146</v>
      </c>
      <c r="J23" s="110"/>
      <c r="K23" s="110"/>
      <c r="L23" s="111"/>
      <c r="M23" s="66" t="s">
        <v>4453</v>
      </c>
      <c r="N23" s="66"/>
      <c r="O23" s="112" t="str">
        <f t="shared" si="2"/>
        <v/>
      </c>
      <c r="P23" s="111"/>
    </row>
    <row r="24" spans="1:16" ht="19.5" customHeight="1" x14ac:dyDescent="0.25">
      <c r="A24" s="104" t="s">
        <v>4412</v>
      </c>
      <c r="B24" s="66" t="s">
        <v>213</v>
      </c>
      <c r="C24" s="66" t="s">
        <v>72</v>
      </c>
      <c r="D24" s="105" t="s">
        <v>4451</v>
      </c>
      <c r="E24" s="106" t="s">
        <v>30</v>
      </c>
      <c r="F24" s="107" t="s">
        <v>4472</v>
      </c>
      <c r="G24" s="108">
        <v>1.25</v>
      </c>
      <c r="H24" s="109">
        <f t="shared" si="0"/>
        <v>46143</v>
      </c>
      <c r="I24" s="109">
        <f>H24</f>
        <v>46143</v>
      </c>
      <c r="J24" s="110"/>
      <c r="K24" s="110"/>
      <c r="L24" s="111"/>
      <c r="M24" s="66" t="s">
        <v>4453</v>
      </c>
      <c r="N24" s="66"/>
      <c r="O24" s="112" t="str">
        <f t="shared" si="2"/>
        <v/>
      </c>
      <c r="P24" s="111"/>
    </row>
    <row r="25" spans="1:16" ht="19.5" customHeight="1" x14ac:dyDescent="0.25">
      <c r="A25" s="104" t="s">
        <v>4412</v>
      </c>
      <c r="B25" s="66" t="s">
        <v>213</v>
      </c>
      <c r="C25" s="66" t="s">
        <v>80</v>
      </c>
      <c r="D25" s="105" t="s">
        <v>4451</v>
      </c>
      <c r="E25" s="106" t="s">
        <v>30</v>
      </c>
      <c r="F25" s="107" t="s">
        <v>4473</v>
      </c>
      <c r="G25" s="108">
        <v>1.75</v>
      </c>
      <c r="H25" s="109">
        <f t="shared" si="0"/>
        <v>46143</v>
      </c>
      <c r="I25" s="109">
        <f>WORKDAY(H25,1)</f>
        <v>46146</v>
      </c>
      <c r="J25" s="110"/>
      <c r="K25" s="110"/>
      <c r="L25" s="111"/>
      <c r="M25" s="66" t="s">
        <v>4453</v>
      </c>
      <c r="N25" s="66"/>
      <c r="O25" s="112" t="str">
        <f t="shared" si="2"/>
        <v/>
      </c>
      <c r="P25" s="111"/>
    </row>
    <row r="26" spans="1:16" ht="19.5" customHeight="1" x14ac:dyDescent="0.25">
      <c r="A26" s="104" t="s">
        <v>4412</v>
      </c>
      <c r="B26" s="66" t="s">
        <v>213</v>
      </c>
      <c r="C26" s="66" t="s">
        <v>88</v>
      </c>
      <c r="D26" s="105" t="s">
        <v>4451</v>
      </c>
      <c r="E26" s="106" t="s">
        <v>30</v>
      </c>
      <c r="F26" s="107" t="s">
        <v>4474</v>
      </c>
      <c r="G26" s="108">
        <v>1.25</v>
      </c>
      <c r="H26" s="109">
        <f t="shared" si="0"/>
        <v>46143</v>
      </c>
      <c r="I26" s="109">
        <f>H26</f>
        <v>46143</v>
      </c>
      <c r="J26" s="110"/>
      <c r="K26" s="110"/>
      <c r="L26" s="111"/>
      <c r="M26" s="66" t="s">
        <v>4453</v>
      </c>
      <c r="N26" s="66"/>
      <c r="O26" s="112" t="str">
        <f t="shared" si="2"/>
        <v/>
      </c>
      <c r="P26" s="111"/>
    </row>
    <row r="27" spans="1:16" ht="19.5" customHeight="1" x14ac:dyDescent="0.25">
      <c r="A27" s="104" t="s">
        <v>4412</v>
      </c>
      <c r="B27" s="66" t="s">
        <v>297</v>
      </c>
      <c r="C27" s="66" t="s">
        <v>26</v>
      </c>
      <c r="D27" s="105" t="s">
        <v>4451</v>
      </c>
      <c r="E27" s="106" t="s">
        <v>30</v>
      </c>
      <c r="F27" s="107" t="s">
        <v>4475</v>
      </c>
      <c r="G27" s="108">
        <v>0.5</v>
      </c>
      <c r="H27" s="109">
        <f t="shared" si="0"/>
        <v>46143</v>
      </c>
      <c r="I27" s="109">
        <f>H27</f>
        <v>46143</v>
      </c>
      <c r="J27" s="110"/>
      <c r="K27" s="110"/>
      <c r="L27" s="111"/>
      <c r="M27" s="66" t="s">
        <v>4453</v>
      </c>
      <c r="N27" s="66"/>
      <c r="O27" s="112" t="str">
        <f t="shared" si="2"/>
        <v/>
      </c>
      <c r="P27" s="111"/>
    </row>
    <row r="28" spans="1:16" ht="19.5" customHeight="1" x14ac:dyDescent="0.25">
      <c r="A28" s="104" t="s">
        <v>4412</v>
      </c>
      <c r="B28" s="66" t="s">
        <v>297</v>
      </c>
      <c r="C28" s="66" t="s">
        <v>38</v>
      </c>
      <c r="D28" s="105" t="s">
        <v>4451</v>
      </c>
      <c r="E28" s="106" t="s">
        <v>30</v>
      </c>
      <c r="F28" s="107" t="s">
        <v>4476</v>
      </c>
      <c r="G28" s="108">
        <v>1.25</v>
      </c>
      <c r="H28" s="109">
        <f t="shared" si="0"/>
        <v>46143</v>
      </c>
      <c r="I28" s="109">
        <f>H28</f>
        <v>46143</v>
      </c>
      <c r="J28" s="110"/>
      <c r="K28" s="110"/>
      <c r="L28" s="111"/>
      <c r="M28" s="66" t="s">
        <v>4453</v>
      </c>
      <c r="N28" s="66"/>
      <c r="O28" s="112" t="str">
        <f t="shared" si="2"/>
        <v/>
      </c>
      <c r="P28" s="111"/>
    </row>
    <row r="29" spans="1:16" ht="19.5" customHeight="1" x14ac:dyDescent="0.25">
      <c r="A29" s="104" t="s">
        <v>4412</v>
      </c>
      <c r="B29" s="66" t="s">
        <v>297</v>
      </c>
      <c r="C29" s="66" t="s">
        <v>46</v>
      </c>
      <c r="D29" s="105" t="s">
        <v>4451</v>
      </c>
      <c r="E29" s="106" t="s">
        <v>30</v>
      </c>
      <c r="F29" s="107" t="s">
        <v>4477</v>
      </c>
      <c r="G29" s="108">
        <v>1</v>
      </c>
      <c r="H29" s="109">
        <f t="shared" si="0"/>
        <v>46143</v>
      </c>
      <c r="I29" s="109">
        <f>H29</f>
        <v>46143</v>
      </c>
      <c r="J29" s="110"/>
      <c r="K29" s="110"/>
      <c r="L29" s="111"/>
      <c r="M29" s="66" t="s">
        <v>4453</v>
      </c>
      <c r="N29" s="66"/>
      <c r="O29" s="112" t="str">
        <f t="shared" si="2"/>
        <v/>
      </c>
      <c r="P29" s="111"/>
    </row>
    <row r="30" spans="1:16" ht="19.5" customHeight="1" x14ac:dyDescent="0.25">
      <c r="A30" s="104" t="s">
        <v>4412</v>
      </c>
      <c r="B30" s="66" t="s">
        <v>297</v>
      </c>
      <c r="C30" s="66" t="s">
        <v>53</v>
      </c>
      <c r="D30" s="105" t="s">
        <v>4451</v>
      </c>
      <c r="E30" s="106" t="s">
        <v>30</v>
      </c>
      <c r="F30" s="107" t="s">
        <v>4478</v>
      </c>
      <c r="G30" s="108">
        <v>1.25</v>
      </c>
      <c r="H30" s="109">
        <f t="shared" si="0"/>
        <v>46143</v>
      </c>
      <c r="I30" s="109">
        <f>H30</f>
        <v>46143</v>
      </c>
      <c r="J30" s="110"/>
      <c r="K30" s="110"/>
      <c r="L30" s="111"/>
      <c r="M30" s="66" t="s">
        <v>4453</v>
      </c>
      <c r="N30" s="66"/>
      <c r="O30" s="112" t="str">
        <f t="shared" si="2"/>
        <v/>
      </c>
      <c r="P30" s="111"/>
    </row>
    <row r="31" spans="1:16" ht="19.5" customHeight="1" x14ac:dyDescent="0.25">
      <c r="A31" s="104" t="s">
        <v>4412</v>
      </c>
      <c r="B31" s="66" t="s">
        <v>297</v>
      </c>
      <c r="C31" s="66" t="s">
        <v>64</v>
      </c>
      <c r="D31" s="105" t="s">
        <v>4451</v>
      </c>
      <c r="E31" s="106" t="s">
        <v>30</v>
      </c>
      <c r="F31" s="107" t="s">
        <v>4479</v>
      </c>
      <c r="G31" s="108">
        <v>1.75</v>
      </c>
      <c r="H31" s="109">
        <f t="shared" si="0"/>
        <v>46143</v>
      </c>
      <c r="I31" s="109">
        <f>WORKDAY(H31,1)</f>
        <v>46146</v>
      </c>
      <c r="J31" s="110"/>
      <c r="K31" s="110"/>
      <c r="L31" s="111"/>
      <c r="M31" s="66" t="s">
        <v>4453</v>
      </c>
      <c r="N31" s="66"/>
      <c r="O31" s="112" t="str">
        <f t="shared" si="2"/>
        <v/>
      </c>
      <c r="P31" s="111"/>
    </row>
    <row r="32" spans="1:16" ht="19.5" customHeight="1" x14ac:dyDescent="0.25">
      <c r="A32" s="104" t="s">
        <v>4412</v>
      </c>
      <c r="B32" s="66" t="s">
        <v>366</v>
      </c>
      <c r="C32" s="66" t="s">
        <v>26</v>
      </c>
      <c r="D32" s="105" t="s">
        <v>4451</v>
      </c>
      <c r="E32" s="106" t="s">
        <v>30</v>
      </c>
      <c r="F32" s="107" t="s">
        <v>4480</v>
      </c>
      <c r="G32" s="108">
        <v>1</v>
      </c>
      <c r="H32" s="109">
        <f t="shared" si="0"/>
        <v>46143</v>
      </c>
      <c r="I32" s="109">
        <f t="shared" ref="I32:I48" si="3">H32</f>
        <v>46143</v>
      </c>
      <c r="J32" s="110"/>
      <c r="K32" s="110"/>
      <c r="L32" s="111"/>
      <c r="M32" s="66" t="s">
        <v>4453</v>
      </c>
      <c r="N32" s="66"/>
      <c r="O32" s="112" t="str">
        <f t="shared" si="2"/>
        <v/>
      </c>
      <c r="P32" s="111"/>
    </row>
    <row r="33" spans="1:16" ht="19.5" customHeight="1" x14ac:dyDescent="0.25">
      <c r="A33" s="104" t="s">
        <v>4412</v>
      </c>
      <c r="B33" s="66" t="s">
        <v>366</v>
      </c>
      <c r="C33" s="66" t="s">
        <v>38</v>
      </c>
      <c r="D33" s="105" t="s">
        <v>4451</v>
      </c>
      <c r="E33" s="106" t="s">
        <v>30</v>
      </c>
      <c r="F33" s="107" t="s">
        <v>4481</v>
      </c>
      <c r="G33" s="108">
        <v>1</v>
      </c>
      <c r="H33" s="109">
        <f t="shared" si="0"/>
        <v>46143</v>
      </c>
      <c r="I33" s="109">
        <f t="shared" si="3"/>
        <v>46143</v>
      </c>
      <c r="J33" s="110"/>
      <c r="K33" s="110"/>
      <c r="L33" s="111"/>
      <c r="M33" s="66" t="s">
        <v>4453</v>
      </c>
      <c r="N33" s="66"/>
      <c r="O33" s="112" t="str">
        <f t="shared" si="2"/>
        <v/>
      </c>
      <c r="P33" s="111"/>
    </row>
    <row r="34" spans="1:16" ht="19.5" customHeight="1" x14ac:dyDescent="0.25">
      <c r="A34" s="104" t="s">
        <v>4412</v>
      </c>
      <c r="B34" s="66" t="s">
        <v>366</v>
      </c>
      <c r="C34" s="66" t="s">
        <v>46</v>
      </c>
      <c r="D34" s="105" t="s">
        <v>4451</v>
      </c>
      <c r="E34" s="106" t="s">
        <v>30</v>
      </c>
      <c r="F34" s="107" t="s">
        <v>4482</v>
      </c>
      <c r="G34" s="108">
        <v>0.5</v>
      </c>
      <c r="H34" s="109">
        <f t="shared" si="0"/>
        <v>46143</v>
      </c>
      <c r="I34" s="109">
        <f t="shared" si="3"/>
        <v>46143</v>
      </c>
      <c r="J34" s="110"/>
      <c r="K34" s="110"/>
      <c r="L34" s="111"/>
      <c r="M34" s="66" t="s">
        <v>4453</v>
      </c>
      <c r="N34" s="66"/>
      <c r="O34" s="112" t="str">
        <f t="shared" si="2"/>
        <v/>
      </c>
      <c r="P34" s="111"/>
    </row>
    <row r="35" spans="1:16" ht="19.5" customHeight="1" x14ac:dyDescent="0.25">
      <c r="A35" s="113" t="s">
        <v>4412</v>
      </c>
      <c r="B35" s="67" t="s">
        <v>23</v>
      </c>
      <c r="C35" s="67" t="s">
        <v>112</v>
      </c>
      <c r="D35" s="114" t="s">
        <v>4451</v>
      </c>
      <c r="E35" s="115" t="s">
        <v>116</v>
      </c>
      <c r="F35" s="116" t="s">
        <v>4483</v>
      </c>
      <c r="G35" s="117">
        <v>1.25</v>
      </c>
      <c r="H35" s="118">
        <f t="shared" si="0"/>
        <v>46143</v>
      </c>
      <c r="I35" s="118">
        <f t="shared" si="3"/>
        <v>46143</v>
      </c>
      <c r="J35" s="110"/>
      <c r="K35" s="110"/>
      <c r="L35" s="119"/>
      <c r="M35" s="67" t="s">
        <v>4453</v>
      </c>
      <c r="N35" s="67"/>
      <c r="O35" s="112" t="str">
        <f t="shared" si="2"/>
        <v/>
      </c>
      <c r="P35" s="119"/>
    </row>
    <row r="36" spans="1:16" ht="19.5" customHeight="1" x14ac:dyDescent="0.25">
      <c r="A36" s="113" t="s">
        <v>4412</v>
      </c>
      <c r="B36" s="67" t="s">
        <v>23</v>
      </c>
      <c r="C36" s="67" t="s">
        <v>120</v>
      </c>
      <c r="D36" s="114" t="s">
        <v>4451</v>
      </c>
      <c r="E36" s="115" t="s">
        <v>116</v>
      </c>
      <c r="F36" s="116" t="s">
        <v>4484</v>
      </c>
      <c r="G36" s="117">
        <v>0.5</v>
      </c>
      <c r="H36" s="118">
        <f t="shared" si="0"/>
        <v>46143</v>
      </c>
      <c r="I36" s="118">
        <f t="shared" si="3"/>
        <v>46143</v>
      </c>
      <c r="J36" s="110"/>
      <c r="K36" s="110"/>
      <c r="L36" s="119"/>
      <c r="M36" s="67" t="s">
        <v>4453</v>
      </c>
      <c r="N36" s="67"/>
      <c r="O36" s="112" t="str">
        <f t="shared" si="2"/>
        <v/>
      </c>
      <c r="P36" s="119"/>
    </row>
    <row r="37" spans="1:16" ht="19.5" customHeight="1" x14ac:dyDescent="0.25">
      <c r="A37" s="113" t="s">
        <v>4412</v>
      </c>
      <c r="B37" s="67" t="s">
        <v>23</v>
      </c>
      <c r="C37" s="67" t="s">
        <v>127</v>
      </c>
      <c r="D37" s="114" t="s">
        <v>4451</v>
      </c>
      <c r="E37" s="115" t="s">
        <v>116</v>
      </c>
      <c r="F37" s="116" t="s">
        <v>4485</v>
      </c>
      <c r="G37" s="117">
        <v>0.5</v>
      </c>
      <c r="H37" s="118">
        <f t="shared" si="0"/>
        <v>46143</v>
      </c>
      <c r="I37" s="118">
        <f t="shared" si="3"/>
        <v>46143</v>
      </c>
      <c r="J37" s="110"/>
      <c r="K37" s="110"/>
      <c r="L37" s="119"/>
      <c r="M37" s="67" t="s">
        <v>4453</v>
      </c>
      <c r="N37" s="67"/>
      <c r="O37" s="112" t="str">
        <f t="shared" ref="O37:O54" si="4">IF(AND(J37&lt;&gt;"",K37&lt;&gt;""),NETWORKDAYS(J37,K37)-1-G37,"")</f>
        <v/>
      </c>
      <c r="P37" s="119"/>
    </row>
    <row r="38" spans="1:16" ht="19.5" customHeight="1" x14ac:dyDescent="0.25">
      <c r="A38" s="113" t="s">
        <v>4412</v>
      </c>
      <c r="B38" s="67" t="s">
        <v>23</v>
      </c>
      <c r="C38" s="67" t="s">
        <v>134</v>
      </c>
      <c r="D38" s="114" t="s">
        <v>4451</v>
      </c>
      <c r="E38" s="115" t="s">
        <v>116</v>
      </c>
      <c r="F38" s="116" t="s">
        <v>4486</v>
      </c>
      <c r="G38" s="117">
        <v>1.25</v>
      </c>
      <c r="H38" s="118">
        <f t="shared" si="0"/>
        <v>46143</v>
      </c>
      <c r="I38" s="118">
        <f t="shared" si="3"/>
        <v>46143</v>
      </c>
      <c r="J38" s="110"/>
      <c r="K38" s="110"/>
      <c r="L38" s="119"/>
      <c r="M38" s="67" t="s">
        <v>4453</v>
      </c>
      <c r="N38" s="67"/>
      <c r="O38" s="112" t="str">
        <f t="shared" si="4"/>
        <v/>
      </c>
      <c r="P38" s="119"/>
    </row>
    <row r="39" spans="1:16" ht="19.5" customHeight="1" x14ac:dyDescent="0.25">
      <c r="A39" s="113" t="s">
        <v>4412</v>
      </c>
      <c r="B39" s="67" t="s">
        <v>23</v>
      </c>
      <c r="C39" s="67" t="s">
        <v>142</v>
      </c>
      <c r="D39" s="114" t="s">
        <v>4451</v>
      </c>
      <c r="E39" s="115" t="s">
        <v>116</v>
      </c>
      <c r="F39" s="116" t="s">
        <v>4487</v>
      </c>
      <c r="G39" s="117">
        <v>0.5</v>
      </c>
      <c r="H39" s="118">
        <f t="shared" si="0"/>
        <v>46143</v>
      </c>
      <c r="I39" s="118">
        <f t="shared" si="3"/>
        <v>46143</v>
      </c>
      <c r="J39" s="110"/>
      <c r="K39" s="110"/>
      <c r="L39" s="119"/>
      <c r="M39" s="67" t="s">
        <v>4453</v>
      </c>
      <c r="N39" s="67"/>
      <c r="O39" s="112" t="str">
        <f t="shared" si="4"/>
        <v/>
      </c>
      <c r="P39" s="119"/>
    </row>
    <row r="40" spans="1:16" ht="19.5" customHeight="1" x14ac:dyDescent="0.25">
      <c r="A40" s="113" t="s">
        <v>4412</v>
      </c>
      <c r="B40" s="67" t="s">
        <v>23</v>
      </c>
      <c r="C40" s="67" t="s">
        <v>150</v>
      </c>
      <c r="D40" s="114" t="s">
        <v>4451</v>
      </c>
      <c r="E40" s="115" t="s">
        <v>116</v>
      </c>
      <c r="F40" s="116" t="s">
        <v>4488</v>
      </c>
      <c r="G40" s="117">
        <v>0.5</v>
      </c>
      <c r="H40" s="118">
        <f t="shared" si="0"/>
        <v>46143</v>
      </c>
      <c r="I40" s="118">
        <f t="shared" si="3"/>
        <v>46143</v>
      </c>
      <c r="J40" s="110"/>
      <c r="K40" s="110"/>
      <c r="L40" s="119"/>
      <c r="M40" s="67" t="s">
        <v>4453</v>
      </c>
      <c r="N40" s="67"/>
      <c r="O40" s="112" t="str">
        <f t="shared" si="4"/>
        <v/>
      </c>
      <c r="P40" s="119"/>
    </row>
    <row r="41" spans="1:16" ht="19.5" customHeight="1" x14ac:dyDescent="0.25">
      <c r="A41" s="113" t="s">
        <v>4412</v>
      </c>
      <c r="B41" s="67" t="s">
        <v>213</v>
      </c>
      <c r="C41" s="67" t="s">
        <v>112</v>
      </c>
      <c r="D41" s="114" t="s">
        <v>4451</v>
      </c>
      <c r="E41" s="115" t="s">
        <v>116</v>
      </c>
      <c r="F41" s="116" t="s">
        <v>4489</v>
      </c>
      <c r="G41" s="117">
        <v>0.5</v>
      </c>
      <c r="H41" s="118">
        <f t="shared" si="0"/>
        <v>46143</v>
      </c>
      <c r="I41" s="118">
        <f t="shared" si="3"/>
        <v>46143</v>
      </c>
      <c r="J41" s="110"/>
      <c r="K41" s="110"/>
      <c r="L41" s="119"/>
      <c r="M41" s="67" t="s">
        <v>4453</v>
      </c>
      <c r="N41" s="67"/>
      <c r="O41" s="112" t="str">
        <f t="shared" si="4"/>
        <v/>
      </c>
      <c r="P41" s="119"/>
    </row>
    <row r="42" spans="1:16" ht="19.5" customHeight="1" x14ac:dyDescent="0.25">
      <c r="A42" s="113" t="s">
        <v>4412</v>
      </c>
      <c r="B42" s="67" t="s">
        <v>213</v>
      </c>
      <c r="C42" s="67" t="s">
        <v>120</v>
      </c>
      <c r="D42" s="114" t="s">
        <v>4451</v>
      </c>
      <c r="E42" s="115" t="s">
        <v>116</v>
      </c>
      <c r="F42" s="116" t="s">
        <v>4490</v>
      </c>
      <c r="G42" s="117">
        <v>1.25</v>
      </c>
      <c r="H42" s="118">
        <f t="shared" si="0"/>
        <v>46143</v>
      </c>
      <c r="I42" s="118">
        <f t="shared" si="3"/>
        <v>46143</v>
      </c>
      <c r="J42" s="110"/>
      <c r="K42" s="110"/>
      <c r="L42" s="119"/>
      <c r="M42" s="67" t="s">
        <v>4453</v>
      </c>
      <c r="N42" s="67"/>
      <c r="O42" s="112" t="str">
        <f t="shared" si="4"/>
        <v/>
      </c>
      <c r="P42" s="119"/>
    </row>
    <row r="43" spans="1:16" ht="19.5" customHeight="1" x14ac:dyDescent="0.25">
      <c r="A43" s="113" t="s">
        <v>4412</v>
      </c>
      <c r="B43" s="67" t="s">
        <v>297</v>
      </c>
      <c r="C43" s="67" t="s">
        <v>112</v>
      </c>
      <c r="D43" s="114" t="s">
        <v>4451</v>
      </c>
      <c r="E43" s="115" t="s">
        <v>116</v>
      </c>
      <c r="F43" s="116" t="s">
        <v>4491</v>
      </c>
      <c r="G43" s="117">
        <v>1</v>
      </c>
      <c r="H43" s="118">
        <f t="shared" si="0"/>
        <v>46143</v>
      </c>
      <c r="I43" s="118">
        <f t="shared" si="3"/>
        <v>46143</v>
      </c>
      <c r="J43" s="110"/>
      <c r="K43" s="110"/>
      <c r="L43" s="119"/>
      <c r="M43" s="67" t="s">
        <v>4453</v>
      </c>
      <c r="N43" s="67"/>
      <c r="O43" s="112" t="str">
        <f t="shared" si="4"/>
        <v/>
      </c>
      <c r="P43" s="119"/>
    </row>
    <row r="44" spans="1:16" ht="19.5" customHeight="1" x14ac:dyDescent="0.25">
      <c r="A44" s="113" t="s">
        <v>4412</v>
      </c>
      <c r="B44" s="67" t="s">
        <v>297</v>
      </c>
      <c r="C44" s="67" t="s">
        <v>120</v>
      </c>
      <c r="D44" s="114" t="s">
        <v>4451</v>
      </c>
      <c r="E44" s="115" t="s">
        <v>116</v>
      </c>
      <c r="F44" s="116" t="s">
        <v>4492</v>
      </c>
      <c r="G44" s="117">
        <v>1.25</v>
      </c>
      <c r="H44" s="118">
        <f t="shared" si="0"/>
        <v>46143</v>
      </c>
      <c r="I44" s="118">
        <f t="shared" si="3"/>
        <v>46143</v>
      </c>
      <c r="J44" s="110"/>
      <c r="K44" s="110"/>
      <c r="L44" s="119"/>
      <c r="M44" s="67" t="s">
        <v>4453</v>
      </c>
      <c r="N44" s="67"/>
      <c r="O44" s="112" t="str">
        <f t="shared" si="4"/>
        <v/>
      </c>
      <c r="P44" s="119"/>
    </row>
    <row r="45" spans="1:16" ht="19.5" customHeight="1" x14ac:dyDescent="0.25">
      <c r="A45" s="113" t="s">
        <v>4412</v>
      </c>
      <c r="B45" s="67" t="s">
        <v>366</v>
      </c>
      <c r="C45" s="67" t="s">
        <v>112</v>
      </c>
      <c r="D45" s="114" t="s">
        <v>4451</v>
      </c>
      <c r="E45" s="115" t="s">
        <v>116</v>
      </c>
      <c r="F45" s="116" t="s">
        <v>4493</v>
      </c>
      <c r="G45" s="117">
        <v>1</v>
      </c>
      <c r="H45" s="118">
        <f t="shared" si="0"/>
        <v>46143</v>
      </c>
      <c r="I45" s="118">
        <f t="shared" si="3"/>
        <v>46143</v>
      </c>
      <c r="J45" s="110"/>
      <c r="K45" s="110"/>
      <c r="L45" s="119"/>
      <c r="M45" s="67" t="s">
        <v>4453</v>
      </c>
      <c r="N45" s="67"/>
      <c r="O45" s="112" t="str">
        <f t="shared" si="4"/>
        <v/>
      </c>
      <c r="P45" s="119"/>
    </row>
    <row r="46" spans="1:16" ht="19.5" customHeight="1" x14ac:dyDescent="0.25">
      <c r="A46" s="113" t="s">
        <v>4412</v>
      </c>
      <c r="B46" s="67" t="s">
        <v>366</v>
      </c>
      <c r="C46" s="67" t="s">
        <v>120</v>
      </c>
      <c r="D46" s="114" t="s">
        <v>4451</v>
      </c>
      <c r="E46" s="115" t="s">
        <v>116</v>
      </c>
      <c r="F46" s="116" t="s">
        <v>4494</v>
      </c>
      <c r="G46" s="117">
        <v>0.5</v>
      </c>
      <c r="H46" s="118">
        <f t="shared" si="0"/>
        <v>46143</v>
      </c>
      <c r="I46" s="118">
        <f t="shared" si="3"/>
        <v>46143</v>
      </c>
      <c r="J46" s="110"/>
      <c r="K46" s="110"/>
      <c r="L46" s="119"/>
      <c r="M46" s="67" t="s">
        <v>4453</v>
      </c>
      <c r="N46" s="67"/>
      <c r="O46" s="112" t="str">
        <f t="shared" si="4"/>
        <v/>
      </c>
      <c r="P46" s="119"/>
    </row>
    <row r="47" spans="1:16" ht="19.5" customHeight="1" x14ac:dyDescent="0.25">
      <c r="A47" s="120" t="s">
        <v>4412</v>
      </c>
      <c r="B47" s="68" t="s">
        <v>23</v>
      </c>
      <c r="C47" s="68" t="s">
        <v>166</v>
      </c>
      <c r="D47" s="121" t="s">
        <v>4451</v>
      </c>
      <c r="E47" s="122" t="s">
        <v>161</v>
      </c>
      <c r="F47" s="123" t="s">
        <v>4495</v>
      </c>
      <c r="G47" s="124">
        <v>1.25</v>
      </c>
      <c r="H47" s="125">
        <f>WORKDAY(MAX(I34,I46),1)</f>
        <v>46146</v>
      </c>
      <c r="I47" s="125">
        <f t="shared" si="3"/>
        <v>46146</v>
      </c>
      <c r="J47" s="110"/>
      <c r="K47" s="110"/>
      <c r="L47" s="126"/>
      <c r="M47" s="68" t="s">
        <v>4453</v>
      </c>
      <c r="N47" s="68"/>
      <c r="O47" s="112" t="str">
        <f t="shared" si="4"/>
        <v/>
      </c>
      <c r="P47" s="126"/>
    </row>
    <row r="48" spans="1:16" ht="19.5" customHeight="1" x14ac:dyDescent="0.25">
      <c r="A48" s="120" t="s">
        <v>4412</v>
      </c>
      <c r="B48" s="68" t="s">
        <v>213</v>
      </c>
      <c r="C48" s="68" t="s">
        <v>166</v>
      </c>
      <c r="D48" s="121" t="s">
        <v>4451</v>
      </c>
      <c r="E48" s="122" t="s">
        <v>161</v>
      </c>
      <c r="F48" s="123" t="s">
        <v>4496</v>
      </c>
      <c r="G48" s="124">
        <v>1.25</v>
      </c>
      <c r="H48" s="125">
        <f>WORKDAY(MAX(I34,I46),1)</f>
        <v>46146</v>
      </c>
      <c r="I48" s="125">
        <f t="shared" si="3"/>
        <v>46146</v>
      </c>
      <c r="J48" s="110"/>
      <c r="K48" s="110"/>
      <c r="L48" s="126"/>
      <c r="M48" s="68" t="s">
        <v>4453</v>
      </c>
      <c r="N48" s="68"/>
      <c r="O48" s="112" t="str">
        <f t="shared" si="4"/>
        <v/>
      </c>
      <c r="P48" s="126"/>
    </row>
    <row r="49" spans="1:16" ht="19.5" customHeight="1" x14ac:dyDescent="0.25">
      <c r="A49" s="120" t="s">
        <v>4412</v>
      </c>
      <c r="B49" s="68" t="s">
        <v>297</v>
      </c>
      <c r="C49" s="68" t="s">
        <v>166</v>
      </c>
      <c r="D49" s="121" t="s">
        <v>4451</v>
      </c>
      <c r="E49" s="122" t="s">
        <v>161</v>
      </c>
      <c r="F49" s="123" t="s">
        <v>4497</v>
      </c>
      <c r="G49" s="124">
        <v>1.75</v>
      </c>
      <c r="H49" s="125">
        <f>WORKDAY(MAX(I34,I46),1)</f>
        <v>46146</v>
      </c>
      <c r="I49" s="125">
        <f>WORKDAY(H49,1)</f>
        <v>46147</v>
      </c>
      <c r="J49" s="110"/>
      <c r="K49" s="110"/>
      <c r="L49" s="126"/>
      <c r="M49" s="68" t="s">
        <v>4453</v>
      </c>
      <c r="N49" s="68"/>
      <c r="O49" s="112" t="str">
        <f t="shared" si="4"/>
        <v/>
      </c>
      <c r="P49" s="126"/>
    </row>
    <row r="50" spans="1:16" ht="19.5" customHeight="1" x14ac:dyDescent="0.25">
      <c r="A50" s="120" t="s">
        <v>4412</v>
      </c>
      <c r="B50" s="68" t="s">
        <v>23</v>
      </c>
      <c r="C50" s="68" t="s">
        <v>157</v>
      </c>
      <c r="D50" s="121" t="s">
        <v>4498</v>
      </c>
      <c r="E50" s="122" t="s">
        <v>161</v>
      </c>
      <c r="F50" s="123" t="s">
        <v>4499</v>
      </c>
      <c r="G50" s="124">
        <v>1.25</v>
      </c>
      <c r="H50" s="125">
        <f>WORKDAY(MAX(I34,I46),1)</f>
        <v>46146</v>
      </c>
      <c r="I50" s="125">
        <f>H50</f>
        <v>46146</v>
      </c>
      <c r="J50" s="110"/>
      <c r="K50" s="110"/>
      <c r="L50" s="126"/>
      <c r="M50" s="68" t="s">
        <v>4453</v>
      </c>
      <c r="N50" s="68"/>
      <c r="O50" s="112" t="str">
        <f t="shared" si="4"/>
        <v/>
      </c>
      <c r="P50" s="126"/>
    </row>
    <row r="51" spans="1:16" ht="19.5" customHeight="1" x14ac:dyDescent="0.25">
      <c r="A51" s="120" t="s">
        <v>4412</v>
      </c>
      <c r="B51" s="68" t="s">
        <v>175</v>
      </c>
      <c r="C51" s="68" t="s">
        <v>157</v>
      </c>
      <c r="D51" s="121" t="s">
        <v>4498</v>
      </c>
      <c r="E51" s="122" t="s">
        <v>161</v>
      </c>
      <c r="F51" s="123" t="s">
        <v>4500</v>
      </c>
      <c r="G51" s="124">
        <v>1</v>
      </c>
      <c r="H51" s="125">
        <f>WORKDAY(MAX(I34,I46),1)</f>
        <v>46146</v>
      </c>
      <c r="I51" s="125">
        <f>H51</f>
        <v>46146</v>
      </c>
      <c r="J51" s="110"/>
      <c r="K51" s="110"/>
      <c r="L51" s="126"/>
      <c r="M51" s="68" t="s">
        <v>4453</v>
      </c>
      <c r="N51" s="68"/>
      <c r="O51" s="112" t="str">
        <f t="shared" si="4"/>
        <v/>
      </c>
      <c r="P51" s="126"/>
    </row>
    <row r="52" spans="1:16" ht="19.5" customHeight="1" x14ac:dyDescent="0.25">
      <c r="A52" s="120" t="s">
        <v>4412</v>
      </c>
      <c r="B52" s="68" t="s">
        <v>213</v>
      </c>
      <c r="C52" s="68" t="s">
        <v>157</v>
      </c>
      <c r="D52" s="121" t="s">
        <v>4498</v>
      </c>
      <c r="E52" s="122" t="s">
        <v>161</v>
      </c>
      <c r="F52" s="123" t="s">
        <v>4501</v>
      </c>
      <c r="G52" s="124">
        <v>1.75</v>
      </c>
      <c r="H52" s="125">
        <f>WORKDAY(MAX(I34,I46),1)</f>
        <v>46146</v>
      </c>
      <c r="I52" s="125">
        <f>WORKDAY(H52,1)</f>
        <v>46147</v>
      </c>
      <c r="J52" s="110"/>
      <c r="K52" s="110"/>
      <c r="L52" s="126"/>
      <c r="M52" s="68" t="s">
        <v>4453</v>
      </c>
      <c r="N52" s="68"/>
      <c r="O52" s="112" t="str">
        <f t="shared" si="4"/>
        <v/>
      </c>
      <c r="P52" s="126"/>
    </row>
    <row r="53" spans="1:16" ht="19.5" customHeight="1" x14ac:dyDescent="0.25">
      <c r="A53" s="120" t="s">
        <v>4412</v>
      </c>
      <c r="B53" s="68" t="s">
        <v>297</v>
      </c>
      <c r="C53" s="68" t="s">
        <v>157</v>
      </c>
      <c r="D53" s="121" t="s">
        <v>4498</v>
      </c>
      <c r="E53" s="122" t="s">
        <v>161</v>
      </c>
      <c r="F53" s="123" t="s">
        <v>4502</v>
      </c>
      <c r="G53" s="124">
        <v>1.25</v>
      </c>
      <c r="H53" s="125">
        <f>WORKDAY(MAX(I34,I46),1)</f>
        <v>46146</v>
      </c>
      <c r="I53" s="125">
        <f>H53</f>
        <v>46146</v>
      </c>
      <c r="J53" s="110"/>
      <c r="K53" s="110"/>
      <c r="L53" s="126"/>
      <c r="M53" s="68" t="s">
        <v>4453</v>
      </c>
      <c r="N53" s="68"/>
      <c r="O53" s="112" t="str">
        <f t="shared" si="4"/>
        <v/>
      </c>
      <c r="P53" s="126"/>
    </row>
    <row r="54" spans="1:16" ht="19.5" customHeight="1" x14ac:dyDescent="0.25">
      <c r="A54" s="120" t="s">
        <v>4412</v>
      </c>
      <c r="B54" s="68" t="s">
        <v>366</v>
      </c>
      <c r="C54" s="68" t="s">
        <v>157</v>
      </c>
      <c r="D54" s="121" t="s">
        <v>4498</v>
      </c>
      <c r="E54" s="122" t="s">
        <v>161</v>
      </c>
      <c r="F54" s="123" t="s">
        <v>4503</v>
      </c>
      <c r="G54" s="124">
        <v>1.25</v>
      </c>
      <c r="H54" s="125">
        <f>WORKDAY(MAX(I34,I46),1)</f>
        <v>46146</v>
      </c>
      <c r="I54" s="125">
        <f>H54</f>
        <v>46146</v>
      </c>
      <c r="J54" s="110"/>
      <c r="K54" s="110"/>
      <c r="L54" s="126"/>
      <c r="M54" s="68" t="s">
        <v>4453</v>
      </c>
      <c r="N54" s="68"/>
      <c r="O54" s="112" t="str">
        <f t="shared" si="4"/>
        <v/>
      </c>
      <c r="P54" s="126"/>
    </row>
    <row r="55" spans="1:16" ht="19.5" customHeight="1" x14ac:dyDescent="0.25">
      <c r="A55" s="127" t="s">
        <v>4504</v>
      </c>
      <c r="J55" s="128"/>
      <c r="K55" s="128"/>
    </row>
    <row r="56" spans="1:16" ht="19.5" customHeight="1" x14ac:dyDescent="0.25">
      <c r="A56" s="104" t="s">
        <v>4414</v>
      </c>
      <c r="B56" s="66" t="s">
        <v>413</v>
      </c>
      <c r="C56" s="66" t="s">
        <v>26</v>
      </c>
      <c r="D56" s="105" t="s">
        <v>4451</v>
      </c>
      <c r="E56" s="106" t="s">
        <v>30</v>
      </c>
      <c r="F56" s="107" t="s">
        <v>4505</v>
      </c>
      <c r="G56" s="108">
        <v>1.25</v>
      </c>
      <c r="H56" s="109">
        <f>WORKDAY(I54,1)</f>
        <v>46147</v>
      </c>
      <c r="I56" s="109">
        <f t="shared" ref="I56:I63" si="5">H56</f>
        <v>46147</v>
      </c>
      <c r="J56" s="110"/>
      <c r="K56" s="110"/>
      <c r="L56" s="111"/>
      <c r="M56" s="66" t="s">
        <v>4453</v>
      </c>
      <c r="N56" s="66"/>
      <c r="O56" s="112" t="str">
        <f t="shared" ref="O56:O87" si="6">IF(AND(J56&lt;&gt;"",K56&lt;&gt;""),NETWORKDAYS(J56,K56)-1-G56,"")</f>
        <v/>
      </c>
      <c r="P56" s="111"/>
    </row>
    <row r="57" spans="1:16" ht="19.5" customHeight="1" x14ac:dyDescent="0.25">
      <c r="A57" s="104" t="s">
        <v>4414</v>
      </c>
      <c r="B57" s="66" t="s">
        <v>413</v>
      </c>
      <c r="C57" s="66" t="s">
        <v>38</v>
      </c>
      <c r="D57" s="105" t="s">
        <v>4451</v>
      </c>
      <c r="E57" s="106" t="s">
        <v>30</v>
      </c>
      <c r="F57" s="107" t="s">
        <v>4506</v>
      </c>
      <c r="G57" s="108">
        <v>1.25</v>
      </c>
      <c r="H57" s="109">
        <f>WORKDAY(I54,1)</f>
        <v>46147</v>
      </c>
      <c r="I57" s="109">
        <f t="shared" si="5"/>
        <v>46147</v>
      </c>
      <c r="J57" s="110"/>
      <c r="K57" s="110"/>
      <c r="L57" s="111"/>
      <c r="M57" s="66" t="s">
        <v>4453</v>
      </c>
      <c r="N57" s="66"/>
      <c r="O57" s="112" t="str">
        <f t="shared" si="6"/>
        <v/>
      </c>
      <c r="P57" s="111"/>
    </row>
    <row r="58" spans="1:16" ht="19.5" customHeight="1" x14ac:dyDescent="0.25">
      <c r="A58" s="104" t="s">
        <v>4414</v>
      </c>
      <c r="B58" s="66" t="s">
        <v>515</v>
      </c>
      <c r="C58" s="66" t="s">
        <v>26</v>
      </c>
      <c r="D58" s="105" t="s">
        <v>4451</v>
      </c>
      <c r="E58" s="106" t="s">
        <v>30</v>
      </c>
      <c r="F58" s="107" t="s">
        <v>4507</v>
      </c>
      <c r="G58" s="108">
        <v>0.5</v>
      </c>
      <c r="H58" s="109">
        <f>WORKDAY(I54,1)</f>
        <v>46147</v>
      </c>
      <c r="I58" s="109">
        <f t="shared" si="5"/>
        <v>46147</v>
      </c>
      <c r="J58" s="110"/>
      <c r="K58" s="110"/>
      <c r="L58" s="111"/>
      <c r="M58" s="66" t="s">
        <v>4453</v>
      </c>
      <c r="N58" s="66"/>
      <c r="O58" s="112" t="str">
        <f t="shared" si="6"/>
        <v/>
      </c>
      <c r="P58" s="111"/>
    </row>
    <row r="59" spans="1:16" ht="19.5" customHeight="1" x14ac:dyDescent="0.25">
      <c r="A59" s="104" t="s">
        <v>4414</v>
      </c>
      <c r="B59" s="66" t="s">
        <v>515</v>
      </c>
      <c r="C59" s="66" t="s">
        <v>38</v>
      </c>
      <c r="D59" s="105" t="s">
        <v>4451</v>
      </c>
      <c r="E59" s="106" t="s">
        <v>30</v>
      </c>
      <c r="F59" s="107" t="s">
        <v>4508</v>
      </c>
      <c r="G59" s="108">
        <v>0.5</v>
      </c>
      <c r="H59" s="109">
        <f>WORKDAY(I54,1)</f>
        <v>46147</v>
      </c>
      <c r="I59" s="109">
        <f t="shared" si="5"/>
        <v>46147</v>
      </c>
      <c r="J59" s="110"/>
      <c r="K59" s="110"/>
      <c r="L59" s="111"/>
      <c r="M59" s="66" t="s">
        <v>4453</v>
      </c>
      <c r="N59" s="66"/>
      <c r="O59" s="112" t="str">
        <f t="shared" si="6"/>
        <v/>
      </c>
      <c r="P59" s="111"/>
    </row>
    <row r="60" spans="1:16" ht="19.5" customHeight="1" x14ac:dyDescent="0.25">
      <c r="A60" s="104" t="s">
        <v>4414</v>
      </c>
      <c r="B60" s="66" t="s">
        <v>515</v>
      </c>
      <c r="C60" s="66" t="s">
        <v>46</v>
      </c>
      <c r="D60" s="105" t="s">
        <v>4451</v>
      </c>
      <c r="E60" s="106" t="s">
        <v>30</v>
      </c>
      <c r="F60" s="107" t="s">
        <v>4509</v>
      </c>
      <c r="G60" s="108">
        <v>0.5</v>
      </c>
      <c r="H60" s="109">
        <f>WORKDAY(I54,1)</f>
        <v>46147</v>
      </c>
      <c r="I60" s="109">
        <f t="shared" si="5"/>
        <v>46147</v>
      </c>
      <c r="J60" s="110"/>
      <c r="K60" s="110"/>
      <c r="L60" s="111"/>
      <c r="M60" s="66" t="s">
        <v>4453</v>
      </c>
      <c r="N60" s="66"/>
      <c r="O60" s="112" t="str">
        <f t="shared" si="6"/>
        <v/>
      </c>
      <c r="P60" s="111"/>
    </row>
    <row r="61" spans="1:16" ht="19.5" customHeight="1" x14ac:dyDescent="0.25">
      <c r="A61" s="104" t="s">
        <v>4414</v>
      </c>
      <c r="B61" s="66" t="s">
        <v>563</v>
      </c>
      <c r="C61" s="66" t="s">
        <v>38</v>
      </c>
      <c r="D61" s="105" t="s">
        <v>4451</v>
      </c>
      <c r="E61" s="106" t="s">
        <v>30</v>
      </c>
      <c r="F61" s="107" t="s">
        <v>4510</v>
      </c>
      <c r="G61" s="108">
        <v>0.25</v>
      </c>
      <c r="H61" s="109">
        <f>WORKDAY(I54,1)</f>
        <v>46147</v>
      </c>
      <c r="I61" s="109">
        <f t="shared" si="5"/>
        <v>46147</v>
      </c>
      <c r="J61" s="110"/>
      <c r="K61" s="110"/>
      <c r="L61" s="111"/>
      <c r="M61" s="66" t="s">
        <v>4453</v>
      </c>
      <c r="N61" s="66"/>
      <c r="O61" s="112" t="str">
        <f t="shared" si="6"/>
        <v/>
      </c>
      <c r="P61" s="111"/>
    </row>
    <row r="62" spans="1:16" ht="19.5" customHeight="1" x14ac:dyDescent="0.25">
      <c r="A62" s="104" t="s">
        <v>4414</v>
      </c>
      <c r="B62" s="66" t="s">
        <v>587</v>
      </c>
      <c r="C62" s="66" t="s">
        <v>26</v>
      </c>
      <c r="D62" s="105" t="s">
        <v>4451</v>
      </c>
      <c r="E62" s="106" t="s">
        <v>30</v>
      </c>
      <c r="F62" s="107" t="s">
        <v>4511</v>
      </c>
      <c r="G62" s="108">
        <v>1.25</v>
      </c>
      <c r="H62" s="109">
        <f>WORKDAY(I54,1)</f>
        <v>46147</v>
      </c>
      <c r="I62" s="109">
        <f t="shared" si="5"/>
        <v>46147</v>
      </c>
      <c r="J62" s="110"/>
      <c r="K62" s="110"/>
      <c r="L62" s="111"/>
      <c r="M62" s="66" t="s">
        <v>4453</v>
      </c>
      <c r="N62" s="66"/>
      <c r="O62" s="112" t="str">
        <f t="shared" si="6"/>
        <v/>
      </c>
      <c r="P62" s="111"/>
    </row>
    <row r="63" spans="1:16" ht="19.5" customHeight="1" x14ac:dyDescent="0.25">
      <c r="A63" s="104" t="s">
        <v>4414</v>
      </c>
      <c r="B63" s="66" t="s">
        <v>587</v>
      </c>
      <c r="C63" s="66" t="s">
        <v>38</v>
      </c>
      <c r="D63" s="105" t="s">
        <v>4451</v>
      </c>
      <c r="E63" s="106" t="s">
        <v>30</v>
      </c>
      <c r="F63" s="107" t="s">
        <v>4512</v>
      </c>
      <c r="G63" s="108">
        <v>1</v>
      </c>
      <c r="H63" s="109">
        <f>WORKDAY(I54,1)</f>
        <v>46147</v>
      </c>
      <c r="I63" s="109">
        <f t="shared" si="5"/>
        <v>46147</v>
      </c>
      <c r="J63" s="110"/>
      <c r="K63" s="110"/>
      <c r="L63" s="111"/>
      <c r="M63" s="66" t="s">
        <v>4453</v>
      </c>
      <c r="N63" s="66"/>
      <c r="O63" s="112" t="str">
        <f t="shared" si="6"/>
        <v/>
      </c>
      <c r="P63" s="111"/>
    </row>
    <row r="64" spans="1:16" ht="19.5" customHeight="1" x14ac:dyDescent="0.25">
      <c r="A64" s="104" t="s">
        <v>4414</v>
      </c>
      <c r="B64" s="66" t="s">
        <v>587</v>
      </c>
      <c r="C64" s="66" t="s">
        <v>46</v>
      </c>
      <c r="D64" s="105" t="s">
        <v>4451</v>
      </c>
      <c r="E64" s="106" t="s">
        <v>30</v>
      </c>
      <c r="F64" s="107" t="s">
        <v>4513</v>
      </c>
      <c r="G64" s="108">
        <v>1.5</v>
      </c>
      <c r="H64" s="109">
        <f>WORKDAY(I54,1)</f>
        <v>46147</v>
      </c>
      <c r="I64" s="109">
        <f>WORKDAY(H64,1)</f>
        <v>46148</v>
      </c>
      <c r="J64" s="110"/>
      <c r="K64" s="110"/>
      <c r="L64" s="111"/>
      <c r="M64" s="66" t="s">
        <v>4453</v>
      </c>
      <c r="N64" s="66"/>
      <c r="O64" s="112" t="str">
        <f t="shared" si="6"/>
        <v/>
      </c>
      <c r="P64" s="111"/>
    </row>
    <row r="65" spans="1:16" ht="19.5" customHeight="1" x14ac:dyDescent="0.25">
      <c r="A65" s="104" t="s">
        <v>4414</v>
      </c>
      <c r="B65" s="66" t="s">
        <v>587</v>
      </c>
      <c r="C65" s="66" t="s">
        <v>53</v>
      </c>
      <c r="D65" s="105" t="s">
        <v>4451</v>
      </c>
      <c r="E65" s="106" t="s">
        <v>30</v>
      </c>
      <c r="F65" s="107" t="s">
        <v>4514</v>
      </c>
      <c r="G65" s="108">
        <v>1.5</v>
      </c>
      <c r="H65" s="109">
        <f>WORKDAY(I54,1)</f>
        <v>46147</v>
      </c>
      <c r="I65" s="109">
        <f>WORKDAY(H65,1)</f>
        <v>46148</v>
      </c>
      <c r="J65" s="110"/>
      <c r="K65" s="110"/>
      <c r="L65" s="111"/>
      <c r="M65" s="66" t="s">
        <v>4453</v>
      </c>
      <c r="N65" s="66"/>
      <c r="O65" s="112" t="str">
        <f t="shared" si="6"/>
        <v/>
      </c>
      <c r="P65" s="111"/>
    </row>
    <row r="66" spans="1:16" ht="19.5" customHeight="1" x14ac:dyDescent="0.25">
      <c r="A66" s="104" t="s">
        <v>4414</v>
      </c>
      <c r="B66" s="66" t="s">
        <v>634</v>
      </c>
      <c r="C66" s="66" t="s">
        <v>26</v>
      </c>
      <c r="D66" s="105" t="s">
        <v>4451</v>
      </c>
      <c r="E66" s="106" t="s">
        <v>30</v>
      </c>
      <c r="F66" s="107" t="s">
        <v>4515</v>
      </c>
      <c r="G66" s="108">
        <v>1.25</v>
      </c>
      <c r="H66" s="109">
        <f>WORKDAY(I54,1)</f>
        <v>46147</v>
      </c>
      <c r="I66" s="109">
        <f t="shared" ref="I66:I88" si="7">H66</f>
        <v>46147</v>
      </c>
      <c r="J66" s="110"/>
      <c r="K66" s="110"/>
      <c r="L66" s="111"/>
      <c r="M66" s="66" t="s">
        <v>4453</v>
      </c>
      <c r="N66" s="66"/>
      <c r="O66" s="112" t="str">
        <f t="shared" si="6"/>
        <v/>
      </c>
      <c r="P66" s="111"/>
    </row>
    <row r="67" spans="1:16" ht="19.5" customHeight="1" x14ac:dyDescent="0.25">
      <c r="A67" s="104" t="s">
        <v>4414</v>
      </c>
      <c r="B67" s="66" t="s">
        <v>634</v>
      </c>
      <c r="C67" s="66" t="s">
        <v>38</v>
      </c>
      <c r="D67" s="105" t="s">
        <v>4451</v>
      </c>
      <c r="E67" s="106" t="s">
        <v>30</v>
      </c>
      <c r="F67" s="107" t="s">
        <v>4516</v>
      </c>
      <c r="G67" s="108">
        <v>1</v>
      </c>
      <c r="H67" s="109">
        <f>WORKDAY(I54,1)</f>
        <v>46147</v>
      </c>
      <c r="I67" s="109">
        <f t="shared" si="7"/>
        <v>46147</v>
      </c>
      <c r="J67" s="110"/>
      <c r="K67" s="110"/>
      <c r="L67" s="111"/>
      <c r="M67" s="66" t="s">
        <v>4453</v>
      </c>
      <c r="N67" s="66"/>
      <c r="O67" s="112" t="str">
        <f t="shared" si="6"/>
        <v/>
      </c>
      <c r="P67" s="111"/>
    </row>
    <row r="68" spans="1:16" ht="19.5" customHeight="1" x14ac:dyDescent="0.25">
      <c r="A68" s="104" t="s">
        <v>4414</v>
      </c>
      <c r="B68" s="66" t="s">
        <v>634</v>
      </c>
      <c r="C68" s="66" t="s">
        <v>46</v>
      </c>
      <c r="D68" s="105" t="s">
        <v>4451</v>
      </c>
      <c r="E68" s="106" t="s">
        <v>30</v>
      </c>
      <c r="F68" s="107" t="s">
        <v>4517</v>
      </c>
      <c r="G68" s="108">
        <v>1.25</v>
      </c>
      <c r="H68" s="109">
        <f>WORKDAY(I54,1)</f>
        <v>46147</v>
      </c>
      <c r="I68" s="109">
        <f t="shared" si="7"/>
        <v>46147</v>
      </c>
      <c r="J68" s="110"/>
      <c r="K68" s="110"/>
      <c r="L68" s="111"/>
      <c r="M68" s="66" t="s">
        <v>4453</v>
      </c>
      <c r="N68" s="66"/>
      <c r="O68" s="112" t="str">
        <f t="shared" si="6"/>
        <v/>
      </c>
      <c r="P68" s="111"/>
    </row>
    <row r="69" spans="1:16" ht="19.5" customHeight="1" x14ac:dyDescent="0.25">
      <c r="A69" s="104" t="s">
        <v>4414</v>
      </c>
      <c r="B69" s="66" t="s">
        <v>680</v>
      </c>
      <c r="C69" s="66" t="s">
        <v>26</v>
      </c>
      <c r="D69" s="105" t="s">
        <v>4451</v>
      </c>
      <c r="E69" s="106" t="s">
        <v>30</v>
      </c>
      <c r="F69" s="107" t="s">
        <v>4518</v>
      </c>
      <c r="G69" s="108">
        <v>1.25</v>
      </c>
      <c r="H69" s="109">
        <f>WORKDAY(I54,1)</f>
        <v>46147</v>
      </c>
      <c r="I69" s="109">
        <f t="shared" si="7"/>
        <v>46147</v>
      </c>
      <c r="J69" s="110"/>
      <c r="K69" s="110"/>
      <c r="L69" s="111"/>
      <c r="M69" s="66" t="s">
        <v>4453</v>
      </c>
      <c r="N69" s="66"/>
      <c r="O69" s="112" t="str">
        <f t="shared" si="6"/>
        <v/>
      </c>
      <c r="P69" s="111"/>
    </row>
    <row r="70" spans="1:16" ht="19.5" customHeight="1" x14ac:dyDescent="0.25">
      <c r="A70" s="104" t="s">
        <v>4414</v>
      </c>
      <c r="B70" s="66" t="s">
        <v>680</v>
      </c>
      <c r="C70" s="66" t="s">
        <v>38</v>
      </c>
      <c r="D70" s="105" t="s">
        <v>4451</v>
      </c>
      <c r="E70" s="106" t="s">
        <v>30</v>
      </c>
      <c r="F70" s="107" t="s">
        <v>4519</v>
      </c>
      <c r="G70" s="108">
        <v>1.25</v>
      </c>
      <c r="H70" s="109">
        <f>WORKDAY(I54,1)</f>
        <v>46147</v>
      </c>
      <c r="I70" s="109">
        <f t="shared" si="7"/>
        <v>46147</v>
      </c>
      <c r="J70" s="110"/>
      <c r="K70" s="110"/>
      <c r="L70" s="111"/>
      <c r="M70" s="66" t="s">
        <v>4453</v>
      </c>
      <c r="N70" s="66"/>
      <c r="O70" s="112" t="str">
        <f t="shared" si="6"/>
        <v/>
      </c>
      <c r="P70" s="111"/>
    </row>
    <row r="71" spans="1:16" ht="19.5" customHeight="1" x14ac:dyDescent="0.25">
      <c r="A71" s="104" t="s">
        <v>4414</v>
      </c>
      <c r="B71" s="66" t="s">
        <v>680</v>
      </c>
      <c r="C71" s="66" t="s">
        <v>46</v>
      </c>
      <c r="D71" s="105" t="s">
        <v>4451</v>
      </c>
      <c r="E71" s="106" t="s">
        <v>30</v>
      </c>
      <c r="F71" s="107" t="s">
        <v>4520</v>
      </c>
      <c r="G71" s="108">
        <v>1</v>
      </c>
      <c r="H71" s="109">
        <f>WORKDAY(I54,1)</f>
        <v>46147</v>
      </c>
      <c r="I71" s="109">
        <f t="shared" si="7"/>
        <v>46147</v>
      </c>
      <c r="J71" s="110"/>
      <c r="K71" s="110"/>
      <c r="L71" s="111"/>
      <c r="M71" s="66" t="s">
        <v>4453</v>
      </c>
      <c r="N71" s="66"/>
      <c r="O71" s="112" t="str">
        <f t="shared" si="6"/>
        <v/>
      </c>
      <c r="P71" s="111"/>
    </row>
    <row r="72" spans="1:16" ht="19.5" customHeight="1" x14ac:dyDescent="0.25">
      <c r="A72" s="104" t="s">
        <v>4414</v>
      </c>
      <c r="B72" s="66" t="s">
        <v>723</v>
      </c>
      <c r="C72" s="66" t="s">
        <v>26</v>
      </c>
      <c r="D72" s="105" t="s">
        <v>4451</v>
      </c>
      <c r="E72" s="106" t="s">
        <v>30</v>
      </c>
      <c r="F72" s="107" t="s">
        <v>4521</v>
      </c>
      <c r="G72" s="108">
        <v>1</v>
      </c>
      <c r="H72" s="109">
        <f>WORKDAY(I54,1)</f>
        <v>46147</v>
      </c>
      <c r="I72" s="109">
        <f t="shared" si="7"/>
        <v>46147</v>
      </c>
      <c r="J72" s="110"/>
      <c r="K72" s="110"/>
      <c r="L72" s="111"/>
      <c r="M72" s="66" t="s">
        <v>4453</v>
      </c>
      <c r="N72" s="66"/>
      <c r="O72" s="112" t="str">
        <f t="shared" si="6"/>
        <v/>
      </c>
      <c r="P72" s="111"/>
    </row>
    <row r="73" spans="1:16" ht="19.5" customHeight="1" x14ac:dyDescent="0.25">
      <c r="A73" s="104" t="s">
        <v>4414</v>
      </c>
      <c r="B73" s="66" t="s">
        <v>723</v>
      </c>
      <c r="C73" s="66" t="s">
        <v>38</v>
      </c>
      <c r="D73" s="105" t="s">
        <v>4451</v>
      </c>
      <c r="E73" s="106" t="s">
        <v>30</v>
      </c>
      <c r="F73" s="107" t="s">
        <v>4522</v>
      </c>
      <c r="G73" s="108">
        <v>1</v>
      </c>
      <c r="H73" s="109">
        <f>WORKDAY(I54,1)</f>
        <v>46147</v>
      </c>
      <c r="I73" s="109">
        <f t="shared" si="7"/>
        <v>46147</v>
      </c>
      <c r="J73" s="110"/>
      <c r="K73" s="110"/>
      <c r="L73" s="111"/>
      <c r="M73" s="66" t="s">
        <v>4453</v>
      </c>
      <c r="N73" s="66"/>
      <c r="O73" s="112" t="str">
        <f t="shared" si="6"/>
        <v/>
      </c>
      <c r="P73" s="111"/>
    </row>
    <row r="74" spans="1:16" ht="19.5" customHeight="1" x14ac:dyDescent="0.25">
      <c r="A74" s="104" t="s">
        <v>4414</v>
      </c>
      <c r="B74" s="66" t="s">
        <v>2077</v>
      </c>
      <c r="C74" s="66" t="s">
        <v>26</v>
      </c>
      <c r="D74" s="105" t="s">
        <v>4451</v>
      </c>
      <c r="E74" s="106" t="s">
        <v>30</v>
      </c>
      <c r="F74" s="107" t="s">
        <v>4523</v>
      </c>
      <c r="G74" s="108">
        <v>1.25</v>
      </c>
      <c r="H74" s="109">
        <f>WORKDAY(I54,1)</f>
        <v>46147</v>
      </c>
      <c r="I74" s="109">
        <f t="shared" si="7"/>
        <v>46147</v>
      </c>
      <c r="J74" s="110"/>
      <c r="K74" s="110"/>
      <c r="L74" s="111"/>
      <c r="M74" s="66" t="s">
        <v>4453</v>
      </c>
      <c r="N74" s="66"/>
      <c r="O74" s="112" t="str">
        <f t="shared" si="6"/>
        <v/>
      </c>
      <c r="P74" s="111"/>
    </row>
    <row r="75" spans="1:16" ht="19.5" customHeight="1" x14ac:dyDescent="0.25">
      <c r="A75" s="104" t="s">
        <v>4414</v>
      </c>
      <c r="B75" s="66" t="s">
        <v>2077</v>
      </c>
      <c r="C75" s="66" t="s">
        <v>38</v>
      </c>
      <c r="D75" s="105" t="s">
        <v>4451</v>
      </c>
      <c r="E75" s="106" t="s">
        <v>30</v>
      </c>
      <c r="F75" s="107" t="s">
        <v>4524</v>
      </c>
      <c r="G75" s="108">
        <v>0.5</v>
      </c>
      <c r="H75" s="109">
        <f>WORKDAY(I54,1)</f>
        <v>46147</v>
      </c>
      <c r="I75" s="109">
        <f t="shared" si="7"/>
        <v>46147</v>
      </c>
      <c r="J75" s="110"/>
      <c r="K75" s="110"/>
      <c r="L75" s="111"/>
      <c r="M75" s="66" t="s">
        <v>4453</v>
      </c>
      <c r="N75" s="66"/>
      <c r="O75" s="112" t="str">
        <f t="shared" si="6"/>
        <v/>
      </c>
      <c r="P75" s="111"/>
    </row>
    <row r="76" spans="1:16" ht="19.5" customHeight="1" x14ac:dyDescent="0.25">
      <c r="A76" s="104" t="s">
        <v>4414</v>
      </c>
      <c r="B76" s="66" t="s">
        <v>2077</v>
      </c>
      <c r="C76" s="66" t="s">
        <v>46</v>
      </c>
      <c r="D76" s="105" t="s">
        <v>4451</v>
      </c>
      <c r="E76" s="106" t="s">
        <v>30</v>
      </c>
      <c r="F76" s="107" t="s">
        <v>4525</v>
      </c>
      <c r="G76" s="108">
        <v>0.5</v>
      </c>
      <c r="H76" s="109">
        <f>WORKDAY(I54,1)</f>
        <v>46147</v>
      </c>
      <c r="I76" s="109">
        <f t="shared" si="7"/>
        <v>46147</v>
      </c>
      <c r="J76" s="110"/>
      <c r="K76" s="110"/>
      <c r="L76" s="111"/>
      <c r="M76" s="66" t="s">
        <v>4453</v>
      </c>
      <c r="N76" s="66"/>
      <c r="O76" s="112" t="str">
        <f t="shared" si="6"/>
        <v/>
      </c>
      <c r="P76" s="111"/>
    </row>
    <row r="77" spans="1:16" ht="19.5" customHeight="1" x14ac:dyDescent="0.25">
      <c r="A77" s="104" t="s">
        <v>4414</v>
      </c>
      <c r="B77" s="66" t="s">
        <v>2137</v>
      </c>
      <c r="C77" s="66" t="s">
        <v>26</v>
      </c>
      <c r="D77" s="105" t="s">
        <v>4451</v>
      </c>
      <c r="E77" s="106" t="s">
        <v>30</v>
      </c>
      <c r="F77" s="107" t="s">
        <v>4526</v>
      </c>
      <c r="G77" s="108">
        <v>1.25</v>
      </c>
      <c r="H77" s="109">
        <f>WORKDAY(I54,1)</f>
        <v>46147</v>
      </c>
      <c r="I77" s="109">
        <f t="shared" si="7"/>
        <v>46147</v>
      </c>
      <c r="J77" s="110"/>
      <c r="K77" s="110"/>
      <c r="L77" s="111"/>
      <c r="M77" s="66" t="s">
        <v>4453</v>
      </c>
      <c r="N77" s="66"/>
      <c r="O77" s="112" t="str">
        <f t="shared" si="6"/>
        <v/>
      </c>
      <c r="P77" s="111"/>
    </row>
    <row r="78" spans="1:16" ht="19.5" customHeight="1" x14ac:dyDescent="0.25">
      <c r="A78" s="104" t="s">
        <v>4414</v>
      </c>
      <c r="B78" s="66" t="s">
        <v>2137</v>
      </c>
      <c r="C78" s="66" t="s">
        <v>38</v>
      </c>
      <c r="D78" s="105" t="s">
        <v>4451</v>
      </c>
      <c r="E78" s="106" t="s">
        <v>30</v>
      </c>
      <c r="F78" s="107" t="s">
        <v>4527</v>
      </c>
      <c r="G78" s="108">
        <v>1.25</v>
      </c>
      <c r="H78" s="109">
        <f>WORKDAY(I54,1)</f>
        <v>46147</v>
      </c>
      <c r="I78" s="109">
        <f t="shared" si="7"/>
        <v>46147</v>
      </c>
      <c r="J78" s="110"/>
      <c r="K78" s="110"/>
      <c r="L78" s="111"/>
      <c r="M78" s="66" t="s">
        <v>4453</v>
      </c>
      <c r="N78" s="66"/>
      <c r="O78" s="112" t="str">
        <f t="shared" si="6"/>
        <v/>
      </c>
      <c r="P78" s="111"/>
    </row>
    <row r="79" spans="1:16" ht="19.5" customHeight="1" x14ac:dyDescent="0.25">
      <c r="A79" s="104" t="s">
        <v>4414</v>
      </c>
      <c r="B79" s="66" t="s">
        <v>2137</v>
      </c>
      <c r="C79" s="66" t="s">
        <v>46</v>
      </c>
      <c r="D79" s="105" t="s">
        <v>4451</v>
      </c>
      <c r="E79" s="106" t="s">
        <v>30</v>
      </c>
      <c r="F79" s="107" t="s">
        <v>4528</v>
      </c>
      <c r="G79" s="108">
        <v>1.25</v>
      </c>
      <c r="H79" s="109">
        <f>WORKDAY(I54,1)</f>
        <v>46147</v>
      </c>
      <c r="I79" s="109">
        <f t="shared" si="7"/>
        <v>46147</v>
      </c>
      <c r="J79" s="110"/>
      <c r="K79" s="110"/>
      <c r="L79" s="111"/>
      <c r="M79" s="66" t="s">
        <v>4453</v>
      </c>
      <c r="N79" s="66"/>
      <c r="O79" s="112" t="str">
        <f t="shared" si="6"/>
        <v/>
      </c>
      <c r="P79" s="111"/>
    </row>
    <row r="80" spans="1:16" ht="19.5" customHeight="1" x14ac:dyDescent="0.25">
      <c r="A80" s="104" t="s">
        <v>4414</v>
      </c>
      <c r="B80" s="66" t="s">
        <v>2137</v>
      </c>
      <c r="C80" s="66" t="s">
        <v>53</v>
      </c>
      <c r="D80" s="105" t="s">
        <v>4451</v>
      </c>
      <c r="E80" s="106" t="s">
        <v>30</v>
      </c>
      <c r="F80" s="107" t="s">
        <v>4529</v>
      </c>
      <c r="G80" s="108">
        <v>1</v>
      </c>
      <c r="H80" s="109">
        <f>WORKDAY(I54,1)</f>
        <v>46147</v>
      </c>
      <c r="I80" s="109">
        <f t="shared" si="7"/>
        <v>46147</v>
      </c>
      <c r="J80" s="110"/>
      <c r="K80" s="110"/>
      <c r="L80" s="111"/>
      <c r="M80" s="66" t="s">
        <v>4453</v>
      </c>
      <c r="N80" s="66"/>
      <c r="O80" s="112" t="str">
        <f t="shared" si="6"/>
        <v/>
      </c>
      <c r="P80" s="111"/>
    </row>
    <row r="81" spans="1:16" ht="19.5" customHeight="1" x14ac:dyDescent="0.25">
      <c r="A81" s="104" t="s">
        <v>4414</v>
      </c>
      <c r="B81" s="66" t="s">
        <v>2222</v>
      </c>
      <c r="C81" s="66" t="s">
        <v>26</v>
      </c>
      <c r="D81" s="105" t="s">
        <v>4451</v>
      </c>
      <c r="E81" s="106" t="s">
        <v>30</v>
      </c>
      <c r="F81" s="107" t="s">
        <v>4530</v>
      </c>
      <c r="G81" s="108">
        <v>1.25</v>
      </c>
      <c r="H81" s="109">
        <f>WORKDAY(I54,1)</f>
        <v>46147</v>
      </c>
      <c r="I81" s="109">
        <f t="shared" si="7"/>
        <v>46147</v>
      </c>
      <c r="J81" s="110"/>
      <c r="K81" s="110"/>
      <c r="L81" s="111"/>
      <c r="M81" s="66" t="s">
        <v>4453</v>
      </c>
      <c r="N81" s="66"/>
      <c r="O81" s="112" t="str">
        <f t="shared" si="6"/>
        <v/>
      </c>
      <c r="P81" s="111"/>
    </row>
    <row r="82" spans="1:16" ht="19.5" customHeight="1" x14ac:dyDescent="0.25">
      <c r="A82" s="104" t="s">
        <v>4414</v>
      </c>
      <c r="B82" s="66" t="s">
        <v>2222</v>
      </c>
      <c r="C82" s="66" t="s">
        <v>38</v>
      </c>
      <c r="D82" s="105" t="s">
        <v>4451</v>
      </c>
      <c r="E82" s="106" t="s">
        <v>30</v>
      </c>
      <c r="F82" s="107" t="s">
        <v>4531</v>
      </c>
      <c r="G82" s="108">
        <v>1.25</v>
      </c>
      <c r="H82" s="109">
        <f>WORKDAY(I54,1)</f>
        <v>46147</v>
      </c>
      <c r="I82" s="109">
        <f t="shared" si="7"/>
        <v>46147</v>
      </c>
      <c r="J82" s="110"/>
      <c r="K82" s="110"/>
      <c r="L82" s="111"/>
      <c r="M82" s="66" t="s">
        <v>4453</v>
      </c>
      <c r="N82" s="66"/>
      <c r="O82" s="112" t="str">
        <f t="shared" si="6"/>
        <v/>
      </c>
      <c r="P82" s="111"/>
    </row>
    <row r="83" spans="1:16" ht="19.5" customHeight="1" x14ac:dyDescent="0.25">
      <c r="A83" s="104" t="s">
        <v>4414</v>
      </c>
      <c r="B83" s="66" t="s">
        <v>2222</v>
      </c>
      <c r="C83" s="66" t="s">
        <v>46</v>
      </c>
      <c r="D83" s="105" t="s">
        <v>4451</v>
      </c>
      <c r="E83" s="106" t="s">
        <v>30</v>
      </c>
      <c r="F83" s="107" t="s">
        <v>4532</v>
      </c>
      <c r="G83" s="108">
        <v>1</v>
      </c>
      <c r="H83" s="109">
        <f>WORKDAY(I54,1)</f>
        <v>46147</v>
      </c>
      <c r="I83" s="109">
        <f t="shared" si="7"/>
        <v>46147</v>
      </c>
      <c r="J83" s="110"/>
      <c r="K83" s="110"/>
      <c r="L83" s="111"/>
      <c r="M83" s="66" t="s">
        <v>4453</v>
      </c>
      <c r="N83" s="66"/>
      <c r="O83" s="112" t="str">
        <f t="shared" si="6"/>
        <v/>
      </c>
      <c r="P83" s="111"/>
    </row>
    <row r="84" spans="1:16" ht="19.5" customHeight="1" x14ac:dyDescent="0.25">
      <c r="A84" s="104" t="s">
        <v>4414</v>
      </c>
      <c r="B84" s="66" t="s">
        <v>2288</v>
      </c>
      <c r="C84" s="66" t="s">
        <v>26</v>
      </c>
      <c r="D84" s="105" t="s">
        <v>4451</v>
      </c>
      <c r="E84" s="106" t="s">
        <v>30</v>
      </c>
      <c r="F84" s="107" t="s">
        <v>4533</v>
      </c>
      <c r="G84" s="108">
        <v>1.25</v>
      </c>
      <c r="H84" s="109">
        <f>WORKDAY(I54,1)</f>
        <v>46147</v>
      </c>
      <c r="I84" s="109">
        <f t="shared" si="7"/>
        <v>46147</v>
      </c>
      <c r="J84" s="110"/>
      <c r="K84" s="110"/>
      <c r="L84" s="111"/>
      <c r="M84" s="66" t="s">
        <v>4453</v>
      </c>
      <c r="N84" s="66"/>
      <c r="O84" s="112" t="str">
        <f t="shared" si="6"/>
        <v/>
      </c>
      <c r="P84" s="111"/>
    </row>
    <row r="85" spans="1:16" ht="19.5" customHeight="1" x14ac:dyDescent="0.25">
      <c r="A85" s="104" t="s">
        <v>4414</v>
      </c>
      <c r="B85" s="66" t="s">
        <v>2288</v>
      </c>
      <c r="C85" s="66" t="s">
        <v>38</v>
      </c>
      <c r="D85" s="105" t="s">
        <v>4451</v>
      </c>
      <c r="E85" s="106" t="s">
        <v>30</v>
      </c>
      <c r="F85" s="107" t="s">
        <v>4534</v>
      </c>
      <c r="G85" s="108">
        <v>1.25</v>
      </c>
      <c r="H85" s="109">
        <f>WORKDAY(I54,1)</f>
        <v>46147</v>
      </c>
      <c r="I85" s="109">
        <f t="shared" si="7"/>
        <v>46147</v>
      </c>
      <c r="J85" s="110"/>
      <c r="K85" s="110"/>
      <c r="L85" s="111"/>
      <c r="M85" s="66" t="s">
        <v>4453</v>
      </c>
      <c r="N85" s="66"/>
      <c r="O85" s="112" t="str">
        <f t="shared" si="6"/>
        <v/>
      </c>
      <c r="P85" s="111"/>
    </row>
    <row r="86" spans="1:16" ht="19.5" customHeight="1" x14ac:dyDescent="0.25">
      <c r="A86" s="104" t="s">
        <v>4414</v>
      </c>
      <c r="B86" s="66" t="s">
        <v>2288</v>
      </c>
      <c r="C86" s="66" t="s">
        <v>46</v>
      </c>
      <c r="D86" s="105" t="s">
        <v>4451</v>
      </c>
      <c r="E86" s="106" t="s">
        <v>30</v>
      </c>
      <c r="F86" s="107" t="s">
        <v>4535</v>
      </c>
      <c r="G86" s="108">
        <v>1</v>
      </c>
      <c r="H86" s="109">
        <f>WORKDAY(I54,1)</f>
        <v>46147</v>
      </c>
      <c r="I86" s="109">
        <f t="shared" si="7"/>
        <v>46147</v>
      </c>
      <c r="J86" s="110"/>
      <c r="K86" s="110"/>
      <c r="L86" s="111"/>
      <c r="M86" s="66" t="s">
        <v>4453</v>
      </c>
      <c r="N86" s="66"/>
      <c r="O86" s="112" t="str">
        <f t="shared" si="6"/>
        <v/>
      </c>
      <c r="P86" s="111"/>
    </row>
    <row r="87" spans="1:16" ht="19.5" customHeight="1" x14ac:dyDescent="0.25">
      <c r="A87" s="104" t="s">
        <v>4414</v>
      </c>
      <c r="B87" s="66" t="s">
        <v>2351</v>
      </c>
      <c r="C87" s="66" t="s">
        <v>26</v>
      </c>
      <c r="D87" s="105" t="s">
        <v>4451</v>
      </c>
      <c r="E87" s="106" t="s">
        <v>30</v>
      </c>
      <c r="F87" s="107" t="s">
        <v>4536</v>
      </c>
      <c r="G87" s="108">
        <v>1</v>
      </c>
      <c r="H87" s="109">
        <f>WORKDAY(I54,1)</f>
        <v>46147</v>
      </c>
      <c r="I87" s="109">
        <f t="shared" si="7"/>
        <v>46147</v>
      </c>
      <c r="J87" s="110"/>
      <c r="K87" s="110"/>
      <c r="L87" s="111"/>
      <c r="M87" s="66" t="s">
        <v>4453</v>
      </c>
      <c r="N87" s="66"/>
      <c r="O87" s="112" t="str">
        <f t="shared" si="6"/>
        <v/>
      </c>
      <c r="P87" s="111"/>
    </row>
    <row r="88" spans="1:16" ht="19.5" customHeight="1" x14ac:dyDescent="0.25">
      <c r="A88" s="104" t="s">
        <v>4414</v>
      </c>
      <c r="B88" s="66" t="s">
        <v>2394</v>
      </c>
      <c r="C88" s="66" t="s">
        <v>26</v>
      </c>
      <c r="D88" s="105" t="s">
        <v>4451</v>
      </c>
      <c r="E88" s="106" t="s">
        <v>30</v>
      </c>
      <c r="F88" s="107" t="s">
        <v>4537</v>
      </c>
      <c r="G88" s="108">
        <v>1.25</v>
      </c>
      <c r="H88" s="109">
        <f>WORKDAY(I54,1)</f>
        <v>46147</v>
      </c>
      <c r="I88" s="109">
        <f t="shared" si="7"/>
        <v>46147</v>
      </c>
      <c r="J88" s="110"/>
      <c r="K88" s="110"/>
      <c r="L88" s="111"/>
      <c r="M88" s="66" t="s">
        <v>4453</v>
      </c>
      <c r="N88" s="66"/>
      <c r="O88" s="112" t="str">
        <f t="shared" ref="O88:O119" si="8">IF(AND(J88&lt;&gt;"",K88&lt;&gt;""),NETWORKDAYS(J88,K88)-1-G88,"")</f>
        <v/>
      </c>
      <c r="P88" s="111"/>
    </row>
    <row r="89" spans="1:16" ht="19.5" customHeight="1" x14ac:dyDescent="0.25">
      <c r="A89" s="104" t="s">
        <v>4414</v>
      </c>
      <c r="B89" s="66" t="s">
        <v>2394</v>
      </c>
      <c r="C89" s="66" t="s">
        <v>38</v>
      </c>
      <c r="D89" s="105" t="s">
        <v>4451</v>
      </c>
      <c r="E89" s="106" t="s">
        <v>30</v>
      </c>
      <c r="F89" s="107" t="s">
        <v>4538</v>
      </c>
      <c r="G89" s="108">
        <v>1.75</v>
      </c>
      <c r="H89" s="109">
        <f>WORKDAY(I54,1)</f>
        <v>46147</v>
      </c>
      <c r="I89" s="109">
        <f>WORKDAY(H89,1)</f>
        <v>46148</v>
      </c>
      <c r="J89" s="110"/>
      <c r="K89" s="110"/>
      <c r="L89" s="111"/>
      <c r="M89" s="66" t="s">
        <v>4453</v>
      </c>
      <c r="N89" s="66"/>
      <c r="O89" s="112" t="str">
        <f t="shared" si="8"/>
        <v/>
      </c>
      <c r="P89" s="111"/>
    </row>
    <row r="90" spans="1:16" ht="19.5" customHeight="1" x14ac:dyDescent="0.25">
      <c r="A90" s="104" t="s">
        <v>4414</v>
      </c>
      <c r="B90" s="66" t="s">
        <v>2439</v>
      </c>
      <c r="C90" s="66" t="s">
        <v>26</v>
      </c>
      <c r="D90" s="105" t="s">
        <v>4451</v>
      </c>
      <c r="E90" s="106" t="s">
        <v>30</v>
      </c>
      <c r="F90" s="107" t="s">
        <v>4539</v>
      </c>
      <c r="G90" s="108">
        <v>1</v>
      </c>
      <c r="H90" s="109">
        <f>WORKDAY(I54,1)</f>
        <v>46147</v>
      </c>
      <c r="I90" s="109">
        <f t="shared" ref="I90:I98" si="9">H90</f>
        <v>46147</v>
      </c>
      <c r="J90" s="110"/>
      <c r="K90" s="110"/>
      <c r="L90" s="111"/>
      <c r="M90" s="66" t="s">
        <v>4453</v>
      </c>
      <c r="N90" s="66"/>
      <c r="O90" s="112" t="str">
        <f t="shared" si="8"/>
        <v/>
      </c>
      <c r="P90" s="111"/>
    </row>
    <row r="91" spans="1:16" ht="19.5" customHeight="1" x14ac:dyDescent="0.25">
      <c r="A91" s="104" t="s">
        <v>4414</v>
      </c>
      <c r="B91" s="66" t="s">
        <v>2439</v>
      </c>
      <c r="C91" s="66" t="s">
        <v>38</v>
      </c>
      <c r="D91" s="105" t="s">
        <v>4451</v>
      </c>
      <c r="E91" s="106" t="s">
        <v>30</v>
      </c>
      <c r="F91" s="107" t="s">
        <v>4540</v>
      </c>
      <c r="G91" s="108">
        <v>1</v>
      </c>
      <c r="H91" s="109">
        <f>WORKDAY(I54,1)</f>
        <v>46147</v>
      </c>
      <c r="I91" s="109">
        <f t="shared" si="9"/>
        <v>46147</v>
      </c>
      <c r="J91" s="110"/>
      <c r="K91" s="110"/>
      <c r="L91" s="111"/>
      <c r="M91" s="66" t="s">
        <v>4453</v>
      </c>
      <c r="N91" s="66"/>
      <c r="O91" s="112" t="str">
        <f t="shared" si="8"/>
        <v/>
      </c>
      <c r="P91" s="111"/>
    </row>
    <row r="92" spans="1:16" ht="19.5" customHeight="1" x14ac:dyDescent="0.25">
      <c r="A92" s="104" t="s">
        <v>4414</v>
      </c>
      <c r="B92" s="66" t="s">
        <v>2439</v>
      </c>
      <c r="C92" s="66" t="s">
        <v>46</v>
      </c>
      <c r="D92" s="105" t="s">
        <v>4451</v>
      </c>
      <c r="E92" s="106" t="s">
        <v>30</v>
      </c>
      <c r="F92" s="107" t="s">
        <v>4541</v>
      </c>
      <c r="G92" s="108">
        <v>1</v>
      </c>
      <c r="H92" s="109">
        <f>WORKDAY(I54,1)</f>
        <v>46147</v>
      </c>
      <c r="I92" s="109">
        <f t="shared" si="9"/>
        <v>46147</v>
      </c>
      <c r="J92" s="110"/>
      <c r="K92" s="110"/>
      <c r="L92" s="111"/>
      <c r="M92" s="66" t="s">
        <v>4453</v>
      </c>
      <c r="N92" s="66"/>
      <c r="O92" s="112" t="str">
        <f t="shared" si="8"/>
        <v/>
      </c>
      <c r="P92" s="111"/>
    </row>
    <row r="93" spans="1:16" ht="19.5" customHeight="1" x14ac:dyDescent="0.25">
      <c r="A93" s="104" t="s">
        <v>4414</v>
      </c>
      <c r="B93" s="66" t="s">
        <v>2509</v>
      </c>
      <c r="C93" s="66" t="s">
        <v>26</v>
      </c>
      <c r="D93" s="105" t="s">
        <v>4451</v>
      </c>
      <c r="E93" s="106" t="s">
        <v>30</v>
      </c>
      <c r="F93" s="107" t="s">
        <v>4542</v>
      </c>
      <c r="G93" s="108">
        <v>1</v>
      </c>
      <c r="H93" s="109">
        <f>WORKDAY(I54,1)</f>
        <v>46147</v>
      </c>
      <c r="I93" s="109">
        <f t="shared" si="9"/>
        <v>46147</v>
      </c>
      <c r="J93" s="110"/>
      <c r="K93" s="110"/>
      <c r="L93" s="111"/>
      <c r="M93" s="66" t="s">
        <v>4453</v>
      </c>
      <c r="N93" s="66"/>
      <c r="O93" s="112" t="str">
        <f t="shared" si="8"/>
        <v/>
      </c>
      <c r="P93" s="111"/>
    </row>
    <row r="94" spans="1:16" ht="19.5" customHeight="1" x14ac:dyDescent="0.25">
      <c r="A94" s="104" t="s">
        <v>4414</v>
      </c>
      <c r="B94" s="66" t="s">
        <v>2509</v>
      </c>
      <c r="C94" s="66" t="s">
        <v>38</v>
      </c>
      <c r="D94" s="105" t="s">
        <v>4451</v>
      </c>
      <c r="E94" s="106" t="s">
        <v>30</v>
      </c>
      <c r="F94" s="107" t="s">
        <v>4543</v>
      </c>
      <c r="G94" s="108">
        <v>1.25</v>
      </c>
      <c r="H94" s="109">
        <f>WORKDAY(I54,1)</f>
        <v>46147</v>
      </c>
      <c r="I94" s="109">
        <f t="shared" si="9"/>
        <v>46147</v>
      </c>
      <c r="J94" s="110"/>
      <c r="K94" s="110"/>
      <c r="L94" s="111"/>
      <c r="M94" s="66" t="s">
        <v>4453</v>
      </c>
      <c r="N94" s="66"/>
      <c r="O94" s="112" t="str">
        <f t="shared" si="8"/>
        <v/>
      </c>
      <c r="P94" s="111"/>
    </row>
    <row r="95" spans="1:16" ht="19.5" customHeight="1" x14ac:dyDescent="0.25">
      <c r="A95" s="104" t="s">
        <v>4414</v>
      </c>
      <c r="B95" s="66" t="s">
        <v>2509</v>
      </c>
      <c r="C95" s="66" t="s">
        <v>46</v>
      </c>
      <c r="D95" s="105" t="s">
        <v>4451</v>
      </c>
      <c r="E95" s="106" t="s">
        <v>30</v>
      </c>
      <c r="F95" s="107" t="s">
        <v>4544</v>
      </c>
      <c r="G95" s="108">
        <v>1</v>
      </c>
      <c r="H95" s="109">
        <f>WORKDAY(I54,1)</f>
        <v>46147</v>
      </c>
      <c r="I95" s="109">
        <f t="shared" si="9"/>
        <v>46147</v>
      </c>
      <c r="J95" s="110"/>
      <c r="K95" s="110"/>
      <c r="L95" s="111"/>
      <c r="M95" s="66" t="s">
        <v>4453</v>
      </c>
      <c r="N95" s="66"/>
      <c r="O95" s="112" t="str">
        <f t="shared" si="8"/>
        <v/>
      </c>
      <c r="P95" s="111"/>
    </row>
    <row r="96" spans="1:16" ht="19.5" customHeight="1" x14ac:dyDescent="0.25">
      <c r="A96" s="104" t="s">
        <v>4414</v>
      </c>
      <c r="B96" s="66" t="s">
        <v>2584</v>
      </c>
      <c r="C96" s="66" t="s">
        <v>26</v>
      </c>
      <c r="D96" s="105" t="s">
        <v>4451</v>
      </c>
      <c r="E96" s="106" t="s">
        <v>30</v>
      </c>
      <c r="F96" s="107" t="s">
        <v>4545</v>
      </c>
      <c r="G96" s="108">
        <v>1</v>
      </c>
      <c r="H96" s="109">
        <f>WORKDAY(I54,1)</f>
        <v>46147</v>
      </c>
      <c r="I96" s="109">
        <f t="shared" si="9"/>
        <v>46147</v>
      </c>
      <c r="J96" s="110"/>
      <c r="K96" s="110"/>
      <c r="L96" s="111"/>
      <c r="M96" s="66" t="s">
        <v>4453</v>
      </c>
      <c r="N96" s="66"/>
      <c r="O96" s="112" t="str">
        <f t="shared" si="8"/>
        <v/>
      </c>
      <c r="P96" s="111"/>
    </row>
    <row r="97" spans="1:16" ht="19.5" customHeight="1" x14ac:dyDescent="0.25">
      <c r="A97" s="104" t="s">
        <v>4414</v>
      </c>
      <c r="B97" s="66" t="s">
        <v>2584</v>
      </c>
      <c r="C97" s="66" t="s">
        <v>38</v>
      </c>
      <c r="D97" s="105" t="s">
        <v>4451</v>
      </c>
      <c r="E97" s="106" t="s">
        <v>30</v>
      </c>
      <c r="F97" s="107" t="s">
        <v>4546</v>
      </c>
      <c r="G97" s="108">
        <v>1</v>
      </c>
      <c r="H97" s="109">
        <f>WORKDAY(I54,1)</f>
        <v>46147</v>
      </c>
      <c r="I97" s="109">
        <f t="shared" si="9"/>
        <v>46147</v>
      </c>
      <c r="J97" s="110"/>
      <c r="K97" s="110"/>
      <c r="L97" s="111"/>
      <c r="M97" s="66" t="s">
        <v>4453</v>
      </c>
      <c r="N97" s="66"/>
      <c r="O97" s="112" t="str">
        <f t="shared" si="8"/>
        <v/>
      </c>
      <c r="P97" s="111"/>
    </row>
    <row r="98" spans="1:16" ht="19.5" customHeight="1" x14ac:dyDescent="0.25">
      <c r="A98" s="104" t="s">
        <v>4414</v>
      </c>
      <c r="B98" s="66" t="s">
        <v>2642</v>
      </c>
      <c r="C98" s="66" t="s">
        <v>26</v>
      </c>
      <c r="D98" s="105" t="s">
        <v>4451</v>
      </c>
      <c r="E98" s="106" t="s">
        <v>30</v>
      </c>
      <c r="F98" s="107" t="s">
        <v>4547</v>
      </c>
      <c r="G98" s="108">
        <v>1</v>
      </c>
      <c r="H98" s="109">
        <f>WORKDAY(I54,1)</f>
        <v>46147</v>
      </c>
      <c r="I98" s="109">
        <f t="shared" si="9"/>
        <v>46147</v>
      </c>
      <c r="J98" s="110"/>
      <c r="K98" s="110"/>
      <c r="L98" s="111"/>
      <c r="M98" s="66" t="s">
        <v>4453</v>
      </c>
      <c r="N98" s="66"/>
      <c r="O98" s="112" t="str">
        <f t="shared" si="8"/>
        <v/>
      </c>
      <c r="P98" s="111"/>
    </row>
    <row r="99" spans="1:16" ht="19.5" customHeight="1" x14ac:dyDescent="0.25">
      <c r="A99" s="113" t="s">
        <v>4414</v>
      </c>
      <c r="B99" s="67" t="s">
        <v>413</v>
      </c>
      <c r="C99" s="67" t="s">
        <v>112</v>
      </c>
      <c r="D99" s="114" t="s">
        <v>4451</v>
      </c>
      <c r="E99" s="115" t="s">
        <v>116</v>
      </c>
      <c r="F99" s="116" t="s">
        <v>4548</v>
      </c>
      <c r="G99" s="117">
        <v>1.75</v>
      </c>
      <c r="H99" s="118">
        <f>WORKDAY(I54,1)</f>
        <v>46147</v>
      </c>
      <c r="I99" s="118">
        <f>WORKDAY(H99,1)</f>
        <v>46148</v>
      </c>
      <c r="J99" s="110"/>
      <c r="K99" s="110"/>
      <c r="L99" s="119"/>
      <c r="M99" s="67" t="s">
        <v>4453</v>
      </c>
      <c r="N99" s="67"/>
      <c r="O99" s="112" t="str">
        <f t="shared" si="8"/>
        <v/>
      </c>
      <c r="P99" s="119"/>
    </row>
    <row r="100" spans="1:16" ht="19.5" customHeight="1" x14ac:dyDescent="0.25">
      <c r="A100" s="113" t="s">
        <v>4414</v>
      </c>
      <c r="B100" s="67" t="s">
        <v>413</v>
      </c>
      <c r="C100" s="67" t="s">
        <v>120</v>
      </c>
      <c r="D100" s="114" t="s">
        <v>4451</v>
      </c>
      <c r="E100" s="115" t="s">
        <v>116</v>
      </c>
      <c r="F100" s="116" t="s">
        <v>4549</v>
      </c>
      <c r="G100" s="117">
        <v>1.75</v>
      </c>
      <c r="H100" s="118">
        <f>WORKDAY(I54,1)</f>
        <v>46147</v>
      </c>
      <c r="I100" s="118">
        <f>WORKDAY(H100,1)</f>
        <v>46148</v>
      </c>
      <c r="J100" s="110"/>
      <c r="K100" s="110"/>
      <c r="L100" s="119"/>
      <c r="M100" s="67" t="s">
        <v>4453</v>
      </c>
      <c r="N100" s="67"/>
      <c r="O100" s="112" t="str">
        <f t="shared" si="8"/>
        <v/>
      </c>
      <c r="P100" s="119"/>
    </row>
    <row r="101" spans="1:16" ht="19.5" customHeight="1" x14ac:dyDescent="0.25">
      <c r="A101" s="113" t="s">
        <v>4414</v>
      </c>
      <c r="B101" s="67" t="s">
        <v>413</v>
      </c>
      <c r="C101" s="67" t="s">
        <v>127</v>
      </c>
      <c r="D101" s="114" t="s">
        <v>4451</v>
      </c>
      <c r="E101" s="115" t="s">
        <v>116</v>
      </c>
      <c r="F101" s="116" t="s">
        <v>4550</v>
      </c>
      <c r="G101" s="117">
        <v>0.5</v>
      </c>
      <c r="H101" s="118">
        <f>WORKDAY(I54,1)</f>
        <v>46147</v>
      </c>
      <c r="I101" s="118">
        <f>H101</f>
        <v>46147</v>
      </c>
      <c r="J101" s="110"/>
      <c r="K101" s="110"/>
      <c r="L101" s="119"/>
      <c r="M101" s="67" t="s">
        <v>4453</v>
      </c>
      <c r="N101" s="67"/>
      <c r="O101" s="112" t="str">
        <f t="shared" si="8"/>
        <v/>
      </c>
      <c r="P101" s="119"/>
    </row>
    <row r="102" spans="1:16" ht="19.5" customHeight="1" x14ac:dyDescent="0.25">
      <c r="A102" s="113" t="s">
        <v>4414</v>
      </c>
      <c r="B102" s="67" t="s">
        <v>413</v>
      </c>
      <c r="C102" s="67" t="s">
        <v>134</v>
      </c>
      <c r="D102" s="114" t="s">
        <v>4451</v>
      </c>
      <c r="E102" s="115" t="s">
        <v>116</v>
      </c>
      <c r="F102" s="116" t="s">
        <v>4551</v>
      </c>
      <c r="G102" s="117">
        <v>1.25</v>
      </c>
      <c r="H102" s="118">
        <f>WORKDAY(I54,1)</f>
        <v>46147</v>
      </c>
      <c r="I102" s="118">
        <f>H102</f>
        <v>46147</v>
      </c>
      <c r="J102" s="110"/>
      <c r="K102" s="110"/>
      <c r="L102" s="119"/>
      <c r="M102" s="67" t="s">
        <v>4453</v>
      </c>
      <c r="N102" s="67"/>
      <c r="O102" s="112" t="str">
        <f t="shared" si="8"/>
        <v/>
      </c>
      <c r="P102" s="119"/>
    </row>
    <row r="103" spans="1:16" ht="19.5" customHeight="1" x14ac:dyDescent="0.25">
      <c r="A103" s="113" t="s">
        <v>4414</v>
      </c>
      <c r="B103" s="67" t="s">
        <v>413</v>
      </c>
      <c r="C103" s="67" t="s">
        <v>142</v>
      </c>
      <c r="D103" s="114" t="s">
        <v>4451</v>
      </c>
      <c r="E103" s="115" t="s">
        <v>116</v>
      </c>
      <c r="F103" s="116" t="s">
        <v>4552</v>
      </c>
      <c r="G103" s="117">
        <v>0.5</v>
      </c>
      <c r="H103" s="118">
        <f>WORKDAY(I54,1)</f>
        <v>46147</v>
      </c>
      <c r="I103" s="118">
        <f>H103</f>
        <v>46147</v>
      </c>
      <c r="J103" s="110"/>
      <c r="K103" s="110"/>
      <c r="L103" s="119"/>
      <c r="M103" s="67" t="s">
        <v>4453</v>
      </c>
      <c r="N103" s="67"/>
      <c r="O103" s="112" t="str">
        <f t="shared" si="8"/>
        <v/>
      </c>
      <c r="P103" s="119"/>
    </row>
    <row r="104" spans="1:16" ht="19.5" customHeight="1" x14ac:dyDescent="0.25">
      <c r="A104" s="113" t="s">
        <v>4414</v>
      </c>
      <c r="B104" s="67" t="s">
        <v>413</v>
      </c>
      <c r="C104" s="67" t="s">
        <v>150</v>
      </c>
      <c r="D104" s="114" t="s">
        <v>4451</v>
      </c>
      <c r="E104" s="115" t="s">
        <v>116</v>
      </c>
      <c r="F104" s="116" t="s">
        <v>4553</v>
      </c>
      <c r="G104" s="117">
        <v>1.75</v>
      </c>
      <c r="H104" s="118">
        <f>WORKDAY(I54,1)</f>
        <v>46147</v>
      </c>
      <c r="I104" s="118">
        <f>WORKDAY(H104,1)</f>
        <v>46148</v>
      </c>
      <c r="J104" s="110"/>
      <c r="K104" s="110"/>
      <c r="L104" s="119"/>
      <c r="M104" s="67" t="s">
        <v>4453</v>
      </c>
      <c r="N104" s="67"/>
      <c r="O104" s="112" t="str">
        <f t="shared" si="8"/>
        <v/>
      </c>
      <c r="P104" s="119"/>
    </row>
    <row r="105" spans="1:16" ht="19.5" customHeight="1" x14ac:dyDescent="0.25">
      <c r="A105" s="113" t="s">
        <v>4414</v>
      </c>
      <c r="B105" s="67" t="s">
        <v>413</v>
      </c>
      <c r="C105" s="67" t="s">
        <v>487</v>
      </c>
      <c r="D105" s="114" t="s">
        <v>4451</v>
      </c>
      <c r="E105" s="115" t="s">
        <v>116</v>
      </c>
      <c r="F105" s="116" t="s">
        <v>4554</v>
      </c>
      <c r="G105" s="117">
        <v>1.25</v>
      </c>
      <c r="H105" s="118">
        <f>WORKDAY(I54,1)</f>
        <v>46147</v>
      </c>
      <c r="I105" s="118">
        <f t="shared" ref="I105:I136" si="10">H105</f>
        <v>46147</v>
      </c>
      <c r="J105" s="110"/>
      <c r="K105" s="110"/>
      <c r="L105" s="119"/>
      <c r="M105" s="67" t="s">
        <v>4453</v>
      </c>
      <c r="N105" s="67"/>
      <c r="O105" s="112" t="str">
        <f t="shared" si="8"/>
        <v/>
      </c>
      <c r="P105" s="119"/>
    </row>
    <row r="106" spans="1:16" ht="19.5" customHeight="1" x14ac:dyDescent="0.25">
      <c r="A106" s="113" t="s">
        <v>4414</v>
      </c>
      <c r="B106" s="67" t="s">
        <v>413</v>
      </c>
      <c r="C106" s="67" t="s">
        <v>497</v>
      </c>
      <c r="D106" s="114" t="s">
        <v>4451</v>
      </c>
      <c r="E106" s="115" t="s">
        <v>116</v>
      </c>
      <c r="F106" s="116" t="s">
        <v>4555</v>
      </c>
      <c r="G106" s="117">
        <v>0.5</v>
      </c>
      <c r="H106" s="118">
        <f>WORKDAY(I54,1)</f>
        <v>46147</v>
      </c>
      <c r="I106" s="118">
        <f t="shared" si="10"/>
        <v>46147</v>
      </c>
      <c r="J106" s="110"/>
      <c r="K106" s="110"/>
      <c r="L106" s="119"/>
      <c r="M106" s="67" t="s">
        <v>4453</v>
      </c>
      <c r="N106" s="67"/>
      <c r="O106" s="112" t="str">
        <f t="shared" si="8"/>
        <v/>
      </c>
      <c r="P106" s="119"/>
    </row>
    <row r="107" spans="1:16" ht="19.5" customHeight="1" x14ac:dyDescent="0.25">
      <c r="A107" s="113" t="s">
        <v>4414</v>
      </c>
      <c r="B107" s="67" t="s">
        <v>515</v>
      </c>
      <c r="C107" s="67" t="s">
        <v>112</v>
      </c>
      <c r="D107" s="114" t="s">
        <v>4451</v>
      </c>
      <c r="E107" s="115" t="s">
        <v>116</v>
      </c>
      <c r="F107" s="116" t="s">
        <v>4556</v>
      </c>
      <c r="G107" s="117">
        <v>1.25</v>
      </c>
      <c r="H107" s="118">
        <f>WORKDAY(I54,1)</f>
        <v>46147</v>
      </c>
      <c r="I107" s="118">
        <f t="shared" si="10"/>
        <v>46147</v>
      </c>
      <c r="J107" s="110"/>
      <c r="K107" s="110"/>
      <c r="L107" s="119"/>
      <c r="M107" s="67" t="s">
        <v>4453</v>
      </c>
      <c r="N107" s="67"/>
      <c r="O107" s="112" t="str">
        <f t="shared" si="8"/>
        <v/>
      </c>
      <c r="P107" s="119"/>
    </row>
    <row r="108" spans="1:16" ht="19.5" customHeight="1" x14ac:dyDescent="0.25">
      <c r="A108" s="113" t="s">
        <v>4414</v>
      </c>
      <c r="B108" s="67" t="s">
        <v>563</v>
      </c>
      <c r="C108" s="67" t="s">
        <v>112</v>
      </c>
      <c r="D108" s="114" t="s">
        <v>4451</v>
      </c>
      <c r="E108" s="115" t="s">
        <v>116</v>
      </c>
      <c r="F108" s="116" t="s">
        <v>4557</v>
      </c>
      <c r="G108" s="117">
        <v>0.5</v>
      </c>
      <c r="H108" s="118">
        <f>WORKDAY(I54,1)</f>
        <v>46147</v>
      </c>
      <c r="I108" s="118">
        <f t="shared" si="10"/>
        <v>46147</v>
      </c>
      <c r="J108" s="110"/>
      <c r="K108" s="110"/>
      <c r="L108" s="119"/>
      <c r="M108" s="67" t="s">
        <v>4453</v>
      </c>
      <c r="N108" s="67"/>
      <c r="O108" s="112" t="str">
        <f t="shared" si="8"/>
        <v/>
      </c>
      <c r="P108" s="119"/>
    </row>
    <row r="109" spans="1:16" ht="19.5" customHeight="1" x14ac:dyDescent="0.25">
      <c r="A109" s="113" t="s">
        <v>4414</v>
      </c>
      <c r="B109" s="67" t="s">
        <v>587</v>
      </c>
      <c r="C109" s="67" t="s">
        <v>112</v>
      </c>
      <c r="D109" s="114" t="s">
        <v>4451</v>
      </c>
      <c r="E109" s="115" t="s">
        <v>116</v>
      </c>
      <c r="F109" s="116" t="s">
        <v>4558</v>
      </c>
      <c r="G109" s="117">
        <v>1</v>
      </c>
      <c r="H109" s="118">
        <f>WORKDAY(I54,1)</f>
        <v>46147</v>
      </c>
      <c r="I109" s="118">
        <f t="shared" si="10"/>
        <v>46147</v>
      </c>
      <c r="J109" s="110"/>
      <c r="K109" s="110"/>
      <c r="L109" s="119"/>
      <c r="M109" s="67" t="s">
        <v>4453</v>
      </c>
      <c r="N109" s="67"/>
      <c r="O109" s="112" t="str">
        <f t="shared" si="8"/>
        <v/>
      </c>
      <c r="P109" s="119"/>
    </row>
    <row r="110" spans="1:16" ht="19.5" customHeight="1" x14ac:dyDescent="0.25">
      <c r="A110" s="113" t="s">
        <v>4414</v>
      </c>
      <c r="B110" s="67" t="s">
        <v>634</v>
      </c>
      <c r="C110" s="67" t="s">
        <v>112</v>
      </c>
      <c r="D110" s="114" t="s">
        <v>4451</v>
      </c>
      <c r="E110" s="115" t="s">
        <v>116</v>
      </c>
      <c r="F110" s="116" t="s">
        <v>4559</v>
      </c>
      <c r="G110" s="117">
        <v>1</v>
      </c>
      <c r="H110" s="118">
        <f>WORKDAY(I54,1)</f>
        <v>46147</v>
      </c>
      <c r="I110" s="118">
        <f t="shared" si="10"/>
        <v>46147</v>
      </c>
      <c r="J110" s="110"/>
      <c r="K110" s="110"/>
      <c r="L110" s="119"/>
      <c r="M110" s="67" t="s">
        <v>4453</v>
      </c>
      <c r="N110" s="67"/>
      <c r="O110" s="112" t="str">
        <f t="shared" si="8"/>
        <v/>
      </c>
      <c r="P110" s="119"/>
    </row>
    <row r="111" spans="1:16" ht="19.5" customHeight="1" x14ac:dyDescent="0.25">
      <c r="A111" s="113" t="s">
        <v>4414</v>
      </c>
      <c r="B111" s="67" t="s">
        <v>680</v>
      </c>
      <c r="C111" s="67" t="s">
        <v>112</v>
      </c>
      <c r="D111" s="114" t="s">
        <v>4451</v>
      </c>
      <c r="E111" s="115" t="s">
        <v>116</v>
      </c>
      <c r="F111" s="116" t="s">
        <v>4560</v>
      </c>
      <c r="G111" s="117">
        <v>1.25</v>
      </c>
      <c r="H111" s="118">
        <f>WORKDAY(I54,1)</f>
        <v>46147</v>
      </c>
      <c r="I111" s="118">
        <f t="shared" si="10"/>
        <v>46147</v>
      </c>
      <c r="J111" s="110"/>
      <c r="K111" s="110"/>
      <c r="L111" s="119"/>
      <c r="M111" s="67" t="s">
        <v>4453</v>
      </c>
      <c r="N111" s="67"/>
      <c r="O111" s="112" t="str">
        <f t="shared" si="8"/>
        <v/>
      </c>
      <c r="P111" s="119"/>
    </row>
    <row r="112" spans="1:16" ht="19.5" customHeight="1" x14ac:dyDescent="0.25">
      <c r="A112" s="113" t="s">
        <v>4414</v>
      </c>
      <c r="B112" s="67" t="s">
        <v>680</v>
      </c>
      <c r="C112" s="67" t="s">
        <v>120</v>
      </c>
      <c r="D112" s="114" t="s">
        <v>4451</v>
      </c>
      <c r="E112" s="115" t="s">
        <v>116</v>
      </c>
      <c r="F112" s="116" t="s">
        <v>4561</v>
      </c>
      <c r="G112" s="117">
        <v>1</v>
      </c>
      <c r="H112" s="118">
        <f>WORKDAY(I54,1)</f>
        <v>46147</v>
      </c>
      <c r="I112" s="118">
        <f t="shared" si="10"/>
        <v>46147</v>
      </c>
      <c r="J112" s="110"/>
      <c r="K112" s="110"/>
      <c r="L112" s="119"/>
      <c r="M112" s="67" t="s">
        <v>4453</v>
      </c>
      <c r="N112" s="67"/>
      <c r="O112" s="112" t="str">
        <f t="shared" si="8"/>
        <v/>
      </c>
      <c r="P112" s="119"/>
    </row>
    <row r="113" spans="1:16" ht="19.5" customHeight="1" x14ac:dyDescent="0.25">
      <c r="A113" s="113" t="s">
        <v>4414</v>
      </c>
      <c r="B113" s="67" t="s">
        <v>2077</v>
      </c>
      <c r="C113" s="67" t="s">
        <v>112</v>
      </c>
      <c r="D113" s="114" t="s">
        <v>4451</v>
      </c>
      <c r="E113" s="115" t="s">
        <v>116</v>
      </c>
      <c r="F113" s="116" t="s">
        <v>4562</v>
      </c>
      <c r="G113" s="117">
        <v>1.25</v>
      </c>
      <c r="H113" s="118">
        <f>WORKDAY(I54,1)</f>
        <v>46147</v>
      </c>
      <c r="I113" s="118">
        <f t="shared" si="10"/>
        <v>46147</v>
      </c>
      <c r="J113" s="110"/>
      <c r="K113" s="110"/>
      <c r="L113" s="119"/>
      <c r="M113" s="67" t="s">
        <v>4453</v>
      </c>
      <c r="N113" s="67"/>
      <c r="O113" s="112" t="str">
        <f t="shared" si="8"/>
        <v/>
      </c>
      <c r="P113" s="119"/>
    </row>
    <row r="114" spans="1:16" ht="19.5" customHeight="1" x14ac:dyDescent="0.25">
      <c r="A114" s="113" t="s">
        <v>4414</v>
      </c>
      <c r="B114" s="67" t="s">
        <v>2077</v>
      </c>
      <c r="C114" s="67" t="s">
        <v>120</v>
      </c>
      <c r="D114" s="114" t="s">
        <v>4451</v>
      </c>
      <c r="E114" s="115" t="s">
        <v>116</v>
      </c>
      <c r="F114" s="116" t="s">
        <v>4563</v>
      </c>
      <c r="G114" s="117">
        <v>0.5</v>
      </c>
      <c r="H114" s="118">
        <f>WORKDAY(I54,1)</f>
        <v>46147</v>
      </c>
      <c r="I114" s="118">
        <f t="shared" si="10"/>
        <v>46147</v>
      </c>
      <c r="J114" s="110"/>
      <c r="K114" s="110"/>
      <c r="L114" s="119"/>
      <c r="M114" s="67" t="s">
        <v>4453</v>
      </c>
      <c r="N114" s="67"/>
      <c r="O114" s="112" t="str">
        <f t="shared" si="8"/>
        <v/>
      </c>
      <c r="P114" s="119"/>
    </row>
    <row r="115" spans="1:16" ht="19.5" customHeight="1" x14ac:dyDescent="0.25">
      <c r="A115" s="113" t="s">
        <v>4414</v>
      </c>
      <c r="B115" s="67" t="s">
        <v>2077</v>
      </c>
      <c r="C115" s="67" t="s">
        <v>127</v>
      </c>
      <c r="D115" s="114" t="s">
        <v>4451</v>
      </c>
      <c r="E115" s="115" t="s">
        <v>116</v>
      </c>
      <c r="F115" s="116" t="s">
        <v>4564</v>
      </c>
      <c r="G115" s="117">
        <v>0.5</v>
      </c>
      <c r="H115" s="118">
        <f>WORKDAY(I54,1)</f>
        <v>46147</v>
      </c>
      <c r="I115" s="118">
        <f t="shared" si="10"/>
        <v>46147</v>
      </c>
      <c r="J115" s="110"/>
      <c r="K115" s="110"/>
      <c r="L115" s="119"/>
      <c r="M115" s="67" t="s">
        <v>4453</v>
      </c>
      <c r="N115" s="67"/>
      <c r="O115" s="112" t="str">
        <f t="shared" si="8"/>
        <v/>
      </c>
      <c r="P115" s="119"/>
    </row>
    <row r="116" spans="1:16" ht="19.5" customHeight="1" x14ac:dyDescent="0.25">
      <c r="A116" s="113" t="s">
        <v>4414</v>
      </c>
      <c r="B116" s="67" t="s">
        <v>2077</v>
      </c>
      <c r="C116" s="67" t="s">
        <v>134</v>
      </c>
      <c r="D116" s="114" t="s">
        <v>4451</v>
      </c>
      <c r="E116" s="115" t="s">
        <v>116</v>
      </c>
      <c r="F116" s="116" t="s">
        <v>4565</v>
      </c>
      <c r="G116" s="117">
        <v>0.5</v>
      </c>
      <c r="H116" s="118">
        <f>WORKDAY(I54,1)</f>
        <v>46147</v>
      </c>
      <c r="I116" s="118">
        <f t="shared" si="10"/>
        <v>46147</v>
      </c>
      <c r="J116" s="110"/>
      <c r="K116" s="110"/>
      <c r="L116" s="119"/>
      <c r="M116" s="67" t="s">
        <v>4453</v>
      </c>
      <c r="N116" s="67"/>
      <c r="O116" s="112" t="str">
        <f t="shared" si="8"/>
        <v/>
      </c>
      <c r="P116" s="119"/>
    </row>
    <row r="117" spans="1:16" ht="19.5" customHeight="1" x14ac:dyDescent="0.25">
      <c r="A117" s="113" t="s">
        <v>4414</v>
      </c>
      <c r="B117" s="67" t="s">
        <v>2077</v>
      </c>
      <c r="C117" s="67" t="s">
        <v>142</v>
      </c>
      <c r="D117" s="114" t="s">
        <v>4451</v>
      </c>
      <c r="E117" s="115" t="s">
        <v>116</v>
      </c>
      <c r="F117" s="116" t="s">
        <v>4566</v>
      </c>
      <c r="G117" s="117">
        <v>0.5</v>
      </c>
      <c r="H117" s="118">
        <f>WORKDAY(I54,1)</f>
        <v>46147</v>
      </c>
      <c r="I117" s="118">
        <f t="shared" si="10"/>
        <v>46147</v>
      </c>
      <c r="J117" s="110"/>
      <c r="K117" s="110"/>
      <c r="L117" s="119"/>
      <c r="M117" s="67" t="s">
        <v>4453</v>
      </c>
      <c r="N117" s="67"/>
      <c r="O117" s="112" t="str">
        <f t="shared" si="8"/>
        <v/>
      </c>
      <c r="P117" s="119"/>
    </row>
    <row r="118" spans="1:16" ht="19.5" customHeight="1" x14ac:dyDescent="0.25">
      <c r="A118" s="113" t="s">
        <v>4414</v>
      </c>
      <c r="B118" s="67" t="s">
        <v>2077</v>
      </c>
      <c r="C118" s="67" t="s">
        <v>150</v>
      </c>
      <c r="D118" s="114" t="s">
        <v>4451</v>
      </c>
      <c r="E118" s="115" t="s">
        <v>116</v>
      </c>
      <c r="F118" s="116" t="s">
        <v>4567</v>
      </c>
      <c r="G118" s="117">
        <v>0.5</v>
      </c>
      <c r="H118" s="118">
        <f>WORKDAY(I54,1)</f>
        <v>46147</v>
      </c>
      <c r="I118" s="118">
        <f t="shared" si="10"/>
        <v>46147</v>
      </c>
      <c r="J118" s="110"/>
      <c r="K118" s="110"/>
      <c r="L118" s="119"/>
      <c r="M118" s="67" t="s">
        <v>4453</v>
      </c>
      <c r="N118" s="67"/>
      <c r="O118" s="112" t="str">
        <f t="shared" si="8"/>
        <v/>
      </c>
      <c r="P118" s="119"/>
    </row>
    <row r="119" spans="1:16" ht="19.5" customHeight="1" x14ac:dyDescent="0.25">
      <c r="A119" s="113" t="s">
        <v>4414</v>
      </c>
      <c r="B119" s="67" t="s">
        <v>2137</v>
      </c>
      <c r="C119" s="67" t="s">
        <v>112</v>
      </c>
      <c r="D119" s="114" t="s">
        <v>4451</v>
      </c>
      <c r="E119" s="115" t="s">
        <v>116</v>
      </c>
      <c r="F119" s="116" t="s">
        <v>4568</v>
      </c>
      <c r="G119" s="117">
        <v>1.25</v>
      </c>
      <c r="H119" s="118">
        <f>WORKDAY(I54,1)</f>
        <v>46147</v>
      </c>
      <c r="I119" s="118">
        <f t="shared" si="10"/>
        <v>46147</v>
      </c>
      <c r="J119" s="110"/>
      <c r="K119" s="110"/>
      <c r="L119" s="119"/>
      <c r="M119" s="67" t="s">
        <v>4453</v>
      </c>
      <c r="N119" s="67"/>
      <c r="O119" s="112" t="str">
        <f t="shared" si="8"/>
        <v/>
      </c>
      <c r="P119" s="119"/>
    </row>
    <row r="120" spans="1:16" ht="19.5" customHeight="1" x14ac:dyDescent="0.25">
      <c r="A120" s="113" t="s">
        <v>4414</v>
      </c>
      <c r="B120" s="67" t="s">
        <v>2137</v>
      </c>
      <c r="C120" s="67" t="s">
        <v>120</v>
      </c>
      <c r="D120" s="114" t="s">
        <v>4451</v>
      </c>
      <c r="E120" s="115" t="s">
        <v>116</v>
      </c>
      <c r="F120" s="116" t="s">
        <v>4569</v>
      </c>
      <c r="G120" s="117">
        <v>0.5</v>
      </c>
      <c r="H120" s="118">
        <f>WORKDAY(I54,1)</f>
        <v>46147</v>
      </c>
      <c r="I120" s="118">
        <f t="shared" si="10"/>
        <v>46147</v>
      </c>
      <c r="J120" s="110"/>
      <c r="K120" s="110"/>
      <c r="L120" s="119"/>
      <c r="M120" s="67" t="s">
        <v>4453</v>
      </c>
      <c r="N120" s="67"/>
      <c r="O120" s="112" t="str">
        <f t="shared" ref="O120:O151" si="11">IF(AND(J120&lt;&gt;"",K120&lt;&gt;""),NETWORKDAYS(J120,K120)-1-G120,"")</f>
        <v/>
      </c>
      <c r="P120" s="119"/>
    </row>
    <row r="121" spans="1:16" ht="19.5" customHeight="1" x14ac:dyDescent="0.25">
      <c r="A121" s="113" t="s">
        <v>4414</v>
      </c>
      <c r="B121" s="67" t="s">
        <v>2137</v>
      </c>
      <c r="C121" s="67" t="s">
        <v>127</v>
      </c>
      <c r="D121" s="114" t="s">
        <v>4451</v>
      </c>
      <c r="E121" s="115" t="s">
        <v>116</v>
      </c>
      <c r="F121" s="116" t="s">
        <v>4570</v>
      </c>
      <c r="G121" s="117">
        <v>0.5</v>
      </c>
      <c r="H121" s="118">
        <f>WORKDAY(I54,1)</f>
        <v>46147</v>
      </c>
      <c r="I121" s="118">
        <f t="shared" si="10"/>
        <v>46147</v>
      </c>
      <c r="J121" s="110"/>
      <c r="K121" s="110"/>
      <c r="L121" s="119"/>
      <c r="M121" s="67" t="s">
        <v>4453</v>
      </c>
      <c r="N121" s="67"/>
      <c r="O121" s="112" t="str">
        <f t="shared" si="11"/>
        <v/>
      </c>
      <c r="P121" s="119"/>
    </row>
    <row r="122" spans="1:16" ht="19.5" customHeight="1" x14ac:dyDescent="0.25">
      <c r="A122" s="113" t="s">
        <v>4414</v>
      </c>
      <c r="B122" s="67" t="s">
        <v>2137</v>
      </c>
      <c r="C122" s="67" t="s">
        <v>134</v>
      </c>
      <c r="D122" s="114" t="s">
        <v>4451</v>
      </c>
      <c r="E122" s="115" t="s">
        <v>116</v>
      </c>
      <c r="F122" s="116" t="s">
        <v>4571</v>
      </c>
      <c r="G122" s="117">
        <v>0.5</v>
      </c>
      <c r="H122" s="118">
        <f>WORKDAY(I54,1)</f>
        <v>46147</v>
      </c>
      <c r="I122" s="118">
        <f t="shared" si="10"/>
        <v>46147</v>
      </c>
      <c r="J122" s="110"/>
      <c r="K122" s="110"/>
      <c r="L122" s="119"/>
      <c r="M122" s="67" t="s">
        <v>4453</v>
      </c>
      <c r="N122" s="67"/>
      <c r="O122" s="112" t="str">
        <f t="shared" si="11"/>
        <v/>
      </c>
      <c r="P122" s="119"/>
    </row>
    <row r="123" spans="1:16" ht="19.5" customHeight="1" x14ac:dyDescent="0.25">
      <c r="A123" s="113" t="s">
        <v>4414</v>
      </c>
      <c r="B123" s="67" t="s">
        <v>2137</v>
      </c>
      <c r="C123" s="67" t="s">
        <v>142</v>
      </c>
      <c r="D123" s="114" t="s">
        <v>4451</v>
      </c>
      <c r="E123" s="115" t="s">
        <v>116</v>
      </c>
      <c r="F123" s="116" t="s">
        <v>4572</v>
      </c>
      <c r="G123" s="117">
        <v>0.5</v>
      </c>
      <c r="H123" s="118">
        <f>WORKDAY(I54,1)</f>
        <v>46147</v>
      </c>
      <c r="I123" s="118">
        <f t="shared" si="10"/>
        <v>46147</v>
      </c>
      <c r="J123" s="110"/>
      <c r="K123" s="110"/>
      <c r="L123" s="119"/>
      <c r="M123" s="67" t="s">
        <v>4453</v>
      </c>
      <c r="N123" s="67"/>
      <c r="O123" s="112" t="str">
        <f t="shared" si="11"/>
        <v/>
      </c>
      <c r="P123" s="119"/>
    </row>
    <row r="124" spans="1:16" ht="19.5" customHeight="1" x14ac:dyDescent="0.25">
      <c r="A124" s="113" t="s">
        <v>4414</v>
      </c>
      <c r="B124" s="67" t="s">
        <v>2137</v>
      </c>
      <c r="C124" s="67" t="s">
        <v>150</v>
      </c>
      <c r="D124" s="114" t="s">
        <v>4451</v>
      </c>
      <c r="E124" s="115" t="s">
        <v>116</v>
      </c>
      <c r="F124" s="116" t="s">
        <v>4573</v>
      </c>
      <c r="G124" s="117">
        <v>0.5</v>
      </c>
      <c r="H124" s="118">
        <f>WORKDAY(I54,1)</f>
        <v>46147</v>
      </c>
      <c r="I124" s="118">
        <f t="shared" si="10"/>
        <v>46147</v>
      </c>
      <c r="J124" s="110"/>
      <c r="K124" s="110"/>
      <c r="L124" s="119"/>
      <c r="M124" s="67" t="s">
        <v>4453</v>
      </c>
      <c r="N124" s="67"/>
      <c r="O124" s="112" t="str">
        <f t="shared" si="11"/>
        <v/>
      </c>
      <c r="P124" s="119"/>
    </row>
    <row r="125" spans="1:16" ht="19.5" customHeight="1" x14ac:dyDescent="0.25">
      <c r="A125" s="113" t="s">
        <v>4414</v>
      </c>
      <c r="B125" s="67" t="s">
        <v>2137</v>
      </c>
      <c r="C125" s="67" t="s">
        <v>478</v>
      </c>
      <c r="D125" s="114" t="s">
        <v>4451</v>
      </c>
      <c r="E125" s="115" t="s">
        <v>116</v>
      </c>
      <c r="F125" s="116" t="s">
        <v>4574</v>
      </c>
      <c r="G125" s="117">
        <v>1</v>
      </c>
      <c r="H125" s="118">
        <f>WORKDAY(I54,1)</f>
        <v>46147</v>
      </c>
      <c r="I125" s="118">
        <f t="shared" si="10"/>
        <v>46147</v>
      </c>
      <c r="J125" s="110"/>
      <c r="K125" s="110"/>
      <c r="L125" s="119"/>
      <c r="M125" s="67" t="s">
        <v>4453</v>
      </c>
      <c r="N125" s="67"/>
      <c r="O125" s="112" t="str">
        <f t="shared" si="11"/>
        <v/>
      </c>
      <c r="P125" s="119"/>
    </row>
    <row r="126" spans="1:16" ht="19.5" customHeight="1" x14ac:dyDescent="0.25">
      <c r="A126" s="113" t="s">
        <v>4414</v>
      </c>
      <c r="B126" s="67" t="s">
        <v>2137</v>
      </c>
      <c r="C126" s="67" t="s">
        <v>487</v>
      </c>
      <c r="D126" s="114" t="s">
        <v>4451</v>
      </c>
      <c r="E126" s="115" t="s">
        <v>116</v>
      </c>
      <c r="F126" s="116" t="s">
        <v>4575</v>
      </c>
      <c r="G126" s="117">
        <v>0.5</v>
      </c>
      <c r="H126" s="118">
        <f>WORKDAY(I54,1)</f>
        <v>46147</v>
      </c>
      <c r="I126" s="118">
        <f t="shared" si="10"/>
        <v>46147</v>
      </c>
      <c r="J126" s="110"/>
      <c r="K126" s="110"/>
      <c r="L126" s="119"/>
      <c r="M126" s="67" t="s">
        <v>4453</v>
      </c>
      <c r="N126" s="67"/>
      <c r="O126" s="112" t="str">
        <f t="shared" si="11"/>
        <v/>
      </c>
      <c r="P126" s="119"/>
    </row>
    <row r="127" spans="1:16" ht="19.5" customHeight="1" x14ac:dyDescent="0.25">
      <c r="A127" s="113" t="s">
        <v>4414</v>
      </c>
      <c r="B127" s="67" t="s">
        <v>2222</v>
      </c>
      <c r="C127" s="67" t="s">
        <v>112</v>
      </c>
      <c r="D127" s="114" t="s">
        <v>4451</v>
      </c>
      <c r="E127" s="115" t="s">
        <v>116</v>
      </c>
      <c r="F127" s="116" t="s">
        <v>4576</v>
      </c>
      <c r="G127" s="117">
        <v>1.25</v>
      </c>
      <c r="H127" s="118">
        <f>WORKDAY(I54,1)</f>
        <v>46147</v>
      </c>
      <c r="I127" s="118">
        <f t="shared" si="10"/>
        <v>46147</v>
      </c>
      <c r="J127" s="110"/>
      <c r="K127" s="110"/>
      <c r="L127" s="119"/>
      <c r="M127" s="67" t="s">
        <v>4453</v>
      </c>
      <c r="N127" s="67"/>
      <c r="O127" s="112" t="str">
        <f t="shared" si="11"/>
        <v/>
      </c>
      <c r="P127" s="119"/>
    </row>
    <row r="128" spans="1:16" ht="19.5" customHeight="1" x14ac:dyDescent="0.25">
      <c r="A128" s="113" t="s">
        <v>4414</v>
      </c>
      <c r="B128" s="67" t="s">
        <v>2222</v>
      </c>
      <c r="C128" s="67" t="s">
        <v>120</v>
      </c>
      <c r="D128" s="114" t="s">
        <v>4451</v>
      </c>
      <c r="E128" s="115" t="s">
        <v>116</v>
      </c>
      <c r="F128" s="116" t="s">
        <v>4577</v>
      </c>
      <c r="G128" s="117">
        <v>0.5</v>
      </c>
      <c r="H128" s="118">
        <f>WORKDAY(I54,1)</f>
        <v>46147</v>
      </c>
      <c r="I128" s="118">
        <f t="shared" si="10"/>
        <v>46147</v>
      </c>
      <c r="J128" s="110"/>
      <c r="K128" s="110"/>
      <c r="L128" s="119"/>
      <c r="M128" s="67" t="s">
        <v>4453</v>
      </c>
      <c r="N128" s="67"/>
      <c r="O128" s="112" t="str">
        <f t="shared" si="11"/>
        <v/>
      </c>
      <c r="P128" s="119"/>
    </row>
    <row r="129" spans="1:16" ht="19.5" customHeight="1" x14ac:dyDescent="0.25">
      <c r="A129" s="113" t="s">
        <v>4414</v>
      </c>
      <c r="B129" s="67" t="s">
        <v>2222</v>
      </c>
      <c r="C129" s="67" t="s">
        <v>127</v>
      </c>
      <c r="D129" s="114" t="s">
        <v>4451</v>
      </c>
      <c r="E129" s="115" t="s">
        <v>116</v>
      </c>
      <c r="F129" s="116" t="s">
        <v>4578</v>
      </c>
      <c r="G129" s="117">
        <v>0.5</v>
      </c>
      <c r="H129" s="118">
        <f>WORKDAY(I54,1)</f>
        <v>46147</v>
      </c>
      <c r="I129" s="118">
        <f t="shared" si="10"/>
        <v>46147</v>
      </c>
      <c r="J129" s="110"/>
      <c r="K129" s="110"/>
      <c r="L129" s="119"/>
      <c r="M129" s="67" t="s">
        <v>4453</v>
      </c>
      <c r="N129" s="67"/>
      <c r="O129" s="112" t="str">
        <f t="shared" si="11"/>
        <v/>
      </c>
      <c r="P129" s="119"/>
    </row>
    <row r="130" spans="1:16" ht="19.5" customHeight="1" x14ac:dyDescent="0.25">
      <c r="A130" s="113" t="s">
        <v>4414</v>
      </c>
      <c r="B130" s="67" t="s">
        <v>2222</v>
      </c>
      <c r="C130" s="67" t="s">
        <v>134</v>
      </c>
      <c r="D130" s="114" t="s">
        <v>4451</v>
      </c>
      <c r="E130" s="115" t="s">
        <v>116</v>
      </c>
      <c r="F130" s="116" t="s">
        <v>4579</v>
      </c>
      <c r="G130" s="117">
        <v>0.5</v>
      </c>
      <c r="H130" s="118">
        <f>WORKDAY(I54,1)</f>
        <v>46147</v>
      </c>
      <c r="I130" s="118">
        <f t="shared" si="10"/>
        <v>46147</v>
      </c>
      <c r="J130" s="110"/>
      <c r="K130" s="110"/>
      <c r="L130" s="119"/>
      <c r="M130" s="67" t="s">
        <v>4453</v>
      </c>
      <c r="N130" s="67"/>
      <c r="O130" s="112" t="str">
        <f t="shared" si="11"/>
        <v/>
      </c>
      <c r="P130" s="119"/>
    </row>
    <row r="131" spans="1:16" ht="19.5" customHeight="1" x14ac:dyDescent="0.25">
      <c r="A131" s="113" t="s">
        <v>4414</v>
      </c>
      <c r="B131" s="67" t="s">
        <v>2222</v>
      </c>
      <c r="C131" s="67" t="s">
        <v>142</v>
      </c>
      <c r="D131" s="114" t="s">
        <v>4451</v>
      </c>
      <c r="E131" s="115" t="s">
        <v>116</v>
      </c>
      <c r="F131" s="116" t="s">
        <v>4580</v>
      </c>
      <c r="G131" s="117">
        <v>0.5</v>
      </c>
      <c r="H131" s="118">
        <f>WORKDAY(I54,1)</f>
        <v>46147</v>
      </c>
      <c r="I131" s="118">
        <f t="shared" si="10"/>
        <v>46147</v>
      </c>
      <c r="J131" s="110"/>
      <c r="K131" s="110"/>
      <c r="L131" s="119"/>
      <c r="M131" s="67" t="s">
        <v>4453</v>
      </c>
      <c r="N131" s="67"/>
      <c r="O131" s="112" t="str">
        <f t="shared" si="11"/>
        <v/>
      </c>
      <c r="P131" s="119"/>
    </row>
    <row r="132" spans="1:16" ht="19.5" customHeight="1" x14ac:dyDescent="0.25">
      <c r="A132" s="113" t="s">
        <v>4414</v>
      </c>
      <c r="B132" s="67" t="s">
        <v>2222</v>
      </c>
      <c r="C132" s="67" t="s">
        <v>150</v>
      </c>
      <c r="D132" s="114" t="s">
        <v>4451</v>
      </c>
      <c r="E132" s="115" t="s">
        <v>116</v>
      </c>
      <c r="F132" s="116" t="s">
        <v>4581</v>
      </c>
      <c r="G132" s="117">
        <v>0.5</v>
      </c>
      <c r="H132" s="118">
        <f>WORKDAY(I54,1)</f>
        <v>46147</v>
      </c>
      <c r="I132" s="118">
        <f t="shared" si="10"/>
        <v>46147</v>
      </c>
      <c r="J132" s="110"/>
      <c r="K132" s="110"/>
      <c r="L132" s="119"/>
      <c r="M132" s="67" t="s">
        <v>4453</v>
      </c>
      <c r="N132" s="67"/>
      <c r="O132" s="112" t="str">
        <f t="shared" si="11"/>
        <v/>
      </c>
      <c r="P132" s="119"/>
    </row>
    <row r="133" spans="1:16" ht="19.5" customHeight="1" x14ac:dyDescent="0.25">
      <c r="A133" s="113" t="s">
        <v>4414</v>
      </c>
      <c r="B133" s="67" t="s">
        <v>2222</v>
      </c>
      <c r="C133" s="67" t="s">
        <v>478</v>
      </c>
      <c r="D133" s="114" t="s">
        <v>4451</v>
      </c>
      <c r="E133" s="115" t="s">
        <v>116</v>
      </c>
      <c r="F133" s="116" t="s">
        <v>4582</v>
      </c>
      <c r="G133" s="117">
        <v>0.5</v>
      </c>
      <c r="H133" s="118">
        <f>WORKDAY(I54,1)</f>
        <v>46147</v>
      </c>
      <c r="I133" s="118">
        <f t="shared" si="10"/>
        <v>46147</v>
      </c>
      <c r="J133" s="110"/>
      <c r="K133" s="110"/>
      <c r="L133" s="119"/>
      <c r="M133" s="67" t="s">
        <v>4453</v>
      </c>
      <c r="N133" s="67"/>
      <c r="O133" s="112" t="str">
        <f t="shared" si="11"/>
        <v/>
      </c>
      <c r="P133" s="119"/>
    </row>
    <row r="134" spans="1:16" ht="19.5" customHeight="1" x14ac:dyDescent="0.25">
      <c r="A134" s="113" t="s">
        <v>4414</v>
      </c>
      <c r="B134" s="67" t="s">
        <v>2288</v>
      </c>
      <c r="C134" s="67" t="s">
        <v>112</v>
      </c>
      <c r="D134" s="114" t="s">
        <v>4451</v>
      </c>
      <c r="E134" s="115" t="s">
        <v>116</v>
      </c>
      <c r="F134" s="116" t="s">
        <v>4583</v>
      </c>
      <c r="G134" s="117">
        <v>1.25</v>
      </c>
      <c r="H134" s="118">
        <f>WORKDAY(I54,1)</f>
        <v>46147</v>
      </c>
      <c r="I134" s="118">
        <f t="shared" si="10"/>
        <v>46147</v>
      </c>
      <c r="J134" s="110"/>
      <c r="K134" s="110"/>
      <c r="L134" s="119"/>
      <c r="M134" s="67" t="s">
        <v>4453</v>
      </c>
      <c r="N134" s="67"/>
      <c r="O134" s="112" t="str">
        <f t="shared" si="11"/>
        <v/>
      </c>
      <c r="P134" s="119"/>
    </row>
    <row r="135" spans="1:16" ht="19.5" customHeight="1" x14ac:dyDescent="0.25">
      <c r="A135" s="113" t="s">
        <v>4414</v>
      </c>
      <c r="B135" s="67" t="s">
        <v>2288</v>
      </c>
      <c r="C135" s="67" t="s">
        <v>120</v>
      </c>
      <c r="D135" s="114" t="s">
        <v>4451</v>
      </c>
      <c r="E135" s="115" t="s">
        <v>116</v>
      </c>
      <c r="F135" s="116" t="s">
        <v>4584</v>
      </c>
      <c r="G135" s="117">
        <v>0.5</v>
      </c>
      <c r="H135" s="118">
        <f>WORKDAY(I54,1)</f>
        <v>46147</v>
      </c>
      <c r="I135" s="118">
        <f t="shared" si="10"/>
        <v>46147</v>
      </c>
      <c r="J135" s="110"/>
      <c r="K135" s="110"/>
      <c r="L135" s="119"/>
      <c r="M135" s="67" t="s">
        <v>4453</v>
      </c>
      <c r="N135" s="67"/>
      <c r="O135" s="112" t="str">
        <f t="shared" si="11"/>
        <v/>
      </c>
      <c r="P135" s="119"/>
    </row>
    <row r="136" spans="1:16" ht="19.5" customHeight="1" x14ac:dyDescent="0.25">
      <c r="A136" s="113" t="s">
        <v>4414</v>
      </c>
      <c r="B136" s="67" t="s">
        <v>2288</v>
      </c>
      <c r="C136" s="67" t="s">
        <v>127</v>
      </c>
      <c r="D136" s="114" t="s">
        <v>4451</v>
      </c>
      <c r="E136" s="115" t="s">
        <v>116</v>
      </c>
      <c r="F136" s="116" t="s">
        <v>4585</v>
      </c>
      <c r="G136" s="117">
        <v>0.5</v>
      </c>
      <c r="H136" s="118">
        <f>WORKDAY(I54,1)</f>
        <v>46147</v>
      </c>
      <c r="I136" s="118">
        <f t="shared" si="10"/>
        <v>46147</v>
      </c>
      <c r="J136" s="110"/>
      <c r="K136" s="110"/>
      <c r="L136" s="119"/>
      <c r="M136" s="67" t="s">
        <v>4453</v>
      </c>
      <c r="N136" s="67"/>
      <c r="O136" s="112" t="str">
        <f t="shared" si="11"/>
        <v/>
      </c>
      <c r="P136" s="119"/>
    </row>
    <row r="137" spans="1:16" ht="19.5" customHeight="1" x14ac:dyDescent="0.25">
      <c r="A137" s="113" t="s">
        <v>4414</v>
      </c>
      <c r="B137" s="67" t="s">
        <v>2288</v>
      </c>
      <c r="C137" s="67" t="s">
        <v>134</v>
      </c>
      <c r="D137" s="114" t="s">
        <v>4451</v>
      </c>
      <c r="E137" s="115" t="s">
        <v>116</v>
      </c>
      <c r="F137" s="116" t="s">
        <v>4586</v>
      </c>
      <c r="G137" s="117">
        <v>0.5</v>
      </c>
      <c r="H137" s="118">
        <f>WORKDAY(I54,1)</f>
        <v>46147</v>
      </c>
      <c r="I137" s="118">
        <f t="shared" ref="I137:I168" si="12">H137</f>
        <v>46147</v>
      </c>
      <c r="J137" s="110"/>
      <c r="K137" s="110"/>
      <c r="L137" s="119"/>
      <c r="M137" s="67" t="s">
        <v>4453</v>
      </c>
      <c r="N137" s="67"/>
      <c r="O137" s="112" t="str">
        <f t="shared" si="11"/>
        <v/>
      </c>
      <c r="P137" s="119"/>
    </row>
    <row r="138" spans="1:16" ht="19.5" customHeight="1" x14ac:dyDescent="0.25">
      <c r="A138" s="113" t="s">
        <v>4414</v>
      </c>
      <c r="B138" s="67" t="s">
        <v>2288</v>
      </c>
      <c r="C138" s="67" t="s">
        <v>142</v>
      </c>
      <c r="D138" s="114" t="s">
        <v>4451</v>
      </c>
      <c r="E138" s="115" t="s">
        <v>116</v>
      </c>
      <c r="F138" s="116" t="s">
        <v>4587</v>
      </c>
      <c r="G138" s="117">
        <v>0.5</v>
      </c>
      <c r="H138" s="118">
        <f>WORKDAY(I54,1)</f>
        <v>46147</v>
      </c>
      <c r="I138" s="118">
        <f t="shared" si="12"/>
        <v>46147</v>
      </c>
      <c r="J138" s="110"/>
      <c r="K138" s="110"/>
      <c r="L138" s="119"/>
      <c r="M138" s="67" t="s">
        <v>4453</v>
      </c>
      <c r="N138" s="67"/>
      <c r="O138" s="112" t="str">
        <f t="shared" si="11"/>
        <v/>
      </c>
      <c r="P138" s="119"/>
    </row>
    <row r="139" spans="1:16" ht="19.5" customHeight="1" x14ac:dyDescent="0.25">
      <c r="A139" s="113" t="s">
        <v>4414</v>
      </c>
      <c r="B139" s="67" t="s">
        <v>2288</v>
      </c>
      <c r="C139" s="67" t="s">
        <v>150</v>
      </c>
      <c r="D139" s="114" t="s">
        <v>4451</v>
      </c>
      <c r="E139" s="115" t="s">
        <v>116</v>
      </c>
      <c r="F139" s="116" t="s">
        <v>4588</v>
      </c>
      <c r="G139" s="117">
        <v>0.5</v>
      </c>
      <c r="H139" s="118">
        <f>WORKDAY(I54,1)</f>
        <v>46147</v>
      </c>
      <c r="I139" s="118">
        <f t="shared" si="12"/>
        <v>46147</v>
      </c>
      <c r="J139" s="110"/>
      <c r="K139" s="110"/>
      <c r="L139" s="119"/>
      <c r="M139" s="67" t="s">
        <v>4453</v>
      </c>
      <c r="N139" s="67"/>
      <c r="O139" s="112" t="str">
        <f t="shared" si="11"/>
        <v/>
      </c>
      <c r="P139" s="119"/>
    </row>
    <row r="140" spans="1:16" ht="19.5" customHeight="1" x14ac:dyDescent="0.25">
      <c r="A140" s="113" t="s">
        <v>4414</v>
      </c>
      <c r="B140" s="67" t="s">
        <v>2288</v>
      </c>
      <c r="C140" s="67" t="s">
        <v>478</v>
      </c>
      <c r="D140" s="114" t="s">
        <v>4451</v>
      </c>
      <c r="E140" s="115" t="s">
        <v>116</v>
      </c>
      <c r="F140" s="116" t="s">
        <v>4589</v>
      </c>
      <c r="G140" s="117">
        <v>0.5</v>
      </c>
      <c r="H140" s="118">
        <f>WORKDAY(I54,1)</f>
        <v>46147</v>
      </c>
      <c r="I140" s="118">
        <f t="shared" si="12"/>
        <v>46147</v>
      </c>
      <c r="J140" s="110"/>
      <c r="K140" s="110"/>
      <c r="L140" s="119"/>
      <c r="M140" s="67" t="s">
        <v>4453</v>
      </c>
      <c r="N140" s="67"/>
      <c r="O140" s="112" t="str">
        <f t="shared" si="11"/>
        <v/>
      </c>
      <c r="P140" s="119"/>
    </row>
    <row r="141" spans="1:16" ht="19.5" customHeight="1" x14ac:dyDescent="0.25">
      <c r="A141" s="113" t="s">
        <v>4414</v>
      </c>
      <c r="B141" s="67" t="s">
        <v>2351</v>
      </c>
      <c r="C141" s="67" t="s">
        <v>112</v>
      </c>
      <c r="D141" s="114" t="s">
        <v>4451</v>
      </c>
      <c r="E141" s="115" t="s">
        <v>116</v>
      </c>
      <c r="F141" s="116" t="s">
        <v>4590</v>
      </c>
      <c r="G141" s="117">
        <v>0.5</v>
      </c>
      <c r="H141" s="118">
        <f>WORKDAY(I54,1)</f>
        <v>46147</v>
      </c>
      <c r="I141" s="118">
        <f t="shared" si="12"/>
        <v>46147</v>
      </c>
      <c r="J141" s="110"/>
      <c r="K141" s="110"/>
      <c r="L141" s="119"/>
      <c r="M141" s="67" t="s">
        <v>4453</v>
      </c>
      <c r="N141" s="67"/>
      <c r="O141" s="112" t="str">
        <f t="shared" si="11"/>
        <v/>
      </c>
      <c r="P141" s="119"/>
    </row>
    <row r="142" spans="1:16" ht="19.5" customHeight="1" x14ac:dyDescent="0.25">
      <c r="A142" s="113" t="s">
        <v>4414</v>
      </c>
      <c r="B142" s="67" t="s">
        <v>2351</v>
      </c>
      <c r="C142" s="67" t="s">
        <v>120</v>
      </c>
      <c r="D142" s="114" t="s">
        <v>4451</v>
      </c>
      <c r="E142" s="115" t="s">
        <v>116</v>
      </c>
      <c r="F142" s="116" t="s">
        <v>4591</v>
      </c>
      <c r="G142" s="117">
        <v>0.25</v>
      </c>
      <c r="H142" s="118">
        <f>WORKDAY(I54,1)</f>
        <v>46147</v>
      </c>
      <c r="I142" s="118">
        <f t="shared" si="12"/>
        <v>46147</v>
      </c>
      <c r="J142" s="110"/>
      <c r="K142" s="110"/>
      <c r="L142" s="119"/>
      <c r="M142" s="67" t="s">
        <v>4453</v>
      </c>
      <c r="N142" s="67"/>
      <c r="O142" s="112" t="str">
        <f t="shared" si="11"/>
        <v/>
      </c>
      <c r="P142" s="119"/>
    </row>
    <row r="143" spans="1:16" ht="19.5" customHeight="1" x14ac:dyDescent="0.25">
      <c r="A143" s="113" t="s">
        <v>4414</v>
      </c>
      <c r="B143" s="67" t="s">
        <v>2351</v>
      </c>
      <c r="C143" s="67" t="s">
        <v>127</v>
      </c>
      <c r="D143" s="114" t="s">
        <v>4451</v>
      </c>
      <c r="E143" s="115" t="s">
        <v>116</v>
      </c>
      <c r="F143" s="116" t="s">
        <v>4592</v>
      </c>
      <c r="G143" s="117">
        <v>0.5</v>
      </c>
      <c r="H143" s="118">
        <f>WORKDAY(I54,1)</f>
        <v>46147</v>
      </c>
      <c r="I143" s="118">
        <f t="shared" si="12"/>
        <v>46147</v>
      </c>
      <c r="J143" s="110"/>
      <c r="K143" s="110"/>
      <c r="L143" s="119"/>
      <c r="M143" s="67" t="s">
        <v>4453</v>
      </c>
      <c r="N143" s="67"/>
      <c r="O143" s="112" t="str">
        <f t="shared" si="11"/>
        <v/>
      </c>
      <c r="P143" s="119"/>
    </row>
    <row r="144" spans="1:16" ht="19.5" customHeight="1" x14ac:dyDescent="0.25">
      <c r="A144" s="113" t="s">
        <v>4414</v>
      </c>
      <c r="B144" s="67" t="s">
        <v>2351</v>
      </c>
      <c r="C144" s="67" t="s">
        <v>134</v>
      </c>
      <c r="D144" s="114" t="s">
        <v>4451</v>
      </c>
      <c r="E144" s="115" t="s">
        <v>116</v>
      </c>
      <c r="F144" s="116" t="s">
        <v>4593</v>
      </c>
      <c r="G144" s="117">
        <v>0.5</v>
      </c>
      <c r="H144" s="118">
        <f>WORKDAY(I54,1)</f>
        <v>46147</v>
      </c>
      <c r="I144" s="118">
        <f t="shared" si="12"/>
        <v>46147</v>
      </c>
      <c r="J144" s="110"/>
      <c r="K144" s="110"/>
      <c r="L144" s="119"/>
      <c r="M144" s="67" t="s">
        <v>4453</v>
      </c>
      <c r="N144" s="67"/>
      <c r="O144" s="112" t="str">
        <f t="shared" si="11"/>
        <v/>
      </c>
      <c r="P144" s="119"/>
    </row>
    <row r="145" spans="1:16" ht="19.5" customHeight="1" x14ac:dyDescent="0.25">
      <c r="A145" s="113" t="s">
        <v>4414</v>
      </c>
      <c r="B145" s="67" t="s">
        <v>2351</v>
      </c>
      <c r="C145" s="67" t="s">
        <v>142</v>
      </c>
      <c r="D145" s="114" t="s">
        <v>4451</v>
      </c>
      <c r="E145" s="115" t="s">
        <v>116</v>
      </c>
      <c r="F145" s="116" t="s">
        <v>4594</v>
      </c>
      <c r="G145" s="117">
        <v>0.5</v>
      </c>
      <c r="H145" s="118">
        <f>WORKDAY(I54,1)</f>
        <v>46147</v>
      </c>
      <c r="I145" s="118">
        <f t="shared" si="12"/>
        <v>46147</v>
      </c>
      <c r="J145" s="110"/>
      <c r="K145" s="110"/>
      <c r="L145" s="119"/>
      <c r="M145" s="67" t="s">
        <v>4453</v>
      </c>
      <c r="N145" s="67"/>
      <c r="O145" s="112" t="str">
        <f t="shared" si="11"/>
        <v/>
      </c>
      <c r="P145" s="119"/>
    </row>
    <row r="146" spans="1:16" ht="19.5" customHeight="1" x14ac:dyDescent="0.25">
      <c r="A146" s="113" t="s">
        <v>4414</v>
      </c>
      <c r="B146" s="67" t="s">
        <v>2351</v>
      </c>
      <c r="C146" s="67" t="s">
        <v>150</v>
      </c>
      <c r="D146" s="114" t="s">
        <v>4451</v>
      </c>
      <c r="E146" s="115" t="s">
        <v>116</v>
      </c>
      <c r="F146" s="116" t="s">
        <v>4595</v>
      </c>
      <c r="G146" s="117">
        <v>0.25</v>
      </c>
      <c r="H146" s="118">
        <f>WORKDAY(I54,1)</f>
        <v>46147</v>
      </c>
      <c r="I146" s="118">
        <f t="shared" si="12"/>
        <v>46147</v>
      </c>
      <c r="J146" s="110"/>
      <c r="K146" s="110"/>
      <c r="L146" s="119"/>
      <c r="M146" s="67" t="s">
        <v>4453</v>
      </c>
      <c r="N146" s="67"/>
      <c r="O146" s="112" t="str">
        <f t="shared" si="11"/>
        <v/>
      </c>
      <c r="P146" s="119"/>
    </row>
    <row r="147" spans="1:16" ht="19.5" customHeight="1" x14ac:dyDescent="0.25">
      <c r="A147" s="113" t="s">
        <v>4414</v>
      </c>
      <c r="B147" s="67" t="s">
        <v>2394</v>
      </c>
      <c r="C147" s="67" t="s">
        <v>112</v>
      </c>
      <c r="D147" s="114" t="s">
        <v>4451</v>
      </c>
      <c r="E147" s="115" t="s">
        <v>116</v>
      </c>
      <c r="F147" s="116" t="s">
        <v>4596</v>
      </c>
      <c r="G147" s="117">
        <v>0.5</v>
      </c>
      <c r="H147" s="118">
        <f>WORKDAY(I54,1)</f>
        <v>46147</v>
      </c>
      <c r="I147" s="118">
        <f t="shared" si="12"/>
        <v>46147</v>
      </c>
      <c r="J147" s="110"/>
      <c r="K147" s="110"/>
      <c r="L147" s="119"/>
      <c r="M147" s="67" t="s">
        <v>4453</v>
      </c>
      <c r="N147" s="67"/>
      <c r="O147" s="112" t="str">
        <f t="shared" si="11"/>
        <v/>
      </c>
      <c r="P147" s="119"/>
    </row>
    <row r="148" spans="1:16" ht="19.5" customHeight="1" x14ac:dyDescent="0.25">
      <c r="A148" s="113" t="s">
        <v>4414</v>
      </c>
      <c r="B148" s="67" t="s">
        <v>2394</v>
      </c>
      <c r="C148" s="67" t="s">
        <v>120</v>
      </c>
      <c r="D148" s="114" t="s">
        <v>4451</v>
      </c>
      <c r="E148" s="115" t="s">
        <v>116</v>
      </c>
      <c r="F148" s="116" t="s">
        <v>4597</v>
      </c>
      <c r="G148" s="117">
        <v>0.5</v>
      </c>
      <c r="H148" s="118">
        <f>WORKDAY(I54,1)</f>
        <v>46147</v>
      </c>
      <c r="I148" s="118">
        <f t="shared" si="12"/>
        <v>46147</v>
      </c>
      <c r="J148" s="110"/>
      <c r="K148" s="110"/>
      <c r="L148" s="119"/>
      <c r="M148" s="67" t="s">
        <v>4453</v>
      </c>
      <c r="N148" s="67"/>
      <c r="O148" s="112" t="str">
        <f t="shared" si="11"/>
        <v/>
      </c>
      <c r="P148" s="119"/>
    </row>
    <row r="149" spans="1:16" ht="19.5" customHeight="1" x14ac:dyDescent="0.25">
      <c r="A149" s="113" t="s">
        <v>4414</v>
      </c>
      <c r="B149" s="67" t="s">
        <v>2394</v>
      </c>
      <c r="C149" s="67" t="s">
        <v>127</v>
      </c>
      <c r="D149" s="114" t="s">
        <v>4451</v>
      </c>
      <c r="E149" s="115" t="s">
        <v>116</v>
      </c>
      <c r="F149" s="116" t="s">
        <v>4598</v>
      </c>
      <c r="G149" s="117">
        <v>0.5</v>
      </c>
      <c r="H149" s="118">
        <f>WORKDAY(I54,1)</f>
        <v>46147</v>
      </c>
      <c r="I149" s="118">
        <f t="shared" si="12"/>
        <v>46147</v>
      </c>
      <c r="J149" s="110"/>
      <c r="K149" s="110"/>
      <c r="L149" s="119"/>
      <c r="M149" s="67" t="s">
        <v>4453</v>
      </c>
      <c r="N149" s="67"/>
      <c r="O149" s="112" t="str">
        <f t="shared" si="11"/>
        <v/>
      </c>
      <c r="P149" s="119"/>
    </row>
    <row r="150" spans="1:16" ht="19.5" customHeight="1" x14ac:dyDescent="0.25">
      <c r="A150" s="113" t="s">
        <v>4414</v>
      </c>
      <c r="B150" s="67" t="s">
        <v>2394</v>
      </c>
      <c r="C150" s="67" t="s">
        <v>134</v>
      </c>
      <c r="D150" s="114" t="s">
        <v>4451</v>
      </c>
      <c r="E150" s="115" t="s">
        <v>116</v>
      </c>
      <c r="F150" s="116" t="s">
        <v>4599</v>
      </c>
      <c r="G150" s="117">
        <v>0.5</v>
      </c>
      <c r="H150" s="118">
        <f>WORKDAY(I54,1)</f>
        <v>46147</v>
      </c>
      <c r="I150" s="118">
        <f t="shared" si="12"/>
        <v>46147</v>
      </c>
      <c r="J150" s="110"/>
      <c r="K150" s="110"/>
      <c r="L150" s="119"/>
      <c r="M150" s="67" t="s">
        <v>4453</v>
      </c>
      <c r="N150" s="67"/>
      <c r="O150" s="112" t="str">
        <f t="shared" si="11"/>
        <v/>
      </c>
      <c r="P150" s="119"/>
    </row>
    <row r="151" spans="1:16" ht="19.5" customHeight="1" x14ac:dyDescent="0.25">
      <c r="A151" s="113" t="s">
        <v>4414</v>
      </c>
      <c r="B151" s="67" t="s">
        <v>2394</v>
      </c>
      <c r="C151" s="67" t="s">
        <v>142</v>
      </c>
      <c r="D151" s="114" t="s">
        <v>4451</v>
      </c>
      <c r="E151" s="115" t="s">
        <v>116</v>
      </c>
      <c r="F151" s="116" t="s">
        <v>4600</v>
      </c>
      <c r="G151" s="117">
        <v>0.5</v>
      </c>
      <c r="H151" s="118">
        <f>WORKDAY(I54,1)</f>
        <v>46147</v>
      </c>
      <c r="I151" s="118">
        <f t="shared" si="12"/>
        <v>46147</v>
      </c>
      <c r="J151" s="110"/>
      <c r="K151" s="110"/>
      <c r="L151" s="119"/>
      <c r="M151" s="67" t="s">
        <v>4453</v>
      </c>
      <c r="N151" s="67"/>
      <c r="O151" s="112" t="str">
        <f t="shared" si="11"/>
        <v/>
      </c>
      <c r="P151" s="119"/>
    </row>
    <row r="152" spans="1:16" ht="19.5" customHeight="1" x14ac:dyDescent="0.25">
      <c r="A152" s="113" t="s">
        <v>4414</v>
      </c>
      <c r="B152" s="67" t="s">
        <v>2439</v>
      </c>
      <c r="C152" s="67" t="s">
        <v>112</v>
      </c>
      <c r="D152" s="114" t="s">
        <v>4451</v>
      </c>
      <c r="E152" s="115" t="s">
        <v>116</v>
      </c>
      <c r="F152" s="116" t="s">
        <v>4601</v>
      </c>
      <c r="G152" s="117">
        <v>1.25</v>
      </c>
      <c r="H152" s="118">
        <f>WORKDAY(I54,1)</f>
        <v>46147</v>
      </c>
      <c r="I152" s="118">
        <f t="shared" si="12"/>
        <v>46147</v>
      </c>
      <c r="J152" s="110"/>
      <c r="K152" s="110"/>
      <c r="L152" s="119"/>
      <c r="M152" s="67" t="s">
        <v>4453</v>
      </c>
      <c r="N152" s="67"/>
      <c r="O152" s="112" t="str">
        <f t="shared" ref="O152:O183" si="13">IF(AND(J152&lt;&gt;"",K152&lt;&gt;""),NETWORKDAYS(J152,K152)-1-G152,"")</f>
        <v/>
      </c>
      <c r="P152" s="119"/>
    </row>
    <row r="153" spans="1:16" ht="19.5" customHeight="1" x14ac:dyDescent="0.25">
      <c r="A153" s="113" t="s">
        <v>4414</v>
      </c>
      <c r="B153" s="67" t="s">
        <v>2439</v>
      </c>
      <c r="C153" s="67" t="s">
        <v>120</v>
      </c>
      <c r="D153" s="114" t="s">
        <v>4451</v>
      </c>
      <c r="E153" s="115" t="s">
        <v>116</v>
      </c>
      <c r="F153" s="116" t="s">
        <v>4602</v>
      </c>
      <c r="G153" s="117">
        <v>0.5</v>
      </c>
      <c r="H153" s="118">
        <f>WORKDAY(I54,1)</f>
        <v>46147</v>
      </c>
      <c r="I153" s="118">
        <f t="shared" si="12"/>
        <v>46147</v>
      </c>
      <c r="J153" s="110"/>
      <c r="K153" s="110"/>
      <c r="L153" s="119"/>
      <c r="M153" s="67" t="s">
        <v>4453</v>
      </c>
      <c r="N153" s="67"/>
      <c r="O153" s="112" t="str">
        <f t="shared" si="13"/>
        <v/>
      </c>
      <c r="P153" s="119"/>
    </row>
    <row r="154" spans="1:16" ht="19.5" customHeight="1" x14ac:dyDescent="0.25">
      <c r="A154" s="113" t="s">
        <v>4414</v>
      </c>
      <c r="B154" s="67" t="s">
        <v>2439</v>
      </c>
      <c r="C154" s="67" t="s">
        <v>127</v>
      </c>
      <c r="D154" s="114" t="s">
        <v>4451</v>
      </c>
      <c r="E154" s="115" t="s">
        <v>116</v>
      </c>
      <c r="F154" s="116" t="s">
        <v>4603</v>
      </c>
      <c r="G154" s="117">
        <v>0.5</v>
      </c>
      <c r="H154" s="118">
        <f>WORKDAY(I54,1)</f>
        <v>46147</v>
      </c>
      <c r="I154" s="118">
        <f t="shared" si="12"/>
        <v>46147</v>
      </c>
      <c r="J154" s="110"/>
      <c r="K154" s="110"/>
      <c r="L154" s="119"/>
      <c r="M154" s="67" t="s">
        <v>4453</v>
      </c>
      <c r="N154" s="67"/>
      <c r="O154" s="112" t="str">
        <f t="shared" si="13"/>
        <v/>
      </c>
      <c r="P154" s="119"/>
    </row>
    <row r="155" spans="1:16" ht="19.5" customHeight="1" x14ac:dyDescent="0.25">
      <c r="A155" s="113" t="s">
        <v>4414</v>
      </c>
      <c r="B155" s="67" t="s">
        <v>2439</v>
      </c>
      <c r="C155" s="67" t="s">
        <v>134</v>
      </c>
      <c r="D155" s="114" t="s">
        <v>4451</v>
      </c>
      <c r="E155" s="115" t="s">
        <v>116</v>
      </c>
      <c r="F155" s="116" t="s">
        <v>4604</v>
      </c>
      <c r="G155" s="117">
        <v>0.5</v>
      </c>
      <c r="H155" s="118">
        <f>WORKDAY(I54,1)</f>
        <v>46147</v>
      </c>
      <c r="I155" s="118">
        <f t="shared" si="12"/>
        <v>46147</v>
      </c>
      <c r="J155" s="110"/>
      <c r="K155" s="110"/>
      <c r="L155" s="119"/>
      <c r="M155" s="67" t="s">
        <v>4453</v>
      </c>
      <c r="N155" s="67"/>
      <c r="O155" s="112" t="str">
        <f t="shared" si="13"/>
        <v/>
      </c>
      <c r="P155" s="119"/>
    </row>
    <row r="156" spans="1:16" ht="19.5" customHeight="1" x14ac:dyDescent="0.25">
      <c r="A156" s="113" t="s">
        <v>4414</v>
      </c>
      <c r="B156" s="67" t="s">
        <v>2439</v>
      </c>
      <c r="C156" s="67" t="s">
        <v>142</v>
      </c>
      <c r="D156" s="114" t="s">
        <v>4451</v>
      </c>
      <c r="E156" s="115" t="s">
        <v>116</v>
      </c>
      <c r="F156" s="116" t="s">
        <v>4605</v>
      </c>
      <c r="G156" s="117">
        <v>0.5</v>
      </c>
      <c r="H156" s="118">
        <f>WORKDAY(I54,1)</f>
        <v>46147</v>
      </c>
      <c r="I156" s="118">
        <f t="shared" si="12"/>
        <v>46147</v>
      </c>
      <c r="J156" s="110"/>
      <c r="K156" s="110"/>
      <c r="L156" s="119"/>
      <c r="M156" s="67" t="s">
        <v>4453</v>
      </c>
      <c r="N156" s="67"/>
      <c r="O156" s="112" t="str">
        <f t="shared" si="13"/>
        <v/>
      </c>
      <c r="P156" s="119"/>
    </row>
    <row r="157" spans="1:16" ht="19.5" customHeight="1" x14ac:dyDescent="0.25">
      <c r="A157" s="113" t="s">
        <v>4414</v>
      </c>
      <c r="B157" s="67" t="s">
        <v>2439</v>
      </c>
      <c r="C157" s="67" t="s">
        <v>150</v>
      </c>
      <c r="D157" s="114" t="s">
        <v>4451</v>
      </c>
      <c r="E157" s="115" t="s">
        <v>116</v>
      </c>
      <c r="F157" s="116" t="s">
        <v>4606</v>
      </c>
      <c r="G157" s="117">
        <v>0.5</v>
      </c>
      <c r="H157" s="118">
        <f>WORKDAY(I54,1)</f>
        <v>46147</v>
      </c>
      <c r="I157" s="118">
        <f t="shared" si="12"/>
        <v>46147</v>
      </c>
      <c r="J157" s="110"/>
      <c r="K157" s="110"/>
      <c r="L157" s="119"/>
      <c r="M157" s="67" t="s">
        <v>4453</v>
      </c>
      <c r="N157" s="67"/>
      <c r="O157" s="112" t="str">
        <f t="shared" si="13"/>
        <v/>
      </c>
      <c r="P157" s="119"/>
    </row>
    <row r="158" spans="1:16" ht="19.5" customHeight="1" x14ac:dyDescent="0.25">
      <c r="A158" s="113" t="s">
        <v>4414</v>
      </c>
      <c r="B158" s="67" t="s">
        <v>2439</v>
      </c>
      <c r="C158" s="67" t="s">
        <v>478</v>
      </c>
      <c r="D158" s="114" t="s">
        <v>4451</v>
      </c>
      <c r="E158" s="115" t="s">
        <v>116</v>
      </c>
      <c r="F158" s="116" t="s">
        <v>4607</v>
      </c>
      <c r="G158" s="117">
        <v>0.5</v>
      </c>
      <c r="H158" s="118">
        <f>WORKDAY(I54,1)</f>
        <v>46147</v>
      </c>
      <c r="I158" s="118">
        <f t="shared" si="12"/>
        <v>46147</v>
      </c>
      <c r="J158" s="110"/>
      <c r="K158" s="110"/>
      <c r="L158" s="119"/>
      <c r="M158" s="67" t="s">
        <v>4453</v>
      </c>
      <c r="N158" s="67"/>
      <c r="O158" s="112" t="str">
        <f t="shared" si="13"/>
        <v/>
      </c>
      <c r="P158" s="119"/>
    </row>
    <row r="159" spans="1:16" ht="19.5" customHeight="1" x14ac:dyDescent="0.25">
      <c r="A159" s="113" t="s">
        <v>4414</v>
      </c>
      <c r="B159" s="67" t="s">
        <v>2439</v>
      </c>
      <c r="C159" s="67" t="s">
        <v>487</v>
      </c>
      <c r="D159" s="114" t="s">
        <v>4451</v>
      </c>
      <c r="E159" s="115" t="s">
        <v>116</v>
      </c>
      <c r="F159" s="116" t="s">
        <v>4608</v>
      </c>
      <c r="G159" s="117">
        <v>0.25</v>
      </c>
      <c r="H159" s="118">
        <f>WORKDAY(I54,1)</f>
        <v>46147</v>
      </c>
      <c r="I159" s="118">
        <f t="shared" si="12"/>
        <v>46147</v>
      </c>
      <c r="J159" s="110"/>
      <c r="K159" s="110"/>
      <c r="L159" s="119"/>
      <c r="M159" s="67" t="s">
        <v>4453</v>
      </c>
      <c r="N159" s="67"/>
      <c r="O159" s="112" t="str">
        <f t="shared" si="13"/>
        <v/>
      </c>
      <c r="P159" s="119"/>
    </row>
    <row r="160" spans="1:16" ht="19.5" customHeight="1" x14ac:dyDescent="0.25">
      <c r="A160" s="113" t="s">
        <v>4414</v>
      </c>
      <c r="B160" s="67" t="s">
        <v>2509</v>
      </c>
      <c r="C160" s="67" t="s">
        <v>112</v>
      </c>
      <c r="D160" s="114" t="s">
        <v>4451</v>
      </c>
      <c r="E160" s="115" t="s">
        <v>116</v>
      </c>
      <c r="F160" s="116" t="s">
        <v>4609</v>
      </c>
      <c r="G160" s="117">
        <v>1.25</v>
      </c>
      <c r="H160" s="118">
        <f>WORKDAY(I54,1)</f>
        <v>46147</v>
      </c>
      <c r="I160" s="118">
        <f t="shared" si="12"/>
        <v>46147</v>
      </c>
      <c r="J160" s="110"/>
      <c r="K160" s="110"/>
      <c r="L160" s="119"/>
      <c r="M160" s="67" t="s">
        <v>4453</v>
      </c>
      <c r="N160" s="67"/>
      <c r="O160" s="112" t="str">
        <f t="shared" si="13"/>
        <v/>
      </c>
      <c r="P160" s="119"/>
    </row>
    <row r="161" spans="1:16" ht="19.5" customHeight="1" x14ac:dyDescent="0.25">
      <c r="A161" s="113" t="s">
        <v>4414</v>
      </c>
      <c r="B161" s="67" t="s">
        <v>2509</v>
      </c>
      <c r="C161" s="67" t="s">
        <v>120</v>
      </c>
      <c r="D161" s="114" t="s">
        <v>4451</v>
      </c>
      <c r="E161" s="115" t="s">
        <v>116</v>
      </c>
      <c r="F161" s="116" t="s">
        <v>4610</v>
      </c>
      <c r="G161" s="117">
        <v>0.5</v>
      </c>
      <c r="H161" s="118">
        <f>WORKDAY(I54,1)</f>
        <v>46147</v>
      </c>
      <c r="I161" s="118">
        <f t="shared" si="12"/>
        <v>46147</v>
      </c>
      <c r="J161" s="110"/>
      <c r="K161" s="110"/>
      <c r="L161" s="119"/>
      <c r="M161" s="67" t="s">
        <v>4453</v>
      </c>
      <c r="N161" s="67"/>
      <c r="O161" s="112" t="str">
        <f t="shared" si="13"/>
        <v/>
      </c>
      <c r="P161" s="119"/>
    </row>
    <row r="162" spans="1:16" ht="19.5" customHeight="1" x14ac:dyDescent="0.25">
      <c r="A162" s="113" t="s">
        <v>4414</v>
      </c>
      <c r="B162" s="67" t="s">
        <v>2509</v>
      </c>
      <c r="C162" s="67" t="s">
        <v>127</v>
      </c>
      <c r="D162" s="114" t="s">
        <v>4451</v>
      </c>
      <c r="E162" s="115" t="s">
        <v>116</v>
      </c>
      <c r="F162" s="116" t="s">
        <v>4611</v>
      </c>
      <c r="G162" s="117">
        <v>0.5</v>
      </c>
      <c r="H162" s="118">
        <f>WORKDAY(I54,1)</f>
        <v>46147</v>
      </c>
      <c r="I162" s="118">
        <f t="shared" si="12"/>
        <v>46147</v>
      </c>
      <c r="J162" s="110"/>
      <c r="K162" s="110"/>
      <c r="L162" s="119"/>
      <c r="M162" s="67" t="s">
        <v>4453</v>
      </c>
      <c r="N162" s="67"/>
      <c r="O162" s="112" t="str">
        <f t="shared" si="13"/>
        <v/>
      </c>
      <c r="P162" s="119"/>
    </row>
    <row r="163" spans="1:16" ht="19.5" customHeight="1" x14ac:dyDescent="0.25">
      <c r="A163" s="113" t="s">
        <v>4414</v>
      </c>
      <c r="B163" s="67" t="s">
        <v>2509</v>
      </c>
      <c r="C163" s="67" t="s">
        <v>134</v>
      </c>
      <c r="D163" s="114" t="s">
        <v>4451</v>
      </c>
      <c r="E163" s="115" t="s">
        <v>116</v>
      </c>
      <c r="F163" s="116" t="s">
        <v>4612</v>
      </c>
      <c r="G163" s="117">
        <v>0.25</v>
      </c>
      <c r="H163" s="118">
        <f>WORKDAY(I54,1)</f>
        <v>46147</v>
      </c>
      <c r="I163" s="118">
        <f t="shared" si="12"/>
        <v>46147</v>
      </c>
      <c r="J163" s="110"/>
      <c r="K163" s="110"/>
      <c r="L163" s="119"/>
      <c r="M163" s="67" t="s">
        <v>4453</v>
      </c>
      <c r="N163" s="67"/>
      <c r="O163" s="112" t="str">
        <f t="shared" si="13"/>
        <v/>
      </c>
      <c r="P163" s="119"/>
    </row>
    <row r="164" spans="1:16" ht="19.5" customHeight="1" x14ac:dyDescent="0.25">
      <c r="A164" s="113" t="s">
        <v>4414</v>
      </c>
      <c r="B164" s="67" t="s">
        <v>2509</v>
      </c>
      <c r="C164" s="67" t="s">
        <v>142</v>
      </c>
      <c r="D164" s="114" t="s">
        <v>4451</v>
      </c>
      <c r="E164" s="115" t="s">
        <v>116</v>
      </c>
      <c r="F164" s="116" t="s">
        <v>4613</v>
      </c>
      <c r="G164" s="117">
        <v>1.25</v>
      </c>
      <c r="H164" s="118">
        <f>WORKDAY(I54,1)</f>
        <v>46147</v>
      </c>
      <c r="I164" s="118">
        <f t="shared" si="12"/>
        <v>46147</v>
      </c>
      <c r="J164" s="110"/>
      <c r="K164" s="110"/>
      <c r="L164" s="119"/>
      <c r="M164" s="67" t="s">
        <v>4453</v>
      </c>
      <c r="N164" s="67"/>
      <c r="O164" s="112" t="str">
        <f t="shared" si="13"/>
        <v/>
      </c>
      <c r="P164" s="119"/>
    </row>
    <row r="165" spans="1:16" ht="19.5" customHeight="1" x14ac:dyDescent="0.25">
      <c r="A165" s="113" t="s">
        <v>4414</v>
      </c>
      <c r="B165" s="67" t="s">
        <v>2509</v>
      </c>
      <c r="C165" s="67" t="s">
        <v>150</v>
      </c>
      <c r="D165" s="114" t="s">
        <v>4451</v>
      </c>
      <c r="E165" s="115" t="s">
        <v>116</v>
      </c>
      <c r="F165" s="116" t="s">
        <v>4614</v>
      </c>
      <c r="G165" s="117">
        <v>0.5</v>
      </c>
      <c r="H165" s="118">
        <f>WORKDAY(I54,1)</f>
        <v>46147</v>
      </c>
      <c r="I165" s="118">
        <f t="shared" si="12"/>
        <v>46147</v>
      </c>
      <c r="J165" s="110"/>
      <c r="K165" s="110"/>
      <c r="L165" s="119"/>
      <c r="M165" s="67" t="s">
        <v>4453</v>
      </c>
      <c r="N165" s="67"/>
      <c r="O165" s="112" t="str">
        <f t="shared" si="13"/>
        <v/>
      </c>
      <c r="P165" s="119"/>
    </row>
    <row r="166" spans="1:16" ht="19.5" customHeight="1" x14ac:dyDescent="0.25">
      <c r="A166" s="113" t="s">
        <v>4414</v>
      </c>
      <c r="B166" s="67" t="s">
        <v>2509</v>
      </c>
      <c r="C166" s="67" t="s">
        <v>478</v>
      </c>
      <c r="D166" s="114" t="s">
        <v>4451</v>
      </c>
      <c r="E166" s="115" t="s">
        <v>116</v>
      </c>
      <c r="F166" s="116" t="s">
        <v>4615</v>
      </c>
      <c r="G166" s="117">
        <v>0.5</v>
      </c>
      <c r="H166" s="118">
        <f>WORKDAY(I54,1)</f>
        <v>46147</v>
      </c>
      <c r="I166" s="118">
        <f t="shared" si="12"/>
        <v>46147</v>
      </c>
      <c r="J166" s="110"/>
      <c r="K166" s="110"/>
      <c r="L166" s="119"/>
      <c r="M166" s="67" t="s">
        <v>4453</v>
      </c>
      <c r="N166" s="67"/>
      <c r="O166" s="112" t="str">
        <f t="shared" si="13"/>
        <v/>
      </c>
      <c r="P166" s="119"/>
    </row>
    <row r="167" spans="1:16" ht="19.5" customHeight="1" x14ac:dyDescent="0.25">
      <c r="A167" s="113" t="s">
        <v>4414</v>
      </c>
      <c r="B167" s="67" t="s">
        <v>2509</v>
      </c>
      <c r="C167" s="67" t="s">
        <v>487</v>
      </c>
      <c r="D167" s="114" t="s">
        <v>4451</v>
      </c>
      <c r="E167" s="115" t="s">
        <v>116</v>
      </c>
      <c r="F167" s="116" t="s">
        <v>4616</v>
      </c>
      <c r="G167" s="117">
        <v>0.25</v>
      </c>
      <c r="H167" s="118">
        <f>WORKDAY(I54,1)</f>
        <v>46147</v>
      </c>
      <c r="I167" s="118">
        <f t="shared" si="12"/>
        <v>46147</v>
      </c>
      <c r="J167" s="110"/>
      <c r="K167" s="110"/>
      <c r="L167" s="119"/>
      <c r="M167" s="67" t="s">
        <v>4453</v>
      </c>
      <c r="N167" s="67"/>
      <c r="O167" s="112" t="str">
        <f t="shared" si="13"/>
        <v/>
      </c>
      <c r="P167" s="119"/>
    </row>
    <row r="168" spans="1:16" ht="19.5" customHeight="1" x14ac:dyDescent="0.25">
      <c r="A168" s="113" t="s">
        <v>4414</v>
      </c>
      <c r="B168" s="67" t="s">
        <v>2584</v>
      </c>
      <c r="C168" s="67" t="s">
        <v>112</v>
      </c>
      <c r="D168" s="114" t="s">
        <v>4451</v>
      </c>
      <c r="E168" s="115" t="s">
        <v>116</v>
      </c>
      <c r="F168" s="116" t="s">
        <v>4617</v>
      </c>
      <c r="G168" s="117">
        <v>1.25</v>
      </c>
      <c r="H168" s="118">
        <f>WORKDAY(I54,1)</f>
        <v>46147</v>
      </c>
      <c r="I168" s="118">
        <f t="shared" si="12"/>
        <v>46147</v>
      </c>
      <c r="J168" s="110"/>
      <c r="K168" s="110"/>
      <c r="L168" s="119"/>
      <c r="M168" s="67" t="s">
        <v>4453</v>
      </c>
      <c r="N168" s="67"/>
      <c r="O168" s="112" t="str">
        <f t="shared" si="13"/>
        <v/>
      </c>
      <c r="P168" s="119"/>
    </row>
    <row r="169" spans="1:16" ht="19.5" customHeight="1" x14ac:dyDescent="0.25">
      <c r="A169" s="113" t="s">
        <v>4414</v>
      </c>
      <c r="B169" s="67" t="s">
        <v>2584</v>
      </c>
      <c r="C169" s="67" t="s">
        <v>120</v>
      </c>
      <c r="D169" s="114" t="s">
        <v>4451</v>
      </c>
      <c r="E169" s="115" t="s">
        <v>116</v>
      </c>
      <c r="F169" s="116" t="s">
        <v>4618</v>
      </c>
      <c r="G169" s="117">
        <v>0.5</v>
      </c>
      <c r="H169" s="118">
        <f>WORKDAY(I54,1)</f>
        <v>46147</v>
      </c>
      <c r="I169" s="118">
        <f t="shared" ref="I169:I200" si="14">H169</f>
        <v>46147</v>
      </c>
      <c r="J169" s="110"/>
      <c r="K169" s="110"/>
      <c r="L169" s="119"/>
      <c r="M169" s="67" t="s">
        <v>4453</v>
      </c>
      <c r="N169" s="67"/>
      <c r="O169" s="112" t="str">
        <f t="shared" si="13"/>
        <v/>
      </c>
      <c r="P169" s="119"/>
    </row>
    <row r="170" spans="1:16" ht="19.5" customHeight="1" x14ac:dyDescent="0.25">
      <c r="A170" s="113" t="s">
        <v>4414</v>
      </c>
      <c r="B170" s="67" t="s">
        <v>2584</v>
      </c>
      <c r="C170" s="67" t="s">
        <v>127</v>
      </c>
      <c r="D170" s="114" t="s">
        <v>4451</v>
      </c>
      <c r="E170" s="115" t="s">
        <v>116</v>
      </c>
      <c r="F170" s="116" t="s">
        <v>4619</v>
      </c>
      <c r="G170" s="117">
        <v>0.25</v>
      </c>
      <c r="H170" s="118">
        <f>WORKDAY(I54,1)</f>
        <v>46147</v>
      </c>
      <c r="I170" s="118">
        <f t="shared" si="14"/>
        <v>46147</v>
      </c>
      <c r="J170" s="110"/>
      <c r="K170" s="110"/>
      <c r="L170" s="119"/>
      <c r="M170" s="67" t="s">
        <v>4453</v>
      </c>
      <c r="N170" s="67"/>
      <c r="O170" s="112" t="str">
        <f t="shared" si="13"/>
        <v/>
      </c>
      <c r="P170" s="119"/>
    </row>
    <row r="171" spans="1:16" ht="19.5" customHeight="1" x14ac:dyDescent="0.25">
      <c r="A171" s="113" t="s">
        <v>4414</v>
      </c>
      <c r="B171" s="67" t="s">
        <v>2584</v>
      </c>
      <c r="C171" s="67" t="s">
        <v>134</v>
      </c>
      <c r="D171" s="114" t="s">
        <v>4451</v>
      </c>
      <c r="E171" s="115" t="s">
        <v>116</v>
      </c>
      <c r="F171" s="116" t="s">
        <v>4620</v>
      </c>
      <c r="G171" s="117">
        <v>0.25</v>
      </c>
      <c r="H171" s="118">
        <f>WORKDAY(I54,1)</f>
        <v>46147</v>
      </c>
      <c r="I171" s="118">
        <f t="shared" si="14"/>
        <v>46147</v>
      </c>
      <c r="J171" s="110"/>
      <c r="K171" s="110"/>
      <c r="L171" s="119"/>
      <c r="M171" s="67" t="s">
        <v>4453</v>
      </c>
      <c r="N171" s="67"/>
      <c r="O171" s="112" t="str">
        <f t="shared" si="13"/>
        <v/>
      </c>
      <c r="P171" s="119"/>
    </row>
    <row r="172" spans="1:16" ht="19.5" customHeight="1" x14ac:dyDescent="0.25">
      <c r="A172" s="113" t="s">
        <v>4414</v>
      </c>
      <c r="B172" s="67" t="s">
        <v>2584</v>
      </c>
      <c r="C172" s="67" t="s">
        <v>142</v>
      </c>
      <c r="D172" s="114" t="s">
        <v>4451</v>
      </c>
      <c r="E172" s="115" t="s">
        <v>116</v>
      </c>
      <c r="F172" s="116" t="s">
        <v>4621</v>
      </c>
      <c r="G172" s="117">
        <v>0.25</v>
      </c>
      <c r="H172" s="118">
        <f>WORKDAY(I54,1)</f>
        <v>46147</v>
      </c>
      <c r="I172" s="118">
        <f t="shared" si="14"/>
        <v>46147</v>
      </c>
      <c r="J172" s="110"/>
      <c r="K172" s="110"/>
      <c r="L172" s="119"/>
      <c r="M172" s="67" t="s">
        <v>4453</v>
      </c>
      <c r="N172" s="67"/>
      <c r="O172" s="112" t="str">
        <f t="shared" si="13"/>
        <v/>
      </c>
      <c r="P172" s="119"/>
    </row>
    <row r="173" spans="1:16" ht="19.5" customHeight="1" x14ac:dyDescent="0.25">
      <c r="A173" s="113" t="s">
        <v>4414</v>
      </c>
      <c r="B173" s="67" t="s">
        <v>2584</v>
      </c>
      <c r="C173" s="67" t="s">
        <v>150</v>
      </c>
      <c r="D173" s="114" t="s">
        <v>4451</v>
      </c>
      <c r="E173" s="115" t="s">
        <v>116</v>
      </c>
      <c r="F173" s="116" t="s">
        <v>4622</v>
      </c>
      <c r="G173" s="117">
        <v>1.25</v>
      </c>
      <c r="H173" s="118">
        <f>WORKDAY(I54,1)</f>
        <v>46147</v>
      </c>
      <c r="I173" s="118">
        <f t="shared" si="14"/>
        <v>46147</v>
      </c>
      <c r="J173" s="110"/>
      <c r="K173" s="110"/>
      <c r="L173" s="119"/>
      <c r="M173" s="67" t="s">
        <v>4453</v>
      </c>
      <c r="N173" s="67"/>
      <c r="O173" s="112" t="str">
        <f t="shared" si="13"/>
        <v/>
      </c>
      <c r="P173" s="119"/>
    </row>
    <row r="174" spans="1:16" ht="19.5" customHeight="1" x14ac:dyDescent="0.25">
      <c r="A174" s="113" t="s">
        <v>4414</v>
      </c>
      <c r="B174" s="67" t="s">
        <v>2584</v>
      </c>
      <c r="C174" s="67" t="s">
        <v>478</v>
      </c>
      <c r="D174" s="114" t="s">
        <v>4451</v>
      </c>
      <c r="E174" s="115" t="s">
        <v>116</v>
      </c>
      <c r="F174" s="116" t="s">
        <v>4623</v>
      </c>
      <c r="G174" s="117">
        <v>0.25</v>
      </c>
      <c r="H174" s="118">
        <f>WORKDAY(I54,1)</f>
        <v>46147</v>
      </c>
      <c r="I174" s="118">
        <f t="shared" si="14"/>
        <v>46147</v>
      </c>
      <c r="J174" s="110"/>
      <c r="K174" s="110"/>
      <c r="L174" s="119"/>
      <c r="M174" s="67" t="s">
        <v>4453</v>
      </c>
      <c r="N174" s="67"/>
      <c r="O174" s="112" t="str">
        <f t="shared" si="13"/>
        <v/>
      </c>
      <c r="P174" s="119"/>
    </row>
    <row r="175" spans="1:16" ht="19.5" customHeight="1" x14ac:dyDescent="0.25">
      <c r="A175" s="113" t="s">
        <v>4414</v>
      </c>
      <c r="B175" s="67" t="s">
        <v>2642</v>
      </c>
      <c r="C175" s="67" t="s">
        <v>112</v>
      </c>
      <c r="D175" s="114" t="s">
        <v>4451</v>
      </c>
      <c r="E175" s="115" t="s">
        <v>116</v>
      </c>
      <c r="F175" s="116" t="s">
        <v>4624</v>
      </c>
      <c r="G175" s="117">
        <v>1.25</v>
      </c>
      <c r="H175" s="118">
        <f>WORKDAY(I54,1)</f>
        <v>46147</v>
      </c>
      <c r="I175" s="118">
        <f t="shared" si="14"/>
        <v>46147</v>
      </c>
      <c r="J175" s="110"/>
      <c r="K175" s="110"/>
      <c r="L175" s="119"/>
      <c r="M175" s="67" t="s">
        <v>4453</v>
      </c>
      <c r="N175" s="67"/>
      <c r="O175" s="112" t="str">
        <f t="shared" si="13"/>
        <v/>
      </c>
      <c r="P175" s="119"/>
    </row>
    <row r="176" spans="1:16" ht="19.5" customHeight="1" x14ac:dyDescent="0.25">
      <c r="A176" s="113" t="s">
        <v>4414</v>
      </c>
      <c r="B176" s="67" t="s">
        <v>2642</v>
      </c>
      <c r="C176" s="67" t="s">
        <v>120</v>
      </c>
      <c r="D176" s="114" t="s">
        <v>4451</v>
      </c>
      <c r="E176" s="115" t="s">
        <v>116</v>
      </c>
      <c r="F176" s="116" t="s">
        <v>4625</v>
      </c>
      <c r="G176" s="117">
        <v>0.25</v>
      </c>
      <c r="H176" s="118">
        <f>WORKDAY(I54,1)</f>
        <v>46147</v>
      </c>
      <c r="I176" s="118">
        <f t="shared" si="14"/>
        <v>46147</v>
      </c>
      <c r="J176" s="110"/>
      <c r="K176" s="110"/>
      <c r="L176" s="119"/>
      <c r="M176" s="67" t="s">
        <v>4453</v>
      </c>
      <c r="N176" s="67"/>
      <c r="O176" s="112" t="str">
        <f t="shared" si="13"/>
        <v/>
      </c>
      <c r="P176" s="119"/>
    </row>
    <row r="177" spans="1:16" ht="19.5" customHeight="1" x14ac:dyDescent="0.25">
      <c r="A177" s="113" t="s">
        <v>4414</v>
      </c>
      <c r="B177" s="67" t="s">
        <v>2642</v>
      </c>
      <c r="C177" s="67" t="s">
        <v>127</v>
      </c>
      <c r="D177" s="114" t="s">
        <v>4451</v>
      </c>
      <c r="E177" s="115" t="s">
        <v>116</v>
      </c>
      <c r="F177" s="116" t="s">
        <v>4626</v>
      </c>
      <c r="G177" s="117">
        <v>0.25</v>
      </c>
      <c r="H177" s="118">
        <f>WORKDAY(I54,1)</f>
        <v>46147</v>
      </c>
      <c r="I177" s="118">
        <f t="shared" si="14"/>
        <v>46147</v>
      </c>
      <c r="J177" s="110"/>
      <c r="K177" s="110"/>
      <c r="L177" s="119"/>
      <c r="M177" s="67" t="s">
        <v>4453</v>
      </c>
      <c r="N177" s="67"/>
      <c r="O177" s="112" t="str">
        <f t="shared" si="13"/>
        <v/>
      </c>
      <c r="P177" s="119"/>
    </row>
    <row r="178" spans="1:16" ht="19.5" customHeight="1" x14ac:dyDescent="0.25">
      <c r="A178" s="113" t="s">
        <v>4414</v>
      </c>
      <c r="B178" s="67" t="s">
        <v>2642</v>
      </c>
      <c r="C178" s="67" t="s">
        <v>134</v>
      </c>
      <c r="D178" s="114" t="s">
        <v>4451</v>
      </c>
      <c r="E178" s="115" t="s">
        <v>116</v>
      </c>
      <c r="F178" s="116" t="s">
        <v>4627</v>
      </c>
      <c r="G178" s="117">
        <v>0.25</v>
      </c>
      <c r="H178" s="118">
        <f>WORKDAY(I54,1)</f>
        <v>46147</v>
      </c>
      <c r="I178" s="118">
        <f t="shared" si="14"/>
        <v>46147</v>
      </c>
      <c r="J178" s="110"/>
      <c r="K178" s="110"/>
      <c r="L178" s="119"/>
      <c r="M178" s="67" t="s">
        <v>4453</v>
      </c>
      <c r="N178" s="67"/>
      <c r="O178" s="112" t="str">
        <f t="shared" si="13"/>
        <v/>
      </c>
      <c r="P178" s="119"/>
    </row>
    <row r="179" spans="1:16" ht="19.5" customHeight="1" x14ac:dyDescent="0.25">
      <c r="A179" s="113" t="s">
        <v>4414</v>
      </c>
      <c r="B179" s="67" t="s">
        <v>2642</v>
      </c>
      <c r="C179" s="67" t="s">
        <v>142</v>
      </c>
      <c r="D179" s="114" t="s">
        <v>4451</v>
      </c>
      <c r="E179" s="115" t="s">
        <v>116</v>
      </c>
      <c r="F179" s="116" t="s">
        <v>4628</v>
      </c>
      <c r="G179" s="117">
        <v>0.25</v>
      </c>
      <c r="H179" s="118">
        <f>WORKDAY(I54,1)</f>
        <v>46147</v>
      </c>
      <c r="I179" s="118">
        <f t="shared" si="14"/>
        <v>46147</v>
      </c>
      <c r="J179" s="110"/>
      <c r="K179" s="110"/>
      <c r="L179" s="119"/>
      <c r="M179" s="67" t="s">
        <v>4453</v>
      </c>
      <c r="N179" s="67"/>
      <c r="O179" s="112" t="str">
        <f t="shared" si="13"/>
        <v/>
      </c>
      <c r="P179" s="119"/>
    </row>
    <row r="180" spans="1:16" ht="19.5" customHeight="1" x14ac:dyDescent="0.25">
      <c r="A180" s="113" t="s">
        <v>4414</v>
      </c>
      <c r="B180" s="67" t="s">
        <v>2642</v>
      </c>
      <c r="C180" s="67" t="s">
        <v>150</v>
      </c>
      <c r="D180" s="114" t="s">
        <v>4451</v>
      </c>
      <c r="E180" s="115" t="s">
        <v>116</v>
      </c>
      <c r="F180" s="116" t="s">
        <v>4629</v>
      </c>
      <c r="G180" s="117">
        <v>0.25</v>
      </c>
      <c r="H180" s="118">
        <f>WORKDAY(I54,1)</f>
        <v>46147</v>
      </c>
      <c r="I180" s="118">
        <f t="shared" si="14"/>
        <v>46147</v>
      </c>
      <c r="J180" s="110"/>
      <c r="K180" s="110"/>
      <c r="L180" s="119"/>
      <c r="M180" s="67" t="s">
        <v>4453</v>
      </c>
      <c r="N180" s="67"/>
      <c r="O180" s="112" t="str">
        <f t="shared" si="13"/>
        <v/>
      </c>
      <c r="P180" s="119"/>
    </row>
    <row r="181" spans="1:16" ht="19.5" customHeight="1" x14ac:dyDescent="0.25">
      <c r="A181" s="113" t="s">
        <v>4414</v>
      </c>
      <c r="B181" s="67" t="s">
        <v>2642</v>
      </c>
      <c r="C181" s="67" t="s">
        <v>478</v>
      </c>
      <c r="D181" s="114" t="s">
        <v>4451</v>
      </c>
      <c r="E181" s="115" t="s">
        <v>116</v>
      </c>
      <c r="F181" s="116" t="s">
        <v>4630</v>
      </c>
      <c r="G181" s="117">
        <v>0.25</v>
      </c>
      <c r="H181" s="118">
        <f>WORKDAY(I54,1)</f>
        <v>46147</v>
      </c>
      <c r="I181" s="118">
        <f t="shared" si="14"/>
        <v>46147</v>
      </c>
      <c r="J181" s="110"/>
      <c r="K181" s="110"/>
      <c r="L181" s="119"/>
      <c r="M181" s="67" t="s">
        <v>4453</v>
      </c>
      <c r="N181" s="67"/>
      <c r="O181" s="112" t="str">
        <f t="shared" si="13"/>
        <v/>
      </c>
      <c r="P181" s="119"/>
    </row>
    <row r="182" spans="1:16" ht="19.5" customHeight="1" x14ac:dyDescent="0.25">
      <c r="A182" s="113" t="s">
        <v>4414</v>
      </c>
      <c r="B182" s="67" t="s">
        <v>413</v>
      </c>
      <c r="C182" s="67" t="s">
        <v>478</v>
      </c>
      <c r="D182" s="114" t="s">
        <v>4498</v>
      </c>
      <c r="E182" s="115" t="s">
        <v>116</v>
      </c>
      <c r="F182" s="116" t="s">
        <v>4631</v>
      </c>
      <c r="G182" s="117">
        <v>1.25</v>
      </c>
      <c r="H182" s="118">
        <f>WORKDAY(I181,1)</f>
        <v>46148</v>
      </c>
      <c r="I182" s="118">
        <f t="shared" si="14"/>
        <v>46148</v>
      </c>
      <c r="J182" s="110"/>
      <c r="K182" s="110"/>
      <c r="L182" s="119"/>
      <c r="M182" s="67" t="s">
        <v>4453</v>
      </c>
      <c r="N182" s="67"/>
      <c r="O182" s="112" t="str">
        <f t="shared" si="13"/>
        <v/>
      </c>
      <c r="P182" s="119"/>
    </row>
    <row r="183" spans="1:16" ht="19.5" customHeight="1" x14ac:dyDescent="0.25">
      <c r="A183" s="120" t="s">
        <v>4414</v>
      </c>
      <c r="B183" s="68" t="s">
        <v>413</v>
      </c>
      <c r="C183" s="68" t="s">
        <v>157</v>
      </c>
      <c r="D183" s="121" t="s">
        <v>4451</v>
      </c>
      <c r="E183" s="122" t="s">
        <v>161</v>
      </c>
      <c r="F183" s="123" t="s">
        <v>4632</v>
      </c>
      <c r="G183" s="124">
        <v>1.75</v>
      </c>
      <c r="H183" s="125">
        <f>WORKDAY(MAX(I98,I182),1)</f>
        <v>46149</v>
      </c>
      <c r="I183" s="125">
        <f>WORKDAY(H183,1)</f>
        <v>46150</v>
      </c>
      <c r="J183" s="110"/>
      <c r="K183" s="110"/>
      <c r="L183" s="126"/>
      <c r="M183" s="68" t="s">
        <v>4453</v>
      </c>
      <c r="N183" s="68"/>
      <c r="O183" s="112" t="str">
        <f t="shared" si="13"/>
        <v/>
      </c>
      <c r="P183" s="126"/>
    </row>
    <row r="184" spans="1:16" ht="19.5" customHeight="1" x14ac:dyDescent="0.25">
      <c r="A184" s="120" t="s">
        <v>4414</v>
      </c>
      <c r="B184" s="68" t="s">
        <v>515</v>
      </c>
      <c r="C184" s="68" t="s">
        <v>157</v>
      </c>
      <c r="D184" s="121" t="s">
        <v>4451</v>
      </c>
      <c r="E184" s="122" t="s">
        <v>161</v>
      </c>
      <c r="F184" s="123" t="s">
        <v>4633</v>
      </c>
      <c r="G184" s="124">
        <v>1.25</v>
      </c>
      <c r="H184" s="125">
        <f>WORKDAY(MAX(I98,I182),1)</f>
        <v>46149</v>
      </c>
      <c r="I184" s="125">
        <f t="shared" ref="I184:I196" si="15">H184</f>
        <v>46149</v>
      </c>
      <c r="J184" s="110"/>
      <c r="K184" s="110"/>
      <c r="L184" s="126"/>
      <c r="M184" s="68" t="s">
        <v>4453</v>
      </c>
      <c r="N184" s="68"/>
      <c r="O184" s="112" t="str">
        <f t="shared" ref="O184:O200" si="16">IF(AND(J184&lt;&gt;"",K184&lt;&gt;""),NETWORKDAYS(J184,K184)-1-G184,"")</f>
        <v/>
      </c>
      <c r="P184" s="126"/>
    </row>
    <row r="185" spans="1:16" ht="19.5" customHeight="1" x14ac:dyDescent="0.25">
      <c r="A185" s="120" t="s">
        <v>4414</v>
      </c>
      <c r="B185" s="68" t="s">
        <v>563</v>
      </c>
      <c r="C185" s="68" t="s">
        <v>157</v>
      </c>
      <c r="D185" s="121" t="s">
        <v>4451</v>
      </c>
      <c r="E185" s="122" t="s">
        <v>161</v>
      </c>
      <c r="F185" s="123" t="s">
        <v>4634</v>
      </c>
      <c r="G185" s="124">
        <v>1</v>
      </c>
      <c r="H185" s="125">
        <f>WORKDAY(MAX(I98,I182),1)</f>
        <v>46149</v>
      </c>
      <c r="I185" s="125">
        <f t="shared" si="15"/>
        <v>46149</v>
      </c>
      <c r="J185" s="110"/>
      <c r="K185" s="110"/>
      <c r="L185" s="126"/>
      <c r="M185" s="68" t="s">
        <v>4453</v>
      </c>
      <c r="N185" s="68"/>
      <c r="O185" s="112" t="str">
        <f t="shared" si="16"/>
        <v/>
      </c>
      <c r="P185" s="126"/>
    </row>
    <row r="186" spans="1:16" ht="19.5" customHeight="1" x14ac:dyDescent="0.25">
      <c r="A186" s="120" t="s">
        <v>4414</v>
      </c>
      <c r="B186" s="68" t="s">
        <v>634</v>
      </c>
      <c r="C186" s="68" t="s">
        <v>166</v>
      </c>
      <c r="D186" s="121" t="s">
        <v>4451</v>
      </c>
      <c r="E186" s="122" t="s">
        <v>161</v>
      </c>
      <c r="F186" s="123" t="s">
        <v>4635</v>
      </c>
      <c r="G186" s="124">
        <v>1</v>
      </c>
      <c r="H186" s="125">
        <f>WORKDAY(MAX(I98,I182),1)</f>
        <v>46149</v>
      </c>
      <c r="I186" s="125">
        <f t="shared" si="15"/>
        <v>46149</v>
      </c>
      <c r="J186" s="110"/>
      <c r="K186" s="110"/>
      <c r="L186" s="126"/>
      <c r="M186" s="68" t="s">
        <v>4453</v>
      </c>
      <c r="N186" s="68"/>
      <c r="O186" s="112" t="str">
        <f t="shared" si="16"/>
        <v/>
      </c>
      <c r="P186" s="126"/>
    </row>
    <row r="187" spans="1:16" ht="19.5" customHeight="1" x14ac:dyDescent="0.25">
      <c r="A187" s="120" t="s">
        <v>4414</v>
      </c>
      <c r="B187" s="68" t="s">
        <v>2077</v>
      </c>
      <c r="C187" s="68" t="s">
        <v>157</v>
      </c>
      <c r="D187" s="121" t="s">
        <v>4451</v>
      </c>
      <c r="E187" s="122" t="s">
        <v>161</v>
      </c>
      <c r="F187" s="123" t="s">
        <v>4636</v>
      </c>
      <c r="G187" s="124">
        <v>1.25</v>
      </c>
      <c r="H187" s="125">
        <f>WORKDAY(MAX(I98,I182),1)</f>
        <v>46149</v>
      </c>
      <c r="I187" s="125">
        <f t="shared" si="15"/>
        <v>46149</v>
      </c>
      <c r="J187" s="110"/>
      <c r="K187" s="110"/>
      <c r="L187" s="126"/>
      <c r="M187" s="68" t="s">
        <v>4453</v>
      </c>
      <c r="N187" s="68"/>
      <c r="O187" s="112" t="str">
        <f t="shared" si="16"/>
        <v/>
      </c>
      <c r="P187" s="126"/>
    </row>
    <row r="188" spans="1:16" ht="19.5" customHeight="1" x14ac:dyDescent="0.25">
      <c r="A188" s="120" t="s">
        <v>4414</v>
      </c>
      <c r="B188" s="68" t="s">
        <v>2137</v>
      </c>
      <c r="C188" s="68" t="s">
        <v>157</v>
      </c>
      <c r="D188" s="121" t="s">
        <v>4451</v>
      </c>
      <c r="E188" s="122" t="s">
        <v>161</v>
      </c>
      <c r="F188" s="123" t="s">
        <v>4637</v>
      </c>
      <c r="G188" s="124">
        <v>1.25</v>
      </c>
      <c r="H188" s="125">
        <f>WORKDAY(MAX(I98,I182),1)</f>
        <v>46149</v>
      </c>
      <c r="I188" s="125">
        <f t="shared" si="15"/>
        <v>46149</v>
      </c>
      <c r="J188" s="110"/>
      <c r="K188" s="110"/>
      <c r="L188" s="126"/>
      <c r="M188" s="68" t="s">
        <v>4453</v>
      </c>
      <c r="N188" s="68"/>
      <c r="O188" s="112" t="str">
        <f t="shared" si="16"/>
        <v/>
      </c>
      <c r="P188" s="126"/>
    </row>
    <row r="189" spans="1:16" ht="19.5" customHeight="1" x14ac:dyDescent="0.25">
      <c r="A189" s="120" t="s">
        <v>4414</v>
      </c>
      <c r="B189" s="68" t="s">
        <v>2222</v>
      </c>
      <c r="C189" s="68" t="s">
        <v>157</v>
      </c>
      <c r="D189" s="121" t="s">
        <v>4451</v>
      </c>
      <c r="E189" s="122" t="s">
        <v>161</v>
      </c>
      <c r="F189" s="123" t="s">
        <v>4638</v>
      </c>
      <c r="G189" s="124">
        <v>1.25</v>
      </c>
      <c r="H189" s="125">
        <f>WORKDAY(MAX(I98,I182),1)</f>
        <v>46149</v>
      </c>
      <c r="I189" s="125">
        <f t="shared" si="15"/>
        <v>46149</v>
      </c>
      <c r="J189" s="110"/>
      <c r="K189" s="110"/>
      <c r="L189" s="126"/>
      <c r="M189" s="68" t="s">
        <v>4453</v>
      </c>
      <c r="N189" s="68"/>
      <c r="O189" s="112" t="str">
        <f t="shared" si="16"/>
        <v/>
      </c>
      <c r="P189" s="126"/>
    </row>
    <row r="190" spans="1:16" ht="19.5" customHeight="1" x14ac:dyDescent="0.25">
      <c r="A190" s="120" t="s">
        <v>4414</v>
      </c>
      <c r="B190" s="68" t="s">
        <v>2288</v>
      </c>
      <c r="C190" s="68" t="s">
        <v>157</v>
      </c>
      <c r="D190" s="121" t="s">
        <v>4451</v>
      </c>
      <c r="E190" s="122" t="s">
        <v>161</v>
      </c>
      <c r="F190" s="123" t="s">
        <v>4639</v>
      </c>
      <c r="G190" s="124">
        <v>1.25</v>
      </c>
      <c r="H190" s="125">
        <f>WORKDAY(MAX(I98,I182),1)</f>
        <v>46149</v>
      </c>
      <c r="I190" s="125">
        <f t="shared" si="15"/>
        <v>46149</v>
      </c>
      <c r="J190" s="110"/>
      <c r="K190" s="110"/>
      <c r="L190" s="126"/>
      <c r="M190" s="68" t="s">
        <v>4453</v>
      </c>
      <c r="N190" s="68"/>
      <c r="O190" s="112" t="str">
        <f t="shared" si="16"/>
        <v/>
      </c>
      <c r="P190" s="126"/>
    </row>
    <row r="191" spans="1:16" ht="19.5" customHeight="1" x14ac:dyDescent="0.25">
      <c r="A191" s="120" t="s">
        <v>4414</v>
      </c>
      <c r="B191" s="68" t="s">
        <v>2351</v>
      </c>
      <c r="C191" s="68" t="s">
        <v>157</v>
      </c>
      <c r="D191" s="121" t="s">
        <v>4451</v>
      </c>
      <c r="E191" s="122" t="s">
        <v>161</v>
      </c>
      <c r="F191" s="123" t="s">
        <v>4640</v>
      </c>
      <c r="G191" s="124">
        <v>1.25</v>
      </c>
      <c r="H191" s="125">
        <f>WORKDAY(MAX(I98,I182),1)</f>
        <v>46149</v>
      </c>
      <c r="I191" s="125">
        <f t="shared" si="15"/>
        <v>46149</v>
      </c>
      <c r="J191" s="110"/>
      <c r="K191" s="110"/>
      <c r="L191" s="126"/>
      <c r="M191" s="68" t="s">
        <v>4453</v>
      </c>
      <c r="N191" s="68"/>
      <c r="O191" s="112" t="str">
        <f t="shared" si="16"/>
        <v/>
      </c>
      <c r="P191" s="126"/>
    </row>
    <row r="192" spans="1:16" ht="19.5" customHeight="1" x14ac:dyDescent="0.25">
      <c r="A192" s="120" t="s">
        <v>4414</v>
      </c>
      <c r="B192" s="68" t="s">
        <v>2394</v>
      </c>
      <c r="C192" s="68" t="s">
        <v>157</v>
      </c>
      <c r="D192" s="121" t="s">
        <v>4451</v>
      </c>
      <c r="E192" s="122" t="s">
        <v>161</v>
      </c>
      <c r="F192" s="123" t="s">
        <v>4641</v>
      </c>
      <c r="G192" s="124">
        <v>1.25</v>
      </c>
      <c r="H192" s="125">
        <f>WORKDAY(MAX(I98,I182),1)</f>
        <v>46149</v>
      </c>
      <c r="I192" s="125">
        <f t="shared" si="15"/>
        <v>46149</v>
      </c>
      <c r="J192" s="110"/>
      <c r="K192" s="110"/>
      <c r="L192" s="126"/>
      <c r="M192" s="68" t="s">
        <v>4453</v>
      </c>
      <c r="N192" s="68"/>
      <c r="O192" s="112" t="str">
        <f t="shared" si="16"/>
        <v/>
      </c>
      <c r="P192" s="126"/>
    </row>
    <row r="193" spans="1:16" ht="19.5" customHeight="1" x14ac:dyDescent="0.25">
      <c r="A193" s="120" t="s">
        <v>4414</v>
      </c>
      <c r="B193" s="68" t="s">
        <v>2439</v>
      </c>
      <c r="C193" s="68" t="s">
        <v>157</v>
      </c>
      <c r="D193" s="121" t="s">
        <v>4451</v>
      </c>
      <c r="E193" s="122" t="s">
        <v>161</v>
      </c>
      <c r="F193" s="123" t="s">
        <v>4642</v>
      </c>
      <c r="G193" s="124">
        <v>1.25</v>
      </c>
      <c r="H193" s="125">
        <f>WORKDAY(MAX(I98,I182),1)</f>
        <v>46149</v>
      </c>
      <c r="I193" s="125">
        <f t="shared" si="15"/>
        <v>46149</v>
      </c>
      <c r="J193" s="110"/>
      <c r="K193" s="110"/>
      <c r="L193" s="126"/>
      <c r="M193" s="68" t="s">
        <v>4453</v>
      </c>
      <c r="N193" s="68"/>
      <c r="O193" s="112" t="str">
        <f t="shared" si="16"/>
        <v/>
      </c>
      <c r="P193" s="126"/>
    </row>
    <row r="194" spans="1:16" ht="19.5" customHeight="1" x14ac:dyDescent="0.25">
      <c r="A194" s="120" t="s">
        <v>4414</v>
      </c>
      <c r="B194" s="68" t="s">
        <v>2509</v>
      </c>
      <c r="C194" s="68" t="s">
        <v>157</v>
      </c>
      <c r="D194" s="121" t="s">
        <v>4451</v>
      </c>
      <c r="E194" s="122" t="s">
        <v>161</v>
      </c>
      <c r="F194" s="123" t="s">
        <v>4643</v>
      </c>
      <c r="G194" s="124">
        <v>1.25</v>
      </c>
      <c r="H194" s="125">
        <f>WORKDAY(MAX(I98,I182),1)</f>
        <v>46149</v>
      </c>
      <c r="I194" s="125">
        <f t="shared" si="15"/>
        <v>46149</v>
      </c>
      <c r="J194" s="110"/>
      <c r="K194" s="110"/>
      <c r="L194" s="126"/>
      <c r="M194" s="68" t="s">
        <v>4453</v>
      </c>
      <c r="N194" s="68"/>
      <c r="O194" s="112" t="str">
        <f t="shared" si="16"/>
        <v/>
      </c>
      <c r="P194" s="126"/>
    </row>
    <row r="195" spans="1:16" ht="19.5" customHeight="1" x14ac:dyDescent="0.25">
      <c r="A195" s="120" t="s">
        <v>4414</v>
      </c>
      <c r="B195" s="68" t="s">
        <v>2584</v>
      </c>
      <c r="C195" s="68" t="s">
        <v>157</v>
      </c>
      <c r="D195" s="121" t="s">
        <v>4451</v>
      </c>
      <c r="E195" s="122" t="s">
        <v>161</v>
      </c>
      <c r="F195" s="123" t="s">
        <v>4644</v>
      </c>
      <c r="G195" s="124">
        <v>1.25</v>
      </c>
      <c r="H195" s="125">
        <f>WORKDAY(MAX(I98,I182),1)</f>
        <v>46149</v>
      </c>
      <c r="I195" s="125">
        <f t="shared" si="15"/>
        <v>46149</v>
      </c>
      <c r="J195" s="110"/>
      <c r="K195" s="110"/>
      <c r="L195" s="126"/>
      <c r="M195" s="68" t="s">
        <v>4453</v>
      </c>
      <c r="N195" s="68"/>
      <c r="O195" s="112" t="str">
        <f t="shared" si="16"/>
        <v/>
      </c>
      <c r="P195" s="126"/>
    </row>
    <row r="196" spans="1:16" ht="19.5" customHeight="1" x14ac:dyDescent="0.25">
      <c r="A196" s="120" t="s">
        <v>4414</v>
      </c>
      <c r="B196" s="68" t="s">
        <v>2642</v>
      </c>
      <c r="C196" s="68" t="s">
        <v>157</v>
      </c>
      <c r="D196" s="121" t="s">
        <v>4451</v>
      </c>
      <c r="E196" s="122" t="s">
        <v>161</v>
      </c>
      <c r="F196" s="123" t="s">
        <v>4645</v>
      </c>
      <c r="G196" s="124">
        <v>1.25</v>
      </c>
      <c r="H196" s="125">
        <f>WORKDAY(MAX(I98,I182),1)</f>
        <v>46149</v>
      </c>
      <c r="I196" s="125">
        <f t="shared" si="15"/>
        <v>46149</v>
      </c>
      <c r="J196" s="110"/>
      <c r="K196" s="110"/>
      <c r="L196" s="126"/>
      <c r="M196" s="68" t="s">
        <v>4453</v>
      </c>
      <c r="N196" s="68"/>
      <c r="O196" s="112" t="str">
        <f t="shared" si="16"/>
        <v/>
      </c>
      <c r="P196" s="126"/>
    </row>
    <row r="197" spans="1:16" ht="19.5" customHeight="1" x14ac:dyDescent="0.25">
      <c r="A197" s="120" t="s">
        <v>4414</v>
      </c>
      <c r="B197" s="68" t="s">
        <v>587</v>
      </c>
      <c r="C197" s="68" t="s">
        <v>157</v>
      </c>
      <c r="D197" s="121" t="s">
        <v>4498</v>
      </c>
      <c r="E197" s="122" t="s">
        <v>161</v>
      </c>
      <c r="F197" s="123" t="s">
        <v>4646</v>
      </c>
      <c r="G197" s="124">
        <v>1.5</v>
      </c>
      <c r="H197" s="125">
        <f>WORKDAY(MAX(I98,I182),1)</f>
        <v>46149</v>
      </c>
      <c r="I197" s="125">
        <f>WORKDAY(H197,1)</f>
        <v>46150</v>
      </c>
      <c r="J197" s="110"/>
      <c r="K197" s="110"/>
      <c r="L197" s="126"/>
      <c r="M197" s="68" t="s">
        <v>4453</v>
      </c>
      <c r="N197" s="68"/>
      <c r="O197" s="112" t="str">
        <f t="shared" si="16"/>
        <v/>
      </c>
      <c r="P197" s="126"/>
    </row>
    <row r="198" spans="1:16" ht="19.5" customHeight="1" x14ac:dyDescent="0.25">
      <c r="A198" s="120" t="s">
        <v>4414</v>
      </c>
      <c r="B198" s="68" t="s">
        <v>634</v>
      </c>
      <c r="C198" s="68" t="s">
        <v>157</v>
      </c>
      <c r="D198" s="121" t="s">
        <v>4498</v>
      </c>
      <c r="E198" s="122" t="s">
        <v>161</v>
      </c>
      <c r="F198" s="123" t="s">
        <v>4647</v>
      </c>
      <c r="G198" s="124">
        <v>1.25</v>
      </c>
      <c r="H198" s="125">
        <f>WORKDAY(MAX(I98,I182),1)</f>
        <v>46149</v>
      </c>
      <c r="I198" s="125">
        <f>H198</f>
        <v>46149</v>
      </c>
      <c r="J198" s="110"/>
      <c r="K198" s="110"/>
      <c r="L198" s="126"/>
      <c r="M198" s="68" t="s">
        <v>4453</v>
      </c>
      <c r="N198" s="68"/>
      <c r="O198" s="112" t="str">
        <f t="shared" si="16"/>
        <v/>
      </c>
      <c r="P198" s="126"/>
    </row>
    <row r="199" spans="1:16" ht="19.5" customHeight="1" x14ac:dyDescent="0.25">
      <c r="A199" s="120" t="s">
        <v>4414</v>
      </c>
      <c r="B199" s="68" t="s">
        <v>680</v>
      </c>
      <c r="C199" s="68" t="s">
        <v>157</v>
      </c>
      <c r="D199" s="121" t="s">
        <v>4498</v>
      </c>
      <c r="E199" s="122" t="s">
        <v>161</v>
      </c>
      <c r="F199" s="123" t="s">
        <v>4648</v>
      </c>
      <c r="G199" s="124">
        <v>1.5</v>
      </c>
      <c r="H199" s="125">
        <f>WORKDAY(MAX(I98,I182),1)</f>
        <v>46149</v>
      </c>
      <c r="I199" s="125">
        <f>WORKDAY(H199,1)</f>
        <v>46150</v>
      </c>
      <c r="J199" s="110"/>
      <c r="K199" s="110"/>
      <c r="L199" s="126"/>
      <c r="M199" s="68" t="s">
        <v>4453</v>
      </c>
      <c r="N199" s="68"/>
      <c r="O199" s="112" t="str">
        <f t="shared" si="16"/>
        <v/>
      </c>
      <c r="P199" s="126"/>
    </row>
    <row r="200" spans="1:16" ht="19.5" customHeight="1" x14ac:dyDescent="0.25">
      <c r="A200" s="120" t="s">
        <v>4414</v>
      </c>
      <c r="B200" s="68" t="s">
        <v>723</v>
      </c>
      <c r="C200" s="68" t="s">
        <v>157</v>
      </c>
      <c r="D200" s="121" t="s">
        <v>4498</v>
      </c>
      <c r="E200" s="122" t="s">
        <v>161</v>
      </c>
      <c r="F200" s="123" t="s">
        <v>4649</v>
      </c>
      <c r="G200" s="124">
        <v>1</v>
      </c>
      <c r="H200" s="125">
        <f>WORKDAY(MAX(I98,I182),1)</f>
        <v>46149</v>
      </c>
      <c r="I200" s="125">
        <f>H200</f>
        <v>46149</v>
      </c>
      <c r="J200" s="110"/>
      <c r="K200" s="110"/>
      <c r="L200" s="126"/>
      <c r="M200" s="68" t="s">
        <v>4453</v>
      </c>
      <c r="N200" s="68"/>
      <c r="O200" s="112" t="str">
        <f t="shared" si="16"/>
        <v/>
      </c>
      <c r="P200" s="126"/>
    </row>
    <row r="201" spans="1:16" ht="19.5" customHeight="1" x14ac:dyDescent="0.25">
      <c r="A201" s="129" t="s">
        <v>4650</v>
      </c>
      <c r="J201" s="130"/>
      <c r="K201" s="130"/>
    </row>
    <row r="202" spans="1:16" ht="19.5" customHeight="1" x14ac:dyDescent="0.25">
      <c r="A202" s="104" t="s">
        <v>4416</v>
      </c>
      <c r="B202" s="66" t="s">
        <v>748</v>
      </c>
      <c r="C202" s="66" t="s">
        <v>26</v>
      </c>
      <c r="D202" s="105" t="s">
        <v>4451</v>
      </c>
      <c r="E202" s="106" t="s">
        <v>30</v>
      </c>
      <c r="F202" s="107" t="s">
        <v>4651</v>
      </c>
      <c r="G202" s="108">
        <v>1.75</v>
      </c>
      <c r="H202" s="109">
        <f>WORKDAY(I200,1)</f>
        <v>46150</v>
      </c>
      <c r="I202" s="109">
        <f>WORKDAY(H202,1)</f>
        <v>46153</v>
      </c>
      <c r="J202" s="110"/>
      <c r="K202" s="110"/>
      <c r="L202" s="111"/>
      <c r="M202" s="66" t="s">
        <v>4453</v>
      </c>
      <c r="N202" s="66"/>
      <c r="O202" s="112" t="str">
        <f t="shared" ref="O202:O228" si="17">IF(AND(J202&lt;&gt;"",K202&lt;&gt;""),NETWORKDAYS(J202,K202)-1-G202,"")</f>
        <v/>
      </c>
      <c r="P202" s="111"/>
    </row>
    <row r="203" spans="1:16" ht="19.5" customHeight="1" x14ac:dyDescent="0.25">
      <c r="A203" s="104" t="s">
        <v>4416</v>
      </c>
      <c r="B203" s="66" t="s">
        <v>748</v>
      </c>
      <c r="C203" s="66" t="s">
        <v>38</v>
      </c>
      <c r="D203" s="105" t="s">
        <v>4451</v>
      </c>
      <c r="E203" s="106" t="s">
        <v>30</v>
      </c>
      <c r="F203" s="107" t="s">
        <v>4652</v>
      </c>
      <c r="G203" s="108">
        <v>0.5</v>
      </c>
      <c r="H203" s="109">
        <f>WORKDAY(I200,1)</f>
        <v>46150</v>
      </c>
      <c r="I203" s="109">
        <f>H203</f>
        <v>46150</v>
      </c>
      <c r="J203" s="110"/>
      <c r="K203" s="110"/>
      <c r="L203" s="111"/>
      <c r="M203" s="66" t="s">
        <v>4453</v>
      </c>
      <c r="N203" s="66"/>
      <c r="O203" s="112" t="str">
        <f t="shared" si="17"/>
        <v/>
      </c>
      <c r="P203" s="111"/>
    </row>
    <row r="204" spans="1:16" ht="19.5" customHeight="1" x14ac:dyDescent="0.25">
      <c r="A204" s="104" t="s">
        <v>4416</v>
      </c>
      <c r="B204" s="66" t="s">
        <v>805</v>
      </c>
      <c r="C204" s="66" t="s">
        <v>26</v>
      </c>
      <c r="D204" s="105" t="s">
        <v>4451</v>
      </c>
      <c r="E204" s="106" t="s">
        <v>30</v>
      </c>
      <c r="F204" s="107" t="s">
        <v>4653</v>
      </c>
      <c r="G204" s="108">
        <v>2.5</v>
      </c>
      <c r="H204" s="109">
        <f>WORKDAY(I200,1)</f>
        <v>46150</v>
      </c>
      <c r="I204" s="109">
        <f>WORKDAY(H204,1)</f>
        <v>46153</v>
      </c>
      <c r="J204" s="110"/>
      <c r="K204" s="110"/>
      <c r="L204" s="111"/>
      <c r="M204" s="66" t="s">
        <v>4453</v>
      </c>
      <c r="N204" s="66"/>
      <c r="O204" s="112" t="str">
        <f t="shared" si="17"/>
        <v/>
      </c>
      <c r="P204" s="111"/>
    </row>
    <row r="205" spans="1:16" ht="19.5" customHeight="1" x14ac:dyDescent="0.25">
      <c r="A205" s="104" t="s">
        <v>4416</v>
      </c>
      <c r="B205" s="66" t="s">
        <v>805</v>
      </c>
      <c r="C205" s="66" t="s">
        <v>38</v>
      </c>
      <c r="D205" s="105" t="s">
        <v>4451</v>
      </c>
      <c r="E205" s="106" t="s">
        <v>30</v>
      </c>
      <c r="F205" s="107" t="s">
        <v>4654</v>
      </c>
      <c r="G205" s="108">
        <v>1.25</v>
      </c>
      <c r="H205" s="109">
        <f>WORKDAY(I200,1)</f>
        <v>46150</v>
      </c>
      <c r="I205" s="109">
        <f>H205</f>
        <v>46150</v>
      </c>
      <c r="J205" s="110"/>
      <c r="K205" s="110"/>
      <c r="L205" s="111"/>
      <c r="M205" s="66" t="s">
        <v>4453</v>
      </c>
      <c r="N205" s="66"/>
      <c r="O205" s="112" t="str">
        <f t="shared" si="17"/>
        <v/>
      </c>
      <c r="P205" s="111"/>
    </row>
    <row r="206" spans="1:16" ht="19.5" customHeight="1" x14ac:dyDescent="0.25">
      <c r="A206" s="104" t="s">
        <v>4416</v>
      </c>
      <c r="B206" s="66" t="s">
        <v>805</v>
      </c>
      <c r="C206" s="66" t="s">
        <v>46</v>
      </c>
      <c r="D206" s="105" t="s">
        <v>4451</v>
      </c>
      <c r="E206" s="106" t="s">
        <v>30</v>
      </c>
      <c r="F206" s="107" t="s">
        <v>4655</v>
      </c>
      <c r="G206" s="108">
        <v>1</v>
      </c>
      <c r="H206" s="109">
        <f>WORKDAY(I200,1)</f>
        <v>46150</v>
      </c>
      <c r="I206" s="109">
        <f>H206</f>
        <v>46150</v>
      </c>
      <c r="J206" s="110"/>
      <c r="K206" s="110"/>
      <c r="L206" s="111"/>
      <c r="M206" s="66" t="s">
        <v>4453</v>
      </c>
      <c r="N206" s="66"/>
      <c r="O206" s="112" t="str">
        <f t="shared" si="17"/>
        <v/>
      </c>
      <c r="P206" s="111"/>
    </row>
    <row r="207" spans="1:16" ht="19.5" customHeight="1" x14ac:dyDescent="0.25">
      <c r="A207" s="104" t="s">
        <v>4416</v>
      </c>
      <c r="B207" s="66" t="s">
        <v>805</v>
      </c>
      <c r="C207" s="66" t="s">
        <v>53</v>
      </c>
      <c r="D207" s="105" t="s">
        <v>4451</v>
      </c>
      <c r="E207" s="106" t="s">
        <v>30</v>
      </c>
      <c r="F207" s="107" t="s">
        <v>4656</v>
      </c>
      <c r="G207" s="108">
        <v>0.5</v>
      </c>
      <c r="H207" s="109">
        <f>WORKDAY(I200,1)</f>
        <v>46150</v>
      </c>
      <c r="I207" s="109">
        <f>H207</f>
        <v>46150</v>
      </c>
      <c r="J207" s="110"/>
      <c r="K207" s="110"/>
      <c r="L207" s="111"/>
      <c r="M207" s="66" t="s">
        <v>4453</v>
      </c>
      <c r="N207" s="66"/>
      <c r="O207" s="112" t="str">
        <f t="shared" si="17"/>
        <v/>
      </c>
      <c r="P207" s="111"/>
    </row>
    <row r="208" spans="1:16" ht="19.5" customHeight="1" x14ac:dyDescent="0.25">
      <c r="A208" s="104" t="s">
        <v>4416</v>
      </c>
      <c r="B208" s="66" t="s">
        <v>805</v>
      </c>
      <c r="C208" s="66" t="s">
        <v>64</v>
      </c>
      <c r="D208" s="105" t="s">
        <v>4451</v>
      </c>
      <c r="E208" s="106" t="s">
        <v>30</v>
      </c>
      <c r="F208" s="107" t="s">
        <v>4657</v>
      </c>
      <c r="G208" s="108">
        <v>1</v>
      </c>
      <c r="H208" s="109">
        <f>WORKDAY(I200,1)</f>
        <v>46150</v>
      </c>
      <c r="I208" s="109">
        <f>H208</f>
        <v>46150</v>
      </c>
      <c r="J208" s="110"/>
      <c r="K208" s="110"/>
      <c r="L208" s="111"/>
      <c r="M208" s="66" t="s">
        <v>4453</v>
      </c>
      <c r="N208" s="66"/>
      <c r="O208" s="112" t="str">
        <f t="shared" si="17"/>
        <v/>
      </c>
      <c r="P208" s="111"/>
    </row>
    <row r="209" spans="1:16" ht="19.5" customHeight="1" x14ac:dyDescent="0.25">
      <c r="A209" s="104" t="s">
        <v>4416</v>
      </c>
      <c r="B209" s="66" t="s">
        <v>805</v>
      </c>
      <c r="C209" s="66" t="s">
        <v>72</v>
      </c>
      <c r="D209" s="105" t="s">
        <v>4451</v>
      </c>
      <c r="E209" s="106" t="s">
        <v>30</v>
      </c>
      <c r="F209" s="107" t="s">
        <v>4658</v>
      </c>
      <c r="G209" s="108">
        <v>0.5</v>
      </c>
      <c r="H209" s="109">
        <f>WORKDAY(I200,1)</f>
        <v>46150</v>
      </c>
      <c r="I209" s="109">
        <f>H209</f>
        <v>46150</v>
      </c>
      <c r="J209" s="110"/>
      <c r="K209" s="110"/>
      <c r="L209" s="111"/>
      <c r="M209" s="66" t="s">
        <v>4453</v>
      </c>
      <c r="N209" s="66"/>
      <c r="O209" s="112" t="str">
        <f t="shared" si="17"/>
        <v/>
      </c>
      <c r="P209" s="111"/>
    </row>
    <row r="210" spans="1:16" ht="19.5" customHeight="1" x14ac:dyDescent="0.25">
      <c r="A210" s="104" t="s">
        <v>4416</v>
      </c>
      <c r="B210" s="66" t="s">
        <v>890</v>
      </c>
      <c r="C210" s="66" t="s">
        <v>26</v>
      </c>
      <c r="D210" s="105" t="s">
        <v>4451</v>
      </c>
      <c r="E210" s="106" t="s">
        <v>30</v>
      </c>
      <c r="F210" s="107" t="s">
        <v>4659</v>
      </c>
      <c r="G210" s="108">
        <v>2.5</v>
      </c>
      <c r="H210" s="109">
        <f>WORKDAY(I200,1)</f>
        <v>46150</v>
      </c>
      <c r="I210" s="109">
        <f>WORKDAY(H210,1)</f>
        <v>46153</v>
      </c>
      <c r="J210" s="110"/>
      <c r="K210" s="110"/>
      <c r="L210" s="111"/>
      <c r="M210" s="66" t="s">
        <v>4453</v>
      </c>
      <c r="N210" s="66"/>
      <c r="O210" s="112" t="str">
        <f t="shared" si="17"/>
        <v/>
      </c>
      <c r="P210" s="111"/>
    </row>
    <row r="211" spans="1:16" ht="19.5" customHeight="1" x14ac:dyDescent="0.25">
      <c r="A211" s="104" t="s">
        <v>4416</v>
      </c>
      <c r="B211" s="66" t="s">
        <v>890</v>
      </c>
      <c r="C211" s="66" t="s">
        <v>38</v>
      </c>
      <c r="D211" s="105" t="s">
        <v>4451</v>
      </c>
      <c r="E211" s="106" t="s">
        <v>30</v>
      </c>
      <c r="F211" s="107" t="s">
        <v>4660</v>
      </c>
      <c r="G211" s="108">
        <v>1</v>
      </c>
      <c r="H211" s="109">
        <f>WORKDAY(I200,1)</f>
        <v>46150</v>
      </c>
      <c r="I211" s="109">
        <f>H211</f>
        <v>46150</v>
      </c>
      <c r="J211" s="110"/>
      <c r="K211" s="110"/>
      <c r="L211" s="111"/>
      <c r="M211" s="66" t="s">
        <v>4453</v>
      </c>
      <c r="N211" s="66"/>
      <c r="O211" s="112" t="str">
        <f t="shared" si="17"/>
        <v/>
      </c>
      <c r="P211" s="111"/>
    </row>
    <row r="212" spans="1:16" ht="19.5" customHeight="1" x14ac:dyDescent="0.25">
      <c r="A212" s="104" t="s">
        <v>4416</v>
      </c>
      <c r="B212" s="66" t="s">
        <v>890</v>
      </c>
      <c r="C212" s="66" t="s">
        <v>46</v>
      </c>
      <c r="D212" s="105" t="s">
        <v>4451</v>
      </c>
      <c r="E212" s="106" t="s">
        <v>30</v>
      </c>
      <c r="F212" s="107" t="s">
        <v>4661</v>
      </c>
      <c r="G212" s="108">
        <v>0.5</v>
      </c>
      <c r="H212" s="109">
        <f>WORKDAY(I200,1)</f>
        <v>46150</v>
      </c>
      <c r="I212" s="109">
        <f>H212</f>
        <v>46150</v>
      </c>
      <c r="J212" s="110"/>
      <c r="K212" s="110"/>
      <c r="L212" s="111"/>
      <c r="M212" s="66" t="s">
        <v>4453</v>
      </c>
      <c r="N212" s="66"/>
      <c r="O212" s="112" t="str">
        <f t="shared" si="17"/>
        <v/>
      </c>
      <c r="P212" s="111"/>
    </row>
    <row r="213" spans="1:16" ht="19.5" customHeight="1" x14ac:dyDescent="0.25">
      <c r="A213" s="113" t="s">
        <v>4416</v>
      </c>
      <c r="B213" s="67" t="s">
        <v>748</v>
      </c>
      <c r="C213" s="67" t="s">
        <v>112</v>
      </c>
      <c r="D213" s="114" t="s">
        <v>4451</v>
      </c>
      <c r="E213" s="115" t="s">
        <v>116</v>
      </c>
      <c r="F213" s="116" t="s">
        <v>4662</v>
      </c>
      <c r="G213" s="117">
        <v>1.75</v>
      </c>
      <c r="H213" s="118">
        <f>WORKDAY(I200,1)</f>
        <v>46150</v>
      </c>
      <c r="I213" s="118">
        <f>WORKDAY(H213,1)</f>
        <v>46153</v>
      </c>
      <c r="J213" s="110"/>
      <c r="K213" s="110"/>
      <c r="L213" s="119"/>
      <c r="M213" s="67" t="s">
        <v>4453</v>
      </c>
      <c r="N213" s="67"/>
      <c r="O213" s="112" t="str">
        <f t="shared" si="17"/>
        <v/>
      </c>
      <c r="P213" s="119"/>
    </row>
    <row r="214" spans="1:16" ht="19.5" customHeight="1" x14ac:dyDescent="0.25">
      <c r="A214" s="113" t="s">
        <v>4416</v>
      </c>
      <c r="B214" s="67" t="s">
        <v>748</v>
      </c>
      <c r="C214" s="67" t="s">
        <v>120</v>
      </c>
      <c r="D214" s="114" t="s">
        <v>4451</v>
      </c>
      <c r="E214" s="115" t="s">
        <v>116</v>
      </c>
      <c r="F214" s="116" t="s">
        <v>4663</v>
      </c>
      <c r="G214" s="117">
        <v>0.5</v>
      </c>
      <c r="H214" s="118">
        <f>WORKDAY(I200,1)</f>
        <v>46150</v>
      </c>
      <c r="I214" s="118">
        <f>H214</f>
        <v>46150</v>
      </c>
      <c r="J214" s="110"/>
      <c r="K214" s="110"/>
      <c r="L214" s="119"/>
      <c r="M214" s="67" t="s">
        <v>4453</v>
      </c>
      <c r="N214" s="67"/>
      <c r="O214" s="112" t="str">
        <f t="shared" si="17"/>
        <v/>
      </c>
      <c r="P214" s="119"/>
    </row>
    <row r="215" spans="1:16" ht="19.5" customHeight="1" x14ac:dyDescent="0.25">
      <c r="A215" s="113" t="s">
        <v>4416</v>
      </c>
      <c r="B215" s="67" t="s">
        <v>748</v>
      </c>
      <c r="C215" s="67" t="s">
        <v>127</v>
      </c>
      <c r="D215" s="114" t="s">
        <v>4451</v>
      </c>
      <c r="E215" s="115" t="s">
        <v>116</v>
      </c>
      <c r="F215" s="116" t="s">
        <v>4664</v>
      </c>
      <c r="G215" s="117">
        <v>0.5</v>
      </c>
      <c r="H215" s="118">
        <f>WORKDAY(I200,1)</f>
        <v>46150</v>
      </c>
      <c r="I215" s="118">
        <f>H215</f>
        <v>46150</v>
      </c>
      <c r="J215" s="110"/>
      <c r="K215" s="110"/>
      <c r="L215" s="119"/>
      <c r="M215" s="67" t="s">
        <v>4453</v>
      </c>
      <c r="N215" s="67"/>
      <c r="O215" s="112" t="str">
        <f t="shared" si="17"/>
        <v/>
      </c>
      <c r="P215" s="119"/>
    </row>
    <row r="216" spans="1:16" ht="19.5" customHeight="1" x14ac:dyDescent="0.25">
      <c r="A216" s="113" t="s">
        <v>4416</v>
      </c>
      <c r="B216" s="67" t="s">
        <v>748</v>
      </c>
      <c r="C216" s="67" t="s">
        <v>134</v>
      </c>
      <c r="D216" s="114" t="s">
        <v>4451</v>
      </c>
      <c r="E216" s="115" t="s">
        <v>116</v>
      </c>
      <c r="F216" s="116" t="s">
        <v>4665</v>
      </c>
      <c r="G216" s="117">
        <v>0.5</v>
      </c>
      <c r="H216" s="118">
        <f>WORKDAY(I200,1)</f>
        <v>46150</v>
      </c>
      <c r="I216" s="118">
        <f>H216</f>
        <v>46150</v>
      </c>
      <c r="J216" s="110"/>
      <c r="K216" s="110"/>
      <c r="L216" s="119"/>
      <c r="M216" s="67" t="s">
        <v>4453</v>
      </c>
      <c r="N216" s="67"/>
      <c r="O216" s="112" t="str">
        <f t="shared" si="17"/>
        <v/>
      </c>
      <c r="P216" s="119"/>
    </row>
    <row r="217" spans="1:16" ht="19.5" customHeight="1" x14ac:dyDescent="0.25">
      <c r="A217" s="113" t="s">
        <v>4416</v>
      </c>
      <c r="B217" s="67" t="s">
        <v>748</v>
      </c>
      <c r="C217" s="67" t="s">
        <v>142</v>
      </c>
      <c r="D217" s="114" t="s">
        <v>4451</v>
      </c>
      <c r="E217" s="115" t="s">
        <v>116</v>
      </c>
      <c r="F217" s="116" t="s">
        <v>4666</v>
      </c>
      <c r="G217" s="117">
        <v>0.25</v>
      </c>
      <c r="H217" s="118">
        <f>WORKDAY(I200,1)</f>
        <v>46150</v>
      </c>
      <c r="I217" s="118">
        <f>H217</f>
        <v>46150</v>
      </c>
      <c r="J217" s="110"/>
      <c r="K217" s="110"/>
      <c r="L217" s="119"/>
      <c r="M217" s="67" t="s">
        <v>4453</v>
      </c>
      <c r="N217" s="67"/>
      <c r="O217" s="112" t="str">
        <f t="shared" si="17"/>
        <v/>
      </c>
      <c r="P217" s="119"/>
    </row>
    <row r="218" spans="1:16" ht="19.5" customHeight="1" x14ac:dyDescent="0.25">
      <c r="A218" s="113" t="s">
        <v>4416</v>
      </c>
      <c r="B218" s="67" t="s">
        <v>805</v>
      </c>
      <c r="C218" s="67" t="s">
        <v>112</v>
      </c>
      <c r="D218" s="114" t="s">
        <v>4451</v>
      </c>
      <c r="E218" s="115" t="s">
        <v>116</v>
      </c>
      <c r="F218" s="116" t="s">
        <v>4667</v>
      </c>
      <c r="G218" s="117">
        <v>1.75</v>
      </c>
      <c r="H218" s="118">
        <f>WORKDAY(I200,1)</f>
        <v>46150</v>
      </c>
      <c r="I218" s="118">
        <f>WORKDAY(H218,1)</f>
        <v>46153</v>
      </c>
      <c r="J218" s="110"/>
      <c r="K218" s="110"/>
      <c r="L218" s="119"/>
      <c r="M218" s="67" t="s">
        <v>4453</v>
      </c>
      <c r="N218" s="67"/>
      <c r="O218" s="112" t="str">
        <f t="shared" si="17"/>
        <v/>
      </c>
      <c r="P218" s="119"/>
    </row>
    <row r="219" spans="1:16" ht="19.5" customHeight="1" x14ac:dyDescent="0.25">
      <c r="A219" s="113" t="s">
        <v>4416</v>
      </c>
      <c r="B219" s="67" t="s">
        <v>805</v>
      </c>
      <c r="C219" s="67" t="s">
        <v>120</v>
      </c>
      <c r="D219" s="114" t="s">
        <v>4451</v>
      </c>
      <c r="E219" s="115" t="s">
        <v>116</v>
      </c>
      <c r="F219" s="116" t="s">
        <v>4668</v>
      </c>
      <c r="G219" s="117">
        <v>1</v>
      </c>
      <c r="H219" s="118">
        <f>WORKDAY(I200,1)</f>
        <v>46150</v>
      </c>
      <c r="I219" s="118">
        <f t="shared" ref="I219:I228" si="18">H219</f>
        <v>46150</v>
      </c>
      <c r="J219" s="110"/>
      <c r="K219" s="110"/>
      <c r="L219" s="119"/>
      <c r="M219" s="67" t="s">
        <v>4453</v>
      </c>
      <c r="N219" s="67"/>
      <c r="O219" s="112" t="str">
        <f t="shared" si="17"/>
        <v/>
      </c>
      <c r="P219" s="119"/>
    </row>
    <row r="220" spans="1:16" ht="19.5" customHeight="1" x14ac:dyDescent="0.25">
      <c r="A220" s="113" t="s">
        <v>4416</v>
      </c>
      <c r="B220" s="67" t="s">
        <v>805</v>
      </c>
      <c r="C220" s="67" t="s">
        <v>127</v>
      </c>
      <c r="D220" s="114" t="s">
        <v>4451</v>
      </c>
      <c r="E220" s="115" t="s">
        <v>116</v>
      </c>
      <c r="F220" s="116" t="s">
        <v>4669</v>
      </c>
      <c r="G220" s="117">
        <v>0.5</v>
      </c>
      <c r="H220" s="118">
        <f>WORKDAY(I200,1)</f>
        <v>46150</v>
      </c>
      <c r="I220" s="118">
        <f t="shared" si="18"/>
        <v>46150</v>
      </c>
      <c r="J220" s="110"/>
      <c r="K220" s="110"/>
      <c r="L220" s="119"/>
      <c r="M220" s="67" t="s">
        <v>4453</v>
      </c>
      <c r="N220" s="67"/>
      <c r="O220" s="112" t="str">
        <f t="shared" si="17"/>
        <v/>
      </c>
      <c r="P220" s="119"/>
    </row>
    <row r="221" spans="1:16" ht="19.5" customHeight="1" x14ac:dyDescent="0.25">
      <c r="A221" s="113" t="s">
        <v>4416</v>
      </c>
      <c r="B221" s="67" t="s">
        <v>805</v>
      </c>
      <c r="C221" s="67" t="s">
        <v>134</v>
      </c>
      <c r="D221" s="114" t="s">
        <v>4451</v>
      </c>
      <c r="E221" s="115" t="s">
        <v>116</v>
      </c>
      <c r="F221" s="116" t="s">
        <v>4670</v>
      </c>
      <c r="G221" s="117">
        <v>0.5</v>
      </c>
      <c r="H221" s="118">
        <f>WORKDAY(I200,1)</f>
        <v>46150</v>
      </c>
      <c r="I221" s="118">
        <f t="shared" si="18"/>
        <v>46150</v>
      </c>
      <c r="J221" s="110"/>
      <c r="K221" s="110"/>
      <c r="L221" s="119"/>
      <c r="M221" s="67" t="s">
        <v>4453</v>
      </c>
      <c r="N221" s="67"/>
      <c r="O221" s="112" t="str">
        <f t="shared" si="17"/>
        <v/>
      </c>
      <c r="P221" s="119"/>
    </row>
    <row r="222" spans="1:16" ht="19.5" customHeight="1" x14ac:dyDescent="0.25">
      <c r="A222" s="113" t="s">
        <v>4416</v>
      </c>
      <c r="B222" s="67" t="s">
        <v>805</v>
      </c>
      <c r="C222" s="67" t="s">
        <v>142</v>
      </c>
      <c r="D222" s="114" t="s">
        <v>4451</v>
      </c>
      <c r="E222" s="115" t="s">
        <v>116</v>
      </c>
      <c r="F222" s="116" t="s">
        <v>4671</v>
      </c>
      <c r="G222" s="117">
        <v>0.5</v>
      </c>
      <c r="H222" s="118">
        <f>WORKDAY(I200,1)</f>
        <v>46150</v>
      </c>
      <c r="I222" s="118">
        <f t="shared" si="18"/>
        <v>46150</v>
      </c>
      <c r="J222" s="110"/>
      <c r="K222" s="110"/>
      <c r="L222" s="119"/>
      <c r="M222" s="67" t="s">
        <v>4453</v>
      </c>
      <c r="N222" s="67"/>
      <c r="O222" s="112" t="str">
        <f t="shared" si="17"/>
        <v/>
      </c>
      <c r="P222" s="119"/>
    </row>
    <row r="223" spans="1:16" ht="19.5" customHeight="1" x14ac:dyDescent="0.25">
      <c r="A223" s="113" t="s">
        <v>4416</v>
      </c>
      <c r="B223" s="67" t="s">
        <v>805</v>
      </c>
      <c r="C223" s="67" t="s">
        <v>150</v>
      </c>
      <c r="D223" s="114" t="s">
        <v>4451</v>
      </c>
      <c r="E223" s="115" t="s">
        <v>116</v>
      </c>
      <c r="F223" s="116" t="s">
        <v>4672</v>
      </c>
      <c r="G223" s="117">
        <v>0.25</v>
      </c>
      <c r="H223" s="118">
        <f>WORKDAY(I200,1)</f>
        <v>46150</v>
      </c>
      <c r="I223" s="118">
        <f t="shared" si="18"/>
        <v>46150</v>
      </c>
      <c r="J223" s="110"/>
      <c r="K223" s="110"/>
      <c r="L223" s="119"/>
      <c r="M223" s="67" t="s">
        <v>4453</v>
      </c>
      <c r="N223" s="67"/>
      <c r="O223" s="112" t="str">
        <f t="shared" si="17"/>
        <v/>
      </c>
      <c r="P223" s="119"/>
    </row>
    <row r="224" spans="1:16" ht="19.5" customHeight="1" x14ac:dyDescent="0.25">
      <c r="A224" s="113" t="s">
        <v>4416</v>
      </c>
      <c r="B224" s="67" t="s">
        <v>890</v>
      </c>
      <c r="C224" s="67" t="s">
        <v>112</v>
      </c>
      <c r="D224" s="114" t="s">
        <v>4451</v>
      </c>
      <c r="E224" s="115" t="s">
        <v>116</v>
      </c>
      <c r="F224" s="116" t="s">
        <v>4673</v>
      </c>
      <c r="G224" s="117">
        <v>1.25</v>
      </c>
      <c r="H224" s="118">
        <f>WORKDAY(I200,1)</f>
        <v>46150</v>
      </c>
      <c r="I224" s="118">
        <f t="shared" si="18"/>
        <v>46150</v>
      </c>
      <c r="J224" s="110"/>
      <c r="K224" s="110"/>
      <c r="L224" s="119"/>
      <c r="M224" s="67" t="s">
        <v>4453</v>
      </c>
      <c r="N224" s="67"/>
      <c r="O224" s="112" t="str">
        <f t="shared" si="17"/>
        <v/>
      </c>
      <c r="P224" s="119"/>
    </row>
    <row r="225" spans="1:16" ht="19.5" customHeight="1" x14ac:dyDescent="0.25">
      <c r="A225" s="113" t="s">
        <v>4416</v>
      </c>
      <c r="B225" s="67" t="s">
        <v>890</v>
      </c>
      <c r="C225" s="67" t="s">
        <v>120</v>
      </c>
      <c r="D225" s="114" t="s">
        <v>4451</v>
      </c>
      <c r="E225" s="115" t="s">
        <v>116</v>
      </c>
      <c r="F225" s="116" t="s">
        <v>4674</v>
      </c>
      <c r="G225" s="117">
        <v>0.5</v>
      </c>
      <c r="H225" s="118">
        <f>WORKDAY(I200,1)</f>
        <v>46150</v>
      </c>
      <c r="I225" s="118">
        <f t="shared" si="18"/>
        <v>46150</v>
      </c>
      <c r="J225" s="110"/>
      <c r="K225" s="110"/>
      <c r="L225" s="119"/>
      <c r="M225" s="67" t="s">
        <v>4453</v>
      </c>
      <c r="N225" s="67"/>
      <c r="O225" s="112" t="str">
        <f t="shared" si="17"/>
        <v/>
      </c>
      <c r="P225" s="119"/>
    </row>
    <row r="226" spans="1:16" ht="19.5" customHeight="1" x14ac:dyDescent="0.25">
      <c r="A226" s="113" t="s">
        <v>4416</v>
      </c>
      <c r="B226" s="67" t="s">
        <v>890</v>
      </c>
      <c r="C226" s="67" t="s">
        <v>127</v>
      </c>
      <c r="D226" s="114" t="s">
        <v>4451</v>
      </c>
      <c r="E226" s="115" t="s">
        <v>116</v>
      </c>
      <c r="F226" s="116" t="s">
        <v>4675</v>
      </c>
      <c r="G226" s="117">
        <v>0.5</v>
      </c>
      <c r="H226" s="118">
        <f>WORKDAY(I200,1)</f>
        <v>46150</v>
      </c>
      <c r="I226" s="118">
        <f t="shared" si="18"/>
        <v>46150</v>
      </c>
      <c r="J226" s="110"/>
      <c r="K226" s="110"/>
      <c r="L226" s="119"/>
      <c r="M226" s="67" t="s">
        <v>4453</v>
      </c>
      <c r="N226" s="67"/>
      <c r="O226" s="112" t="str">
        <f t="shared" si="17"/>
        <v/>
      </c>
      <c r="P226" s="119"/>
    </row>
    <row r="227" spans="1:16" ht="19.5" customHeight="1" x14ac:dyDescent="0.25">
      <c r="A227" s="113" t="s">
        <v>4416</v>
      </c>
      <c r="B227" s="67" t="s">
        <v>890</v>
      </c>
      <c r="C227" s="67" t="s">
        <v>134</v>
      </c>
      <c r="D227" s="114" t="s">
        <v>4451</v>
      </c>
      <c r="E227" s="115" t="s">
        <v>116</v>
      </c>
      <c r="F227" s="116" t="s">
        <v>4676</v>
      </c>
      <c r="G227" s="117">
        <v>0.5</v>
      </c>
      <c r="H227" s="118">
        <f>WORKDAY(I200,1)</f>
        <v>46150</v>
      </c>
      <c r="I227" s="118">
        <f t="shared" si="18"/>
        <v>46150</v>
      </c>
      <c r="J227" s="110"/>
      <c r="K227" s="110"/>
      <c r="L227" s="119"/>
      <c r="M227" s="67" t="s">
        <v>4453</v>
      </c>
      <c r="N227" s="67"/>
      <c r="O227" s="112" t="str">
        <f t="shared" si="17"/>
        <v/>
      </c>
      <c r="P227" s="119"/>
    </row>
    <row r="228" spans="1:16" ht="19.5" customHeight="1" x14ac:dyDescent="0.25">
      <c r="A228" s="113" t="s">
        <v>4416</v>
      </c>
      <c r="B228" s="67" t="s">
        <v>890</v>
      </c>
      <c r="C228" s="67" t="s">
        <v>142</v>
      </c>
      <c r="D228" s="114" t="s">
        <v>4451</v>
      </c>
      <c r="E228" s="115" t="s">
        <v>116</v>
      </c>
      <c r="F228" s="116" t="s">
        <v>4677</v>
      </c>
      <c r="G228" s="117">
        <v>0.25</v>
      </c>
      <c r="H228" s="118">
        <f>WORKDAY(I200,1)</f>
        <v>46150</v>
      </c>
      <c r="I228" s="118">
        <f t="shared" si="18"/>
        <v>46150</v>
      </c>
      <c r="J228" s="110"/>
      <c r="K228" s="110"/>
      <c r="L228" s="119"/>
      <c r="M228" s="67" t="s">
        <v>4453</v>
      </c>
      <c r="N228" s="67"/>
      <c r="O228" s="112" t="str">
        <f t="shared" si="17"/>
        <v/>
      </c>
      <c r="P228" s="119"/>
    </row>
    <row r="229" spans="1:16" ht="19.5" customHeight="1" x14ac:dyDescent="0.25">
      <c r="A229" s="131" t="s">
        <v>4678</v>
      </c>
      <c r="J229" s="132"/>
      <c r="K229" s="132"/>
    </row>
    <row r="230" spans="1:16" ht="19.5" customHeight="1" x14ac:dyDescent="0.25">
      <c r="A230" s="104" t="s">
        <v>4418</v>
      </c>
      <c r="B230" s="66" t="s">
        <v>951</v>
      </c>
      <c r="C230" s="66" t="s">
        <v>26</v>
      </c>
      <c r="D230" s="105" t="s">
        <v>4451</v>
      </c>
      <c r="E230" s="106" t="s">
        <v>30</v>
      </c>
      <c r="F230" s="107" t="s">
        <v>4679</v>
      </c>
      <c r="G230" s="108">
        <v>2.5</v>
      </c>
      <c r="H230" s="109">
        <f>WORKDAY(I228,1)</f>
        <v>46153</v>
      </c>
      <c r="I230" s="109">
        <f>WORKDAY(H230,1)</f>
        <v>46154</v>
      </c>
      <c r="J230" s="110"/>
      <c r="K230" s="110"/>
      <c r="L230" s="111"/>
      <c r="M230" s="66" t="s">
        <v>4453</v>
      </c>
      <c r="N230" s="66"/>
      <c r="O230" s="112" t="str">
        <f t="shared" ref="O230:O254" si="19">IF(AND(J230&lt;&gt;"",K230&lt;&gt;""),NETWORKDAYS(J230,K230)-1-G230,"")</f>
        <v/>
      </c>
      <c r="P230" s="111"/>
    </row>
    <row r="231" spans="1:16" ht="19.5" customHeight="1" x14ac:dyDescent="0.25">
      <c r="A231" s="104" t="s">
        <v>4418</v>
      </c>
      <c r="B231" s="66" t="s">
        <v>951</v>
      </c>
      <c r="C231" s="66" t="s">
        <v>38</v>
      </c>
      <c r="D231" s="105" t="s">
        <v>4451</v>
      </c>
      <c r="E231" s="106" t="s">
        <v>30</v>
      </c>
      <c r="F231" s="107" t="s">
        <v>4680</v>
      </c>
      <c r="G231" s="108">
        <v>0.5</v>
      </c>
      <c r="H231" s="109">
        <f>WORKDAY(I228,1)</f>
        <v>46153</v>
      </c>
      <c r="I231" s="109">
        <f t="shared" ref="I231:I239" si="20">H231</f>
        <v>46153</v>
      </c>
      <c r="J231" s="110"/>
      <c r="K231" s="110"/>
      <c r="L231" s="111"/>
      <c r="M231" s="66" t="s">
        <v>4453</v>
      </c>
      <c r="N231" s="66"/>
      <c r="O231" s="112" t="str">
        <f t="shared" si="19"/>
        <v/>
      </c>
      <c r="P231" s="111"/>
    </row>
    <row r="232" spans="1:16" ht="19.5" customHeight="1" x14ac:dyDescent="0.25">
      <c r="A232" s="104" t="s">
        <v>4418</v>
      </c>
      <c r="B232" s="66" t="s">
        <v>951</v>
      </c>
      <c r="C232" s="66" t="s">
        <v>46</v>
      </c>
      <c r="D232" s="105" t="s">
        <v>4451</v>
      </c>
      <c r="E232" s="106" t="s">
        <v>30</v>
      </c>
      <c r="F232" s="107" t="s">
        <v>4681</v>
      </c>
      <c r="G232" s="108">
        <v>0.5</v>
      </c>
      <c r="H232" s="109">
        <f>WORKDAY(I228,1)</f>
        <v>46153</v>
      </c>
      <c r="I232" s="109">
        <f t="shared" si="20"/>
        <v>46153</v>
      </c>
      <c r="J232" s="110"/>
      <c r="K232" s="110"/>
      <c r="L232" s="111"/>
      <c r="M232" s="66" t="s">
        <v>4453</v>
      </c>
      <c r="N232" s="66"/>
      <c r="O232" s="112" t="str">
        <f t="shared" si="19"/>
        <v/>
      </c>
      <c r="P232" s="111"/>
    </row>
    <row r="233" spans="1:16" ht="19.5" customHeight="1" x14ac:dyDescent="0.25">
      <c r="A233" s="104" t="s">
        <v>4418</v>
      </c>
      <c r="B233" s="66" t="s">
        <v>1018</v>
      </c>
      <c r="C233" s="66" t="s">
        <v>26</v>
      </c>
      <c r="D233" s="105" t="s">
        <v>4451</v>
      </c>
      <c r="E233" s="106" t="s">
        <v>30</v>
      </c>
      <c r="F233" s="107" t="s">
        <v>4682</v>
      </c>
      <c r="G233" s="108">
        <v>1.25</v>
      </c>
      <c r="H233" s="109">
        <f>WORKDAY(I228,1)</f>
        <v>46153</v>
      </c>
      <c r="I233" s="109">
        <f t="shared" si="20"/>
        <v>46153</v>
      </c>
      <c r="J233" s="110"/>
      <c r="K233" s="110"/>
      <c r="L233" s="111"/>
      <c r="M233" s="66" t="s">
        <v>4453</v>
      </c>
      <c r="N233" s="66"/>
      <c r="O233" s="112" t="str">
        <f t="shared" si="19"/>
        <v/>
      </c>
      <c r="P233" s="111"/>
    </row>
    <row r="234" spans="1:16" ht="19.5" customHeight="1" x14ac:dyDescent="0.25">
      <c r="A234" s="104" t="s">
        <v>4418</v>
      </c>
      <c r="B234" s="66" t="s">
        <v>1018</v>
      </c>
      <c r="C234" s="66" t="s">
        <v>38</v>
      </c>
      <c r="D234" s="105" t="s">
        <v>4451</v>
      </c>
      <c r="E234" s="106" t="s">
        <v>30</v>
      </c>
      <c r="F234" s="107" t="s">
        <v>4683</v>
      </c>
      <c r="G234" s="108">
        <v>0.5</v>
      </c>
      <c r="H234" s="109">
        <f>WORKDAY(I228,1)</f>
        <v>46153</v>
      </c>
      <c r="I234" s="109">
        <f t="shared" si="20"/>
        <v>46153</v>
      </c>
      <c r="J234" s="110"/>
      <c r="K234" s="110"/>
      <c r="L234" s="111"/>
      <c r="M234" s="66" t="s">
        <v>4453</v>
      </c>
      <c r="N234" s="66"/>
      <c r="O234" s="112" t="str">
        <f t="shared" si="19"/>
        <v/>
      </c>
      <c r="P234" s="111"/>
    </row>
    <row r="235" spans="1:16" ht="19.5" customHeight="1" x14ac:dyDescent="0.25">
      <c r="A235" s="104" t="s">
        <v>4418</v>
      </c>
      <c r="B235" s="66" t="s">
        <v>1018</v>
      </c>
      <c r="C235" s="66" t="s">
        <v>46</v>
      </c>
      <c r="D235" s="105" t="s">
        <v>4451</v>
      </c>
      <c r="E235" s="106" t="s">
        <v>30</v>
      </c>
      <c r="F235" s="107" t="s">
        <v>4684</v>
      </c>
      <c r="G235" s="108">
        <v>1.25</v>
      </c>
      <c r="H235" s="109">
        <f>WORKDAY(I228,1)</f>
        <v>46153</v>
      </c>
      <c r="I235" s="109">
        <f t="shared" si="20"/>
        <v>46153</v>
      </c>
      <c r="J235" s="110"/>
      <c r="K235" s="110"/>
      <c r="L235" s="111"/>
      <c r="M235" s="66" t="s">
        <v>4453</v>
      </c>
      <c r="N235" s="66"/>
      <c r="O235" s="112" t="str">
        <f t="shared" si="19"/>
        <v/>
      </c>
      <c r="P235" s="111"/>
    </row>
    <row r="236" spans="1:16" ht="19.5" customHeight="1" x14ac:dyDescent="0.25">
      <c r="A236" s="104" t="s">
        <v>4418</v>
      </c>
      <c r="B236" s="66" t="s">
        <v>1018</v>
      </c>
      <c r="C236" s="66" t="s">
        <v>53</v>
      </c>
      <c r="D236" s="105" t="s">
        <v>4451</v>
      </c>
      <c r="E236" s="106" t="s">
        <v>30</v>
      </c>
      <c r="F236" s="107" t="s">
        <v>4685</v>
      </c>
      <c r="G236" s="108">
        <v>1.25</v>
      </c>
      <c r="H236" s="109">
        <f>WORKDAY(I228,1)</f>
        <v>46153</v>
      </c>
      <c r="I236" s="109">
        <f t="shared" si="20"/>
        <v>46153</v>
      </c>
      <c r="J236" s="110"/>
      <c r="K236" s="110"/>
      <c r="L236" s="111"/>
      <c r="M236" s="66" t="s">
        <v>4453</v>
      </c>
      <c r="N236" s="66"/>
      <c r="O236" s="112" t="str">
        <f t="shared" si="19"/>
        <v/>
      </c>
      <c r="P236" s="111"/>
    </row>
    <row r="237" spans="1:16" ht="19.5" customHeight="1" x14ac:dyDescent="0.25">
      <c r="A237" s="104" t="s">
        <v>4418</v>
      </c>
      <c r="B237" s="66" t="s">
        <v>1018</v>
      </c>
      <c r="C237" s="66" t="s">
        <v>64</v>
      </c>
      <c r="D237" s="105" t="s">
        <v>4451</v>
      </c>
      <c r="E237" s="106" t="s">
        <v>30</v>
      </c>
      <c r="F237" s="107" t="s">
        <v>4686</v>
      </c>
      <c r="G237" s="108">
        <v>1</v>
      </c>
      <c r="H237" s="109">
        <f>WORKDAY(I228,1)</f>
        <v>46153</v>
      </c>
      <c r="I237" s="109">
        <f t="shared" si="20"/>
        <v>46153</v>
      </c>
      <c r="J237" s="110"/>
      <c r="K237" s="110"/>
      <c r="L237" s="111"/>
      <c r="M237" s="66" t="s">
        <v>4453</v>
      </c>
      <c r="N237" s="66"/>
      <c r="O237" s="112" t="str">
        <f t="shared" si="19"/>
        <v/>
      </c>
      <c r="P237" s="111"/>
    </row>
    <row r="238" spans="1:16" ht="19.5" customHeight="1" x14ac:dyDescent="0.25">
      <c r="A238" s="104" t="s">
        <v>4418</v>
      </c>
      <c r="B238" s="66" t="s">
        <v>1018</v>
      </c>
      <c r="C238" s="66" t="s">
        <v>72</v>
      </c>
      <c r="D238" s="105" t="s">
        <v>4451</v>
      </c>
      <c r="E238" s="106" t="s">
        <v>30</v>
      </c>
      <c r="F238" s="107" t="s">
        <v>4687</v>
      </c>
      <c r="G238" s="108">
        <v>0.5</v>
      </c>
      <c r="H238" s="109">
        <f>WORKDAY(I228,1)</f>
        <v>46153</v>
      </c>
      <c r="I238" s="109">
        <f t="shared" si="20"/>
        <v>46153</v>
      </c>
      <c r="J238" s="110"/>
      <c r="K238" s="110"/>
      <c r="L238" s="111"/>
      <c r="M238" s="66" t="s">
        <v>4453</v>
      </c>
      <c r="N238" s="66"/>
      <c r="O238" s="112" t="str">
        <f t="shared" si="19"/>
        <v/>
      </c>
      <c r="P238" s="111"/>
    </row>
    <row r="239" spans="1:16" ht="19.5" customHeight="1" x14ac:dyDescent="0.25">
      <c r="A239" s="104" t="s">
        <v>4418</v>
      </c>
      <c r="B239" s="66" t="s">
        <v>1018</v>
      </c>
      <c r="C239" s="66" t="s">
        <v>80</v>
      </c>
      <c r="D239" s="105" t="s">
        <v>4451</v>
      </c>
      <c r="E239" s="106" t="s">
        <v>30</v>
      </c>
      <c r="F239" s="107" t="s">
        <v>4688</v>
      </c>
      <c r="G239" s="108">
        <v>0.25</v>
      </c>
      <c r="H239" s="109">
        <f>WORKDAY(I228,1)</f>
        <v>46153</v>
      </c>
      <c r="I239" s="109">
        <f t="shared" si="20"/>
        <v>46153</v>
      </c>
      <c r="J239" s="110"/>
      <c r="K239" s="110"/>
      <c r="L239" s="111"/>
      <c r="M239" s="66" t="s">
        <v>4453</v>
      </c>
      <c r="N239" s="66"/>
      <c r="O239" s="112" t="str">
        <f t="shared" si="19"/>
        <v/>
      </c>
      <c r="P239" s="111"/>
    </row>
    <row r="240" spans="1:16" ht="19.5" customHeight="1" x14ac:dyDescent="0.25">
      <c r="A240" s="113" t="s">
        <v>4418</v>
      </c>
      <c r="B240" s="67" t="s">
        <v>951</v>
      </c>
      <c r="C240" s="67" t="s">
        <v>112</v>
      </c>
      <c r="D240" s="114" t="s">
        <v>4451</v>
      </c>
      <c r="E240" s="115" t="s">
        <v>116</v>
      </c>
      <c r="F240" s="116" t="s">
        <v>4689</v>
      </c>
      <c r="G240" s="117">
        <v>2.5</v>
      </c>
      <c r="H240" s="118">
        <f>WORKDAY(I228,1)</f>
        <v>46153</v>
      </c>
      <c r="I240" s="118">
        <f>WORKDAY(H240,1)</f>
        <v>46154</v>
      </c>
      <c r="J240" s="110"/>
      <c r="K240" s="110"/>
      <c r="L240" s="119"/>
      <c r="M240" s="67" t="s">
        <v>4453</v>
      </c>
      <c r="N240" s="67"/>
      <c r="O240" s="112" t="str">
        <f t="shared" si="19"/>
        <v/>
      </c>
      <c r="P240" s="119"/>
    </row>
    <row r="241" spans="1:16" ht="19.5" customHeight="1" x14ac:dyDescent="0.25">
      <c r="A241" s="113" t="s">
        <v>4418</v>
      </c>
      <c r="B241" s="67" t="s">
        <v>951</v>
      </c>
      <c r="C241" s="67" t="s">
        <v>120</v>
      </c>
      <c r="D241" s="114" t="s">
        <v>4451</v>
      </c>
      <c r="E241" s="115" t="s">
        <v>116</v>
      </c>
      <c r="F241" s="116" t="s">
        <v>4690</v>
      </c>
      <c r="G241" s="117">
        <v>1</v>
      </c>
      <c r="H241" s="118">
        <f>WORKDAY(I228,1)</f>
        <v>46153</v>
      </c>
      <c r="I241" s="118">
        <f t="shared" ref="I241:I247" si="21">H241</f>
        <v>46153</v>
      </c>
      <c r="J241" s="110"/>
      <c r="K241" s="110"/>
      <c r="L241" s="119"/>
      <c r="M241" s="67" t="s">
        <v>4453</v>
      </c>
      <c r="N241" s="67"/>
      <c r="O241" s="112" t="str">
        <f t="shared" si="19"/>
        <v/>
      </c>
      <c r="P241" s="119"/>
    </row>
    <row r="242" spans="1:16" ht="19.5" customHeight="1" x14ac:dyDescent="0.25">
      <c r="A242" s="113" t="s">
        <v>4418</v>
      </c>
      <c r="B242" s="67" t="s">
        <v>951</v>
      </c>
      <c r="C242" s="67" t="s">
        <v>127</v>
      </c>
      <c r="D242" s="114" t="s">
        <v>4451</v>
      </c>
      <c r="E242" s="115" t="s">
        <v>116</v>
      </c>
      <c r="F242" s="116" t="s">
        <v>4691</v>
      </c>
      <c r="G242" s="117">
        <v>1.25</v>
      </c>
      <c r="H242" s="118">
        <f>WORKDAY(I228,1)</f>
        <v>46153</v>
      </c>
      <c r="I242" s="118">
        <f t="shared" si="21"/>
        <v>46153</v>
      </c>
      <c r="J242" s="110"/>
      <c r="K242" s="110"/>
      <c r="L242" s="119"/>
      <c r="M242" s="67" t="s">
        <v>4453</v>
      </c>
      <c r="N242" s="67"/>
      <c r="O242" s="112" t="str">
        <f t="shared" si="19"/>
        <v/>
      </c>
      <c r="P242" s="119"/>
    </row>
    <row r="243" spans="1:16" ht="19.5" customHeight="1" x14ac:dyDescent="0.25">
      <c r="A243" s="113" t="s">
        <v>4418</v>
      </c>
      <c r="B243" s="67" t="s">
        <v>951</v>
      </c>
      <c r="C243" s="67" t="s">
        <v>134</v>
      </c>
      <c r="D243" s="114" t="s">
        <v>4451</v>
      </c>
      <c r="E243" s="115" t="s">
        <v>116</v>
      </c>
      <c r="F243" s="116" t="s">
        <v>4692</v>
      </c>
      <c r="G243" s="117">
        <v>1.25</v>
      </c>
      <c r="H243" s="118">
        <f>WORKDAY(I228,1)</f>
        <v>46153</v>
      </c>
      <c r="I243" s="118">
        <f t="shared" si="21"/>
        <v>46153</v>
      </c>
      <c r="J243" s="110"/>
      <c r="K243" s="110"/>
      <c r="L243" s="119"/>
      <c r="M243" s="67" t="s">
        <v>4453</v>
      </c>
      <c r="N243" s="67"/>
      <c r="O243" s="112" t="str">
        <f t="shared" si="19"/>
        <v/>
      </c>
      <c r="P243" s="119"/>
    </row>
    <row r="244" spans="1:16" ht="19.5" customHeight="1" x14ac:dyDescent="0.25">
      <c r="A244" s="113" t="s">
        <v>4418</v>
      </c>
      <c r="B244" s="67" t="s">
        <v>951</v>
      </c>
      <c r="C244" s="67" t="s">
        <v>142</v>
      </c>
      <c r="D244" s="114" t="s">
        <v>4451</v>
      </c>
      <c r="E244" s="115" t="s">
        <v>116</v>
      </c>
      <c r="F244" s="116" t="s">
        <v>4693</v>
      </c>
      <c r="G244" s="117">
        <v>0.25</v>
      </c>
      <c r="H244" s="118">
        <f>WORKDAY(I228,1)</f>
        <v>46153</v>
      </c>
      <c r="I244" s="118">
        <f t="shared" si="21"/>
        <v>46153</v>
      </c>
      <c r="J244" s="110"/>
      <c r="K244" s="110"/>
      <c r="L244" s="119"/>
      <c r="M244" s="67" t="s">
        <v>4453</v>
      </c>
      <c r="N244" s="67"/>
      <c r="O244" s="112" t="str">
        <f t="shared" si="19"/>
        <v/>
      </c>
      <c r="P244" s="119"/>
    </row>
    <row r="245" spans="1:16" ht="19.5" customHeight="1" x14ac:dyDescent="0.25">
      <c r="A245" s="113" t="s">
        <v>4418</v>
      </c>
      <c r="B245" s="67" t="s">
        <v>951</v>
      </c>
      <c r="C245" s="67" t="s">
        <v>150</v>
      </c>
      <c r="D245" s="114" t="s">
        <v>4451</v>
      </c>
      <c r="E245" s="115" t="s">
        <v>116</v>
      </c>
      <c r="F245" s="116" t="s">
        <v>4694</v>
      </c>
      <c r="G245" s="117">
        <v>0.5</v>
      </c>
      <c r="H245" s="118">
        <f>WORKDAY(I228,1)</f>
        <v>46153</v>
      </c>
      <c r="I245" s="118">
        <f t="shared" si="21"/>
        <v>46153</v>
      </c>
      <c r="J245" s="110"/>
      <c r="K245" s="110"/>
      <c r="L245" s="119"/>
      <c r="M245" s="67" t="s">
        <v>4453</v>
      </c>
      <c r="N245" s="67"/>
      <c r="O245" s="112" t="str">
        <f t="shared" si="19"/>
        <v/>
      </c>
      <c r="P245" s="119"/>
    </row>
    <row r="246" spans="1:16" ht="19.5" customHeight="1" x14ac:dyDescent="0.25">
      <c r="A246" s="113" t="s">
        <v>4418</v>
      </c>
      <c r="B246" s="67" t="s">
        <v>1018</v>
      </c>
      <c r="C246" s="67" t="s">
        <v>112</v>
      </c>
      <c r="D246" s="114" t="s">
        <v>4451</v>
      </c>
      <c r="E246" s="115" t="s">
        <v>116</v>
      </c>
      <c r="F246" s="116" t="s">
        <v>4695</v>
      </c>
      <c r="G246" s="117">
        <v>1.25</v>
      </c>
      <c r="H246" s="118">
        <f>WORKDAY(I228,1)</f>
        <v>46153</v>
      </c>
      <c r="I246" s="118">
        <f t="shared" si="21"/>
        <v>46153</v>
      </c>
      <c r="J246" s="110"/>
      <c r="K246" s="110"/>
      <c r="L246" s="119"/>
      <c r="M246" s="67" t="s">
        <v>4453</v>
      </c>
      <c r="N246" s="67"/>
      <c r="O246" s="112" t="str">
        <f t="shared" si="19"/>
        <v/>
      </c>
      <c r="P246" s="119"/>
    </row>
    <row r="247" spans="1:16" ht="19.5" customHeight="1" x14ac:dyDescent="0.25">
      <c r="A247" s="113" t="s">
        <v>4418</v>
      </c>
      <c r="B247" s="67" t="s">
        <v>1018</v>
      </c>
      <c r="C247" s="67" t="s">
        <v>120</v>
      </c>
      <c r="D247" s="114" t="s">
        <v>4451</v>
      </c>
      <c r="E247" s="115" t="s">
        <v>116</v>
      </c>
      <c r="F247" s="116" t="s">
        <v>4696</v>
      </c>
      <c r="G247" s="117">
        <v>1</v>
      </c>
      <c r="H247" s="118">
        <f>WORKDAY(I228,1)</f>
        <v>46153</v>
      </c>
      <c r="I247" s="118">
        <f t="shared" si="21"/>
        <v>46153</v>
      </c>
      <c r="J247" s="110"/>
      <c r="K247" s="110"/>
      <c r="L247" s="119"/>
      <c r="M247" s="67" t="s">
        <v>4453</v>
      </c>
      <c r="N247" s="67"/>
      <c r="O247" s="112" t="str">
        <f t="shared" si="19"/>
        <v/>
      </c>
      <c r="P247" s="119"/>
    </row>
    <row r="248" spans="1:16" ht="19.5" customHeight="1" x14ac:dyDescent="0.25">
      <c r="A248" s="113" t="s">
        <v>4418</v>
      </c>
      <c r="B248" s="67" t="s">
        <v>1018</v>
      </c>
      <c r="C248" s="67" t="s">
        <v>127</v>
      </c>
      <c r="D248" s="114" t="s">
        <v>4451</v>
      </c>
      <c r="E248" s="115" t="s">
        <v>116</v>
      </c>
      <c r="F248" s="116" t="s">
        <v>4697</v>
      </c>
      <c r="G248" s="117">
        <v>1.75</v>
      </c>
      <c r="H248" s="118">
        <f>WORKDAY(I228,1)</f>
        <v>46153</v>
      </c>
      <c r="I248" s="118">
        <f>WORKDAY(H248,1)</f>
        <v>46154</v>
      </c>
      <c r="J248" s="110"/>
      <c r="K248" s="110"/>
      <c r="L248" s="119"/>
      <c r="M248" s="67" t="s">
        <v>4453</v>
      </c>
      <c r="N248" s="67"/>
      <c r="O248" s="112" t="str">
        <f t="shared" si="19"/>
        <v/>
      </c>
      <c r="P248" s="119"/>
    </row>
    <row r="249" spans="1:16" ht="19.5" customHeight="1" x14ac:dyDescent="0.25">
      <c r="A249" s="113" t="s">
        <v>4418</v>
      </c>
      <c r="B249" s="67" t="s">
        <v>1018</v>
      </c>
      <c r="C249" s="67" t="s">
        <v>134</v>
      </c>
      <c r="D249" s="114" t="s">
        <v>4451</v>
      </c>
      <c r="E249" s="115" t="s">
        <v>116</v>
      </c>
      <c r="F249" s="116" t="s">
        <v>4698</v>
      </c>
      <c r="G249" s="117">
        <v>1.25</v>
      </c>
      <c r="H249" s="118">
        <f>WORKDAY(I228,1)</f>
        <v>46153</v>
      </c>
      <c r="I249" s="118">
        <f>H249</f>
        <v>46153</v>
      </c>
      <c r="J249" s="110"/>
      <c r="K249" s="110"/>
      <c r="L249" s="119"/>
      <c r="M249" s="67" t="s">
        <v>4453</v>
      </c>
      <c r="N249" s="67"/>
      <c r="O249" s="112" t="str">
        <f t="shared" si="19"/>
        <v/>
      </c>
      <c r="P249" s="119"/>
    </row>
    <row r="250" spans="1:16" ht="19.5" customHeight="1" x14ac:dyDescent="0.25">
      <c r="A250" s="113" t="s">
        <v>4418</v>
      </c>
      <c r="B250" s="67" t="s">
        <v>1018</v>
      </c>
      <c r="C250" s="67" t="s">
        <v>142</v>
      </c>
      <c r="D250" s="114" t="s">
        <v>4451</v>
      </c>
      <c r="E250" s="115" t="s">
        <v>116</v>
      </c>
      <c r="F250" s="116" t="s">
        <v>4699</v>
      </c>
      <c r="G250" s="117">
        <v>0.5</v>
      </c>
      <c r="H250" s="118">
        <f>WORKDAY(I228,1)</f>
        <v>46153</v>
      </c>
      <c r="I250" s="118">
        <f>H250</f>
        <v>46153</v>
      </c>
      <c r="J250" s="110"/>
      <c r="K250" s="110"/>
      <c r="L250" s="119"/>
      <c r="M250" s="67" t="s">
        <v>4453</v>
      </c>
      <c r="N250" s="67"/>
      <c r="O250" s="112" t="str">
        <f t="shared" si="19"/>
        <v/>
      </c>
      <c r="P250" s="119"/>
    </row>
    <row r="251" spans="1:16" ht="19.5" customHeight="1" x14ac:dyDescent="0.25">
      <c r="A251" s="113" t="s">
        <v>4418</v>
      </c>
      <c r="B251" s="67" t="s">
        <v>1018</v>
      </c>
      <c r="C251" s="67" t="s">
        <v>150</v>
      </c>
      <c r="D251" s="114" t="s">
        <v>4451</v>
      </c>
      <c r="E251" s="115" t="s">
        <v>116</v>
      </c>
      <c r="F251" s="116" t="s">
        <v>4700</v>
      </c>
      <c r="G251" s="117">
        <v>0.25</v>
      </c>
      <c r="H251" s="118">
        <f>WORKDAY(I228,1)</f>
        <v>46153</v>
      </c>
      <c r="I251" s="118">
        <f>H251</f>
        <v>46153</v>
      </c>
      <c r="J251" s="110"/>
      <c r="K251" s="110"/>
      <c r="L251" s="119"/>
      <c r="M251" s="67" t="s">
        <v>4453</v>
      </c>
      <c r="N251" s="67"/>
      <c r="O251" s="112" t="str">
        <f t="shared" si="19"/>
        <v/>
      </c>
      <c r="P251" s="119"/>
    </row>
    <row r="252" spans="1:16" ht="19.5" customHeight="1" x14ac:dyDescent="0.25">
      <c r="A252" s="113" t="s">
        <v>4418</v>
      </c>
      <c r="B252" s="67" t="s">
        <v>1018</v>
      </c>
      <c r="C252" s="67" t="s">
        <v>478</v>
      </c>
      <c r="D252" s="114" t="s">
        <v>4451</v>
      </c>
      <c r="E252" s="115" t="s">
        <v>116</v>
      </c>
      <c r="F252" s="116" t="s">
        <v>4701</v>
      </c>
      <c r="G252" s="117">
        <v>0.5</v>
      </c>
      <c r="H252" s="118">
        <f>WORKDAY(I228,1)</f>
        <v>46153</v>
      </c>
      <c r="I252" s="118">
        <f>H252</f>
        <v>46153</v>
      </c>
      <c r="J252" s="110"/>
      <c r="K252" s="110"/>
      <c r="L252" s="119"/>
      <c r="M252" s="67" t="s">
        <v>4453</v>
      </c>
      <c r="N252" s="67"/>
      <c r="O252" s="112" t="str">
        <f t="shared" si="19"/>
        <v/>
      </c>
      <c r="P252" s="119"/>
    </row>
    <row r="253" spans="1:16" ht="19.5" customHeight="1" x14ac:dyDescent="0.25">
      <c r="A253" s="120" t="s">
        <v>4418</v>
      </c>
      <c r="B253" s="68" t="s">
        <v>1018</v>
      </c>
      <c r="C253" s="68" t="s">
        <v>166</v>
      </c>
      <c r="D253" s="121" t="s">
        <v>4451</v>
      </c>
      <c r="E253" s="122" t="s">
        <v>161</v>
      </c>
      <c r="F253" s="123" t="s">
        <v>4702</v>
      </c>
      <c r="G253" s="124">
        <v>1.75</v>
      </c>
      <c r="H253" s="125">
        <f>WORKDAY(MAX(I239,I252),1)</f>
        <v>46154</v>
      </c>
      <c r="I253" s="125">
        <f>WORKDAY(H253,1)</f>
        <v>46155</v>
      </c>
      <c r="J253" s="110"/>
      <c r="K253" s="110"/>
      <c r="L253" s="126"/>
      <c r="M253" s="68" t="s">
        <v>4453</v>
      </c>
      <c r="N253" s="68"/>
      <c r="O253" s="112" t="str">
        <f t="shared" si="19"/>
        <v/>
      </c>
      <c r="P253" s="126"/>
    </row>
    <row r="254" spans="1:16" ht="19.5" customHeight="1" x14ac:dyDescent="0.25">
      <c r="A254" s="120" t="s">
        <v>4418</v>
      </c>
      <c r="B254" s="68" t="s">
        <v>1018</v>
      </c>
      <c r="C254" s="68" t="s">
        <v>157</v>
      </c>
      <c r="D254" s="121" t="s">
        <v>4498</v>
      </c>
      <c r="E254" s="122" t="s">
        <v>161</v>
      </c>
      <c r="F254" s="123" t="s">
        <v>4703</v>
      </c>
      <c r="G254" s="124">
        <v>1</v>
      </c>
      <c r="H254" s="125">
        <f>WORKDAY(MAX(I239,I252),1)</f>
        <v>46154</v>
      </c>
      <c r="I254" s="125">
        <f>H254</f>
        <v>46154</v>
      </c>
      <c r="J254" s="110"/>
      <c r="K254" s="110"/>
      <c r="L254" s="126"/>
      <c r="M254" s="68" t="s">
        <v>4453</v>
      </c>
      <c r="N254" s="68"/>
      <c r="O254" s="112" t="str">
        <f t="shared" si="19"/>
        <v/>
      </c>
      <c r="P254" s="126"/>
    </row>
    <row r="255" spans="1:16" ht="19.5" customHeight="1" x14ac:dyDescent="0.25">
      <c r="A255" s="133" t="s">
        <v>4704</v>
      </c>
      <c r="J255" s="130"/>
      <c r="K255" s="130"/>
    </row>
    <row r="256" spans="1:16" ht="19.5" customHeight="1" x14ac:dyDescent="0.25">
      <c r="A256" s="104" t="s">
        <v>4420</v>
      </c>
      <c r="B256" s="66" t="s">
        <v>1147</v>
      </c>
      <c r="C256" s="66" t="s">
        <v>26</v>
      </c>
      <c r="D256" s="105" t="s">
        <v>4451</v>
      </c>
      <c r="E256" s="106" t="s">
        <v>30</v>
      </c>
      <c r="F256" s="107" t="s">
        <v>4705</v>
      </c>
      <c r="G256" s="108">
        <v>1.25</v>
      </c>
      <c r="H256" s="109">
        <f>WORKDAY(I254,1)</f>
        <v>46155</v>
      </c>
      <c r="I256" s="109">
        <f>H256</f>
        <v>46155</v>
      </c>
      <c r="J256" s="110"/>
      <c r="K256" s="110"/>
      <c r="L256" s="111"/>
      <c r="M256" s="66" t="s">
        <v>4453</v>
      </c>
      <c r="N256" s="66"/>
      <c r="O256" s="112" t="str">
        <f t="shared" ref="O256:O301" si="22">IF(AND(J256&lt;&gt;"",K256&lt;&gt;""),NETWORKDAYS(J256,K256)-1-G256,"")</f>
        <v/>
      </c>
      <c r="P256" s="111"/>
    </row>
    <row r="257" spans="1:16" ht="19.5" customHeight="1" x14ac:dyDescent="0.25">
      <c r="A257" s="104" t="s">
        <v>4420</v>
      </c>
      <c r="B257" s="66" t="s">
        <v>1147</v>
      </c>
      <c r="C257" s="66" t="s">
        <v>38</v>
      </c>
      <c r="D257" s="105" t="s">
        <v>4451</v>
      </c>
      <c r="E257" s="106" t="s">
        <v>30</v>
      </c>
      <c r="F257" s="107" t="s">
        <v>4706</v>
      </c>
      <c r="G257" s="108">
        <v>2.5</v>
      </c>
      <c r="H257" s="109">
        <f>WORKDAY(I254,1)</f>
        <v>46155</v>
      </c>
      <c r="I257" s="109">
        <f>WORKDAY(H257,1)</f>
        <v>46156</v>
      </c>
      <c r="J257" s="110"/>
      <c r="K257" s="110"/>
      <c r="L257" s="111"/>
      <c r="M257" s="66" t="s">
        <v>4453</v>
      </c>
      <c r="N257" s="66"/>
      <c r="O257" s="112" t="str">
        <f t="shared" si="22"/>
        <v/>
      </c>
      <c r="P257" s="111"/>
    </row>
    <row r="258" spans="1:16" ht="19.5" customHeight="1" x14ac:dyDescent="0.25">
      <c r="A258" s="104" t="s">
        <v>4420</v>
      </c>
      <c r="B258" s="66" t="s">
        <v>1147</v>
      </c>
      <c r="C258" s="66" t="s">
        <v>46</v>
      </c>
      <c r="D258" s="105" t="s">
        <v>4451</v>
      </c>
      <c r="E258" s="106" t="s">
        <v>30</v>
      </c>
      <c r="F258" s="107" t="s">
        <v>4707</v>
      </c>
      <c r="G258" s="108">
        <v>2.5</v>
      </c>
      <c r="H258" s="109">
        <f>WORKDAY(I254,1)</f>
        <v>46155</v>
      </c>
      <c r="I258" s="109">
        <f>WORKDAY(H258,1)</f>
        <v>46156</v>
      </c>
      <c r="J258" s="110"/>
      <c r="K258" s="110"/>
      <c r="L258" s="111"/>
      <c r="M258" s="66" t="s">
        <v>4453</v>
      </c>
      <c r="N258" s="66"/>
      <c r="O258" s="112" t="str">
        <f t="shared" si="22"/>
        <v/>
      </c>
      <c r="P258" s="111"/>
    </row>
    <row r="259" spans="1:16" ht="19.5" customHeight="1" x14ac:dyDescent="0.25">
      <c r="A259" s="104" t="s">
        <v>4420</v>
      </c>
      <c r="B259" s="66" t="s">
        <v>1147</v>
      </c>
      <c r="C259" s="66" t="s">
        <v>53</v>
      </c>
      <c r="D259" s="105" t="s">
        <v>4451</v>
      </c>
      <c r="E259" s="106" t="s">
        <v>30</v>
      </c>
      <c r="F259" s="107" t="s">
        <v>4708</v>
      </c>
      <c r="G259" s="108">
        <v>1.75</v>
      </c>
      <c r="H259" s="109">
        <f>WORKDAY(I254,1)</f>
        <v>46155</v>
      </c>
      <c r="I259" s="109">
        <f>WORKDAY(H259,1)</f>
        <v>46156</v>
      </c>
      <c r="J259" s="110"/>
      <c r="K259" s="110"/>
      <c r="L259" s="111"/>
      <c r="M259" s="66" t="s">
        <v>4453</v>
      </c>
      <c r="N259" s="66"/>
      <c r="O259" s="112" t="str">
        <f t="shared" si="22"/>
        <v/>
      </c>
      <c r="P259" s="111"/>
    </row>
    <row r="260" spans="1:16" ht="19.5" customHeight="1" x14ac:dyDescent="0.25">
      <c r="A260" s="104" t="s">
        <v>4420</v>
      </c>
      <c r="B260" s="66" t="s">
        <v>1147</v>
      </c>
      <c r="C260" s="66" t="s">
        <v>64</v>
      </c>
      <c r="D260" s="105" t="s">
        <v>4451</v>
      </c>
      <c r="E260" s="106" t="s">
        <v>30</v>
      </c>
      <c r="F260" s="107" t="s">
        <v>4709</v>
      </c>
      <c r="G260" s="108">
        <v>1.75</v>
      </c>
      <c r="H260" s="109">
        <f>WORKDAY(I254,1)</f>
        <v>46155</v>
      </c>
      <c r="I260" s="109">
        <f>WORKDAY(H260,1)</f>
        <v>46156</v>
      </c>
      <c r="J260" s="110"/>
      <c r="K260" s="110"/>
      <c r="L260" s="111"/>
      <c r="M260" s="66" t="s">
        <v>4453</v>
      </c>
      <c r="N260" s="66"/>
      <c r="O260" s="112" t="str">
        <f t="shared" si="22"/>
        <v/>
      </c>
      <c r="P260" s="111"/>
    </row>
    <row r="261" spans="1:16" ht="19.5" customHeight="1" x14ac:dyDescent="0.25">
      <c r="A261" s="104" t="s">
        <v>4420</v>
      </c>
      <c r="B261" s="66" t="s">
        <v>1147</v>
      </c>
      <c r="C261" s="66" t="s">
        <v>72</v>
      </c>
      <c r="D261" s="105" t="s">
        <v>4451</v>
      </c>
      <c r="E261" s="106" t="s">
        <v>30</v>
      </c>
      <c r="F261" s="107" t="s">
        <v>4710</v>
      </c>
      <c r="G261" s="108">
        <v>1.25</v>
      </c>
      <c r="H261" s="109">
        <f>WORKDAY(I254,1)</f>
        <v>46155</v>
      </c>
      <c r="I261" s="109">
        <f>H261</f>
        <v>46155</v>
      </c>
      <c r="J261" s="110"/>
      <c r="K261" s="110"/>
      <c r="L261" s="111"/>
      <c r="M261" s="66" t="s">
        <v>4453</v>
      </c>
      <c r="N261" s="66"/>
      <c r="O261" s="112" t="str">
        <f t="shared" si="22"/>
        <v/>
      </c>
      <c r="P261" s="111"/>
    </row>
    <row r="262" spans="1:16" ht="19.5" customHeight="1" x14ac:dyDescent="0.25">
      <c r="A262" s="104" t="s">
        <v>4420</v>
      </c>
      <c r="B262" s="66" t="s">
        <v>1147</v>
      </c>
      <c r="C262" s="66" t="s">
        <v>80</v>
      </c>
      <c r="D262" s="105" t="s">
        <v>4451</v>
      </c>
      <c r="E262" s="106" t="s">
        <v>30</v>
      </c>
      <c r="F262" s="107" t="s">
        <v>4711</v>
      </c>
      <c r="G262" s="108">
        <v>1.25</v>
      </c>
      <c r="H262" s="109">
        <f>WORKDAY(I254,1)</f>
        <v>46155</v>
      </c>
      <c r="I262" s="109">
        <f>H262</f>
        <v>46155</v>
      </c>
      <c r="J262" s="110"/>
      <c r="K262" s="110"/>
      <c r="L262" s="111"/>
      <c r="M262" s="66" t="s">
        <v>4453</v>
      </c>
      <c r="N262" s="66"/>
      <c r="O262" s="112" t="str">
        <f t="shared" si="22"/>
        <v/>
      </c>
      <c r="P262" s="111"/>
    </row>
    <row r="263" spans="1:16" ht="19.5" customHeight="1" x14ac:dyDescent="0.25">
      <c r="A263" s="104" t="s">
        <v>4420</v>
      </c>
      <c r="B263" s="66" t="s">
        <v>1147</v>
      </c>
      <c r="C263" s="66" t="s">
        <v>88</v>
      </c>
      <c r="D263" s="105" t="s">
        <v>4451</v>
      </c>
      <c r="E263" s="106" t="s">
        <v>30</v>
      </c>
      <c r="F263" s="107" t="s">
        <v>4712</v>
      </c>
      <c r="G263" s="108">
        <v>1.75</v>
      </c>
      <c r="H263" s="109">
        <f>WORKDAY(I254,1)</f>
        <v>46155</v>
      </c>
      <c r="I263" s="109">
        <f>WORKDAY(H263,1)</f>
        <v>46156</v>
      </c>
      <c r="J263" s="110"/>
      <c r="K263" s="110"/>
      <c r="L263" s="111"/>
      <c r="M263" s="66" t="s">
        <v>4453</v>
      </c>
      <c r="N263" s="66"/>
      <c r="O263" s="112" t="str">
        <f t="shared" si="22"/>
        <v/>
      </c>
      <c r="P263" s="111"/>
    </row>
    <row r="264" spans="1:16" ht="19.5" customHeight="1" x14ac:dyDescent="0.25">
      <c r="A264" s="104" t="s">
        <v>4420</v>
      </c>
      <c r="B264" s="66" t="s">
        <v>1147</v>
      </c>
      <c r="C264" s="66" t="s">
        <v>95</v>
      </c>
      <c r="D264" s="105" t="s">
        <v>4451</v>
      </c>
      <c r="E264" s="106" t="s">
        <v>30</v>
      </c>
      <c r="F264" s="107" t="s">
        <v>4713</v>
      </c>
      <c r="G264" s="108">
        <v>2.5</v>
      </c>
      <c r="H264" s="109">
        <f>WORKDAY(I254,1)</f>
        <v>46155</v>
      </c>
      <c r="I264" s="109">
        <f>WORKDAY(H264,1)</f>
        <v>46156</v>
      </c>
      <c r="J264" s="110"/>
      <c r="K264" s="110"/>
      <c r="L264" s="111"/>
      <c r="M264" s="66" t="s">
        <v>4453</v>
      </c>
      <c r="N264" s="66"/>
      <c r="O264" s="112" t="str">
        <f t="shared" si="22"/>
        <v/>
      </c>
      <c r="P264" s="111"/>
    </row>
    <row r="265" spans="1:16" ht="19.5" customHeight="1" x14ac:dyDescent="0.25">
      <c r="A265" s="104" t="s">
        <v>4420</v>
      </c>
      <c r="B265" s="66" t="s">
        <v>1147</v>
      </c>
      <c r="C265" s="66" t="s">
        <v>103</v>
      </c>
      <c r="D265" s="105" t="s">
        <v>4451</v>
      </c>
      <c r="E265" s="106" t="s">
        <v>30</v>
      </c>
      <c r="F265" s="107" t="s">
        <v>4714</v>
      </c>
      <c r="G265" s="108">
        <v>1.25</v>
      </c>
      <c r="H265" s="109">
        <f>WORKDAY(I254,1)</f>
        <v>46155</v>
      </c>
      <c r="I265" s="109">
        <f t="shared" ref="I265:I273" si="23">H265</f>
        <v>46155</v>
      </c>
      <c r="J265" s="110"/>
      <c r="K265" s="110"/>
      <c r="L265" s="111"/>
      <c r="M265" s="66" t="s">
        <v>4453</v>
      </c>
      <c r="N265" s="66"/>
      <c r="O265" s="112" t="str">
        <f t="shared" si="22"/>
        <v/>
      </c>
      <c r="P265" s="111"/>
    </row>
    <row r="266" spans="1:16" ht="19.5" customHeight="1" x14ac:dyDescent="0.25">
      <c r="A266" s="104" t="s">
        <v>4420</v>
      </c>
      <c r="B266" s="66" t="s">
        <v>1147</v>
      </c>
      <c r="C266" s="66" t="s">
        <v>1240</v>
      </c>
      <c r="D266" s="105" t="s">
        <v>4451</v>
      </c>
      <c r="E266" s="106" t="s">
        <v>30</v>
      </c>
      <c r="F266" s="107" t="s">
        <v>4715</v>
      </c>
      <c r="G266" s="108">
        <v>0.5</v>
      </c>
      <c r="H266" s="109">
        <f>WORKDAY(I254,1)</f>
        <v>46155</v>
      </c>
      <c r="I266" s="109">
        <f t="shared" si="23"/>
        <v>46155</v>
      </c>
      <c r="J266" s="110"/>
      <c r="K266" s="110"/>
      <c r="L266" s="111"/>
      <c r="M266" s="66" t="s">
        <v>4453</v>
      </c>
      <c r="N266" s="66"/>
      <c r="O266" s="112" t="str">
        <f t="shared" si="22"/>
        <v/>
      </c>
      <c r="P266" s="111"/>
    </row>
    <row r="267" spans="1:16" ht="19.5" customHeight="1" x14ac:dyDescent="0.25">
      <c r="A267" s="104" t="s">
        <v>4420</v>
      </c>
      <c r="B267" s="66" t="s">
        <v>1147</v>
      </c>
      <c r="C267" s="66" t="s">
        <v>1252</v>
      </c>
      <c r="D267" s="105" t="s">
        <v>4451</v>
      </c>
      <c r="E267" s="106" t="s">
        <v>30</v>
      </c>
      <c r="F267" s="107" t="s">
        <v>4716</v>
      </c>
      <c r="G267" s="108">
        <v>1.25</v>
      </c>
      <c r="H267" s="109">
        <f>WORKDAY(I254,1)</f>
        <v>46155</v>
      </c>
      <c r="I267" s="109">
        <f t="shared" si="23"/>
        <v>46155</v>
      </c>
      <c r="J267" s="110"/>
      <c r="K267" s="110"/>
      <c r="L267" s="111"/>
      <c r="M267" s="66" t="s">
        <v>4453</v>
      </c>
      <c r="N267" s="66"/>
      <c r="O267" s="112" t="str">
        <f t="shared" si="22"/>
        <v/>
      </c>
      <c r="P267" s="111"/>
    </row>
    <row r="268" spans="1:16" ht="19.5" customHeight="1" x14ac:dyDescent="0.25">
      <c r="A268" s="104" t="s">
        <v>4420</v>
      </c>
      <c r="B268" s="66" t="s">
        <v>1283</v>
      </c>
      <c r="C268" s="66" t="s">
        <v>26</v>
      </c>
      <c r="D268" s="105" t="s">
        <v>4451</v>
      </c>
      <c r="E268" s="106" t="s">
        <v>30</v>
      </c>
      <c r="F268" s="107" t="s">
        <v>4717</v>
      </c>
      <c r="G268" s="108">
        <v>1.25</v>
      </c>
      <c r="H268" s="109">
        <f>WORKDAY(I254,1)</f>
        <v>46155</v>
      </c>
      <c r="I268" s="109">
        <f t="shared" si="23"/>
        <v>46155</v>
      </c>
      <c r="J268" s="110"/>
      <c r="K268" s="110"/>
      <c r="L268" s="111"/>
      <c r="M268" s="66" t="s">
        <v>4453</v>
      </c>
      <c r="N268" s="66"/>
      <c r="O268" s="112" t="str">
        <f t="shared" si="22"/>
        <v/>
      </c>
      <c r="P268" s="111"/>
    </row>
    <row r="269" spans="1:16" ht="19.5" customHeight="1" x14ac:dyDescent="0.25">
      <c r="A269" s="104" t="s">
        <v>4420</v>
      </c>
      <c r="B269" s="66" t="s">
        <v>1283</v>
      </c>
      <c r="C269" s="66" t="s">
        <v>38</v>
      </c>
      <c r="D269" s="105" t="s">
        <v>4451</v>
      </c>
      <c r="E269" s="106" t="s">
        <v>30</v>
      </c>
      <c r="F269" s="107" t="s">
        <v>4718</v>
      </c>
      <c r="G269" s="108">
        <v>0.5</v>
      </c>
      <c r="H269" s="109">
        <f>WORKDAY(I254,1)</f>
        <v>46155</v>
      </c>
      <c r="I269" s="109">
        <f t="shared" si="23"/>
        <v>46155</v>
      </c>
      <c r="J269" s="110"/>
      <c r="K269" s="110"/>
      <c r="L269" s="111"/>
      <c r="M269" s="66" t="s">
        <v>4453</v>
      </c>
      <c r="N269" s="66"/>
      <c r="O269" s="112" t="str">
        <f t="shared" si="22"/>
        <v/>
      </c>
      <c r="P269" s="111"/>
    </row>
    <row r="270" spans="1:16" ht="19.5" customHeight="1" x14ac:dyDescent="0.25">
      <c r="A270" s="104" t="s">
        <v>4420</v>
      </c>
      <c r="B270" s="66" t="s">
        <v>1283</v>
      </c>
      <c r="C270" s="66" t="s">
        <v>46</v>
      </c>
      <c r="D270" s="105" t="s">
        <v>4451</v>
      </c>
      <c r="E270" s="106" t="s">
        <v>30</v>
      </c>
      <c r="F270" s="107" t="s">
        <v>4719</v>
      </c>
      <c r="G270" s="108">
        <v>1.25</v>
      </c>
      <c r="H270" s="109">
        <f>WORKDAY(I254,1)</f>
        <v>46155</v>
      </c>
      <c r="I270" s="109">
        <f t="shared" si="23"/>
        <v>46155</v>
      </c>
      <c r="J270" s="110"/>
      <c r="K270" s="110"/>
      <c r="L270" s="111"/>
      <c r="M270" s="66" t="s">
        <v>4453</v>
      </c>
      <c r="N270" s="66"/>
      <c r="O270" s="112" t="str">
        <f t="shared" si="22"/>
        <v/>
      </c>
      <c r="P270" s="111"/>
    </row>
    <row r="271" spans="1:16" ht="19.5" customHeight="1" x14ac:dyDescent="0.25">
      <c r="A271" s="104" t="s">
        <v>4420</v>
      </c>
      <c r="B271" s="66" t="s">
        <v>1283</v>
      </c>
      <c r="C271" s="66" t="s">
        <v>53</v>
      </c>
      <c r="D271" s="105" t="s">
        <v>4451</v>
      </c>
      <c r="E271" s="106" t="s">
        <v>30</v>
      </c>
      <c r="F271" s="107" t="s">
        <v>4720</v>
      </c>
      <c r="G271" s="108">
        <v>1</v>
      </c>
      <c r="H271" s="109">
        <f>WORKDAY(I254,1)</f>
        <v>46155</v>
      </c>
      <c r="I271" s="109">
        <f t="shared" si="23"/>
        <v>46155</v>
      </c>
      <c r="J271" s="110"/>
      <c r="K271" s="110"/>
      <c r="L271" s="111"/>
      <c r="M271" s="66" t="s">
        <v>4453</v>
      </c>
      <c r="N271" s="66"/>
      <c r="O271" s="112" t="str">
        <f t="shared" si="22"/>
        <v/>
      </c>
      <c r="P271" s="111"/>
    </row>
    <row r="272" spans="1:16" ht="19.5" customHeight="1" x14ac:dyDescent="0.25">
      <c r="A272" s="104" t="s">
        <v>4420</v>
      </c>
      <c r="B272" s="66" t="s">
        <v>1283</v>
      </c>
      <c r="C272" s="66" t="s">
        <v>64</v>
      </c>
      <c r="D272" s="105" t="s">
        <v>4451</v>
      </c>
      <c r="E272" s="106" t="s">
        <v>30</v>
      </c>
      <c r="F272" s="107" t="s">
        <v>4721</v>
      </c>
      <c r="G272" s="108">
        <v>0.5</v>
      </c>
      <c r="H272" s="109">
        <f>WORKDAY(I254,1)</f>
        <v>46155</v>
      </c>
      <c r="I272" s="109">
        <f t="shared" si="23"/>
        <v>46155</v>
      </c>
      <c r="J272" s="110"/>
      <c r="K272" s="110"/>
      <c r="L272" s="111"/>
      <c r="M272" s="66" t="s">
        <v>4453</v>
      </c>
      <c r="N272" s="66"/>
      <c r="O272" s="112" t="str">
        <f t="shared" si="22"/>
        <v/>
      </c>
      <c r="P272" s="111"/>
    </row>
    <row r="273" spans="1:16" ht="19.5" customHeight="1" x14ac:dyDescent="0.25">
      <c r="A273" s="104" t="s">
        <v>4420</v>
      </c>
      <c r="B273" s="66" t="s">
        <v>1283</v>
      </c>
      <c r="C273" s="66" t="s">
        <v>72</v>
      </c>
      <c r="D273" s="105" t="s">
        <v>4451</v>
      </c>
      <c r="E273" s="106" t="s">
        <v>30</v>
      </c>
      <c r="F273" s="107" t="s">
        <v>4722</v>
      </c>
      <c r="G273" s="108">
        <v>0.5</v>
      </c>
      <c r="H273" s="109">
        <f>WORKDAY(I254,1)</f>
        <v>46155</v>
      </c>
      <c r="I273" s="109">
        <f t="shared" si="23"/>
        <v>46155</v>
      </c>
      <c r="J273" s="110"/>
      <c r="K273" s="110"/>
      <c r="L273" s="111"/>
      <c r="M273" s="66" t="s">
        <v>4453</v>
      </c>
      <c r="N273" s="66"/>
      <c r="O273" s="112" t="str">
        <f t="shared" si="22"/>
        <v/>
      </c>
      <c r="P273" s="111"/>
    </row>
    <row r="274" spans="1:16" ht="19.5" customHeight="1" x14ac:dyDescent="0.25">
      <c r="A274" s="104" t="s">
        <v>4420</v>
      </c>
      <c r="B274" s="66" t="s">
        <v>1283</v>
      </c>
      <c r="C274" s="66" t="s">
        <v>80</v>
      </c>
      <c r="D274" s="105" t="s">
        <v>4451</v>
      </c>
      <c r="E274" s="106" t="s">
        <v>30</v>
      </c>
      <c r="F274" s="107" t="s">
        <v>4723</v>
      </c>
      <c r="G274" s="108">
        <v>1.5</v>
      </c>
      <c r="H274" s="109">
        <f>WORKDAY(I254,1)</f>
        <v>46155</v>
      </c>
      <c r="I274" s="109">
        <f>WORKDAY(H274,1)</f>
        <v>46156</v>
      </c>
      <c r="J274" s="110"/>
      <c r="K274" s="110"/>
      <c r="L274" s="111"/>
      <c r="M274" s="66" t="s">
        <v>4453</v>
      </c>
      <c r="N274" s="66"/>
      <c r="O274" s="112" t="str">
        <f t="shared" si="22"/>
        <v/>
      </c>
      <c r="P274" s="111"/>
    </row>
    <row r="275" spans="1:16" ht="19.5" customHeight="1" x14ac:dyDescent="0.25">
      <c r="A275" s="104" t="s">
        <v>4420</v>
      </c>
      <c r="B275" s="66" t="s">
        <v>1283</v>
      </c>
      <c r="C275" s="66" t="s">
        <v>88</v>
      </c>
      <c r="D275" s="105" t="s">
        <v>4451</v>
      </c>
      <c r="E275" s="106" t="s">
        <v>30</v>
      </c>
      <c r="F275" s="107" t="s">
        <v>4724</v>
      </c>
      <c r="G275" s="108">
        <v>1</v>
      </c>
      <c r="H275" s="109">
        <f>WORKDAY(I254,1)</f>
        <v>46155</v>
      </c>
      <c r="I275" s="109">
        <f>H275</f>
        <v>46155</v>
      </c>
      <c r="J275" s="110"/>
      <c r="K275" s="110"/>
      <c r="L275" s="111"/>
      <c r="M275" s="66" t="s">
        <v>4453</v>
      </c>
      <c r="N275" s="66"/>
      <c r="O275" s="112" t="str">
        <f t="shared" si="22"/>
        <v/>
      </c>
      <c r="P275" s="111"/>
    </row>
    <row r="276" spans="1:16" ht="19.5" customHeight="1" x14ac:dyDescent="0.25">
      <c r="A276" s="104" t="s">
        <v>4420</v>
      </c>
      <c r="B276" s="66" t="s">
        <v>1283</v>
      </c>
      <c r="C276" s="66" t="s">
        <v>95</v>
      </c>
      <c r="D276" s="105" t="s">
        <v>4451</v>
      </c>
      <c r="E276" s="106" t="s">
        <v>30</v>
      </c>
      <c r="F276" s="107" t="s">
        <v>4725</v>
      </c>
      <c r="G276" s="108">
        <v>1</v>
      </c>
      <c r="H276" s="109">
        <f>WORKDAY(I254,1)</f>
        <v>46155</v>
      </c>
      <c r="I276" s="109">
        <f>H276</f>
        <v>46155</v>
      </c>
      <c r="J276" s="110"/>
      <c r="K276" s="110"/>
      <c r="L276" s="111"/>
      <c r="M276" s="66" t="s">
        <v>4453</v>
      </c>
      <c r="N276" s="66"/>
      <c r="O276" s="112" t="str">
        <f t="shared" si="22"/>
        <v/>
      </c>
      <c r="P276" s="111"/>
    </row>
    <row r="277" spans="1:16" ht="19.5" customHeight="1" x14ac:dyDescent="0.25">
      <c r="A277" s="104" t="s">
        <v>4420</v>
      </c>
      <c r="B277" s="66" t="s">
        <v>1283</v>
      </c>
      <c r="C277" s="66" t="s">
        <v>103</v>
      </c>
      <c r="D277" s="105" t="s">
        <v>4451</v>
      </c>
      <c r="E277" s="106" t="s">
        <v>30</v>
      </c>
      <c r="F277" s="107" t="s">
        <v>4726</v>
      </c>
      <c r="G277" s="108">
        <v>1.25</v>
      </c>
      <c r="H277" s="109">
        <f>WORKDAY(I254,1)</f>
        <v>46155</v>
      </c>
      <c r="I277" s="109">
        <f>H277</f>
        <v>46155</v>
      </c>
      <c r="J277" s="110"/>
      <c r="K277" s="110"/>
      <c r="L277" s="111"/>
      <c r="M277" s="66" t="s">
        <v>4453</v>
      </c>
      <c r="N277" s="66"/>
      <c r="O277" s="112" t="str">
        <f t="shared" si="22"/>
        <v/>
      </c>
      <c r="P277" s="111"/>
    </row>
    <row r="278" spans="1:16" ht="19.5" customHeight="1" x14ac:dyDescent="0.25">
      <c r="A278" s="104" t="s">
        <v>4420</v>
      </c>
      <c r="B278" s="66" t="s">
        <v>1283</v>
      </c>
      <c r="C278" s="66" t="s">
        <v>1240</v>
      </c>
      <c r="D278" s="105" t="s">
        <v>4451</v>
      </c>
      <c r="E278" s="106" t="s">
        <v>30</v>
      </c>
      <c r="F278" s="107" t="s">
        <v>4727</v>
      </c>
      <c r="G278" s="108">
        <v>1.5</v>
      </c>
      <c r="H278" s="109">
        <f>WORKDAY(I254,1)</f>
        <v>46155</v>
      </c>
      <c r="I278" s="109">
        <f>WORKDAY(H278,1)</f>
        <v>46156</v>
      </c>
      <c r="J278" s="110"/>
      <c r="K278" s="110"/>
      <c r="L278" s="111"/>
      <c r="M278" s="66" t="s">
        <v>4453</v>
      </c>
      <c r="N278" s="66"/>
      <c r="O278" s="112" t="str">
        <f t="shared" si="22"/>
        <v/>
      </c>
      <c r="P278" s="111"/>
    </row>
    <row r="279" spans="1:16" ht="19.5" customHeight="1" x14ac:dyDescent="0.25">
      <c r="A279" s="104" t="s">
        <v>4420</v>
      </c>
      <c r="B279" s="66" t="s">
        <v>1283</v>
      </c>
      <c r="C279" s="66" t="s">
        <v>1252</v>
      </c>
      <c r="D279" s="105" t="s">
        <v>4451</v>
      </c>
      <c r="E279" s="106" t="s">
        <v>30</v>
      </c>
      <c r="F279" s="107" t="s">
        <v>4728</v>
      </c>
      <c r="G279" s="108">
        <v>1.5</v>
      </c>
      <c r="H279" s="109">
        <f>WORKDAY(I254,1)</f>
        <v>46155</v>
      </c>
      <c r="I279" s="109">
        <f>WORKDAY(H279,1)</f>
        <v>46156</v>
      </c>
      <c r="J279" s="110"/>
      <c r="K279" s="110"/>
      <c r="L279" s="111"/>
      <c r="M279" s="66" t="s">
        <v>4453</v>
      </c>
      <c r="N279" s="66"/>
      <c r="O279" s="112" t="str">
        <f t="shared" si="22"/>
        <v/>
      </c>
      <c r="P279" s="111"/>
    </row>
    <row r="280" spans="1:16" ht="19.5" customHeight="1" x14ac:dyDescent="0.25">
      <c r="A280" s="104" t="s">
        <v>4420</v>
      </c>
      <c r="B280" s="66" t="s">
        <v>1283</v>
      </c>
      <c r="C280" s="66" t="s">
        <v>1377</v>
      </c>
      <c r="D280" s="105" t="s">
        <v>4451</v>
      </c>
      <c r="E280" s="106" t="s">
        <v>30</v>
      </c>
      <c r="F280" s="107" t="s">
        <v>4729</v>
      </c>
      <c r="G280" s="108">
        <v>1.25</v>
      </c>
      <c r="H280" s="109">
        <f>WORKDAY(I254,1)</f>
        <v>46155</v>
      </c>
      <c r="I280" s="109">
        <f t="shared" ref="I280:I286" si="24">H280</f>
        <v>46155</v>
      </c>
      <c r="J280" s="110"/>
      <c r="K280" s="110"/>
      <c r="L280" s="111"/>
      <c r="M280" s="66" t="s">
        <v>4453</v>
      </c>
      <c r="N280" s="66"/>
      <c r="O280" s="112" t="str">
        <f t="shared" si="22"/>
        <v/>
      </c>
      <c r="P280" s="111"/>
    </row>
    <row r="281" spans="1:16" ht="19.5" customHeight="1" x14ac:dyDescent="0.25">
      <c r="A281" s="104" t="s">
        <v>4420</v>
      </c>
      <c r="B281" s="66" t="s">
        <v>1283</v>
      </c>
      <c r="C281" s="66" t="s">
        <v>1385</v>
      </c>
      <c r="D281" s="105" t="s">
        <v>4451</v>
      </c>
      <c r="E281" s="106" t="s">
        <v>30</v>
      </c>
      <c r="F281" s="107" t="s">
        <v>4730</v>
      </c>
      <c r="G281" s="108">
        <v>1</v>
      </c>
      <c r="H281" s="109">
        <f>WORKDAY(I254,1)</f>
        <v>46155</v>
      </c>
      <c r="I281" s="109">
        <f t="shared" si="24"/>
        <v>46155</v>
      </c>
      <c r="J281" s="110"/>
      <c r="K281" s="110"/>
      <c r="L281" s="111"/>
      <c r="M281" s="66" t="s">
        <v>4453</v>
      </c>
      <c r="N281" s="66"/>
      <c r="O281" s="112" t="str">
        <f t="shared" si="22"/>
        <v/>
      </c>
      <c r="P281" s="111"/>
    </row>
    <row r="282" spans="1:16" ht="19.5" customHeight="1" x14ac:dyDescent="0.25">
      <c r="A282" s="104" t="s">
        <v>4420</v>
      </c>
      <c r="B282" s="66" t="s">
        <v>1283</v>
      </c>
      <c r="C282" s="66" t="s">
        <v>1395</v>
      </c>
      <c r="D282" s="105" t="s">
        <v>4451</v>
      </c>
      <c r="E282" s="106" t="s">
        <v>30</v>
      </c>
      <c r="F282" s="107" t="s">
        <v>4731</v>
      </c>
      <c r="G282" s="108">
        <v>1</v>
      </c>
      <c r="H282" s="109">
        <f>WORKDAY(I254,1)</f>
        <v>46155</v>
      </c>
      <c r="I282" s="109">
        <f t="shared" si="24"/>
        <v>46155</v>
      </c>
      <c r="J282" s="110"/>
      <c r="K282" s="110"/>
      <c r="L282" s="111"/>
      <c r="M282" s="66" t="s">
        <v>4453</v>
      </c>
      <c r="N282" s="66"/>
      <c r="O282" s="112" t="str">
        <f t="shared" si="22"/>
        <v/>
      </c>
      <c r="P282" s="111"/>
    </row>
    <row r="283" spans="1:16" ht="19.5" customHeight="1" x14ac:dyDescent="0.25">
      <c r="A283" s="113" t="s">
        <v>4420</v>
      </c>
      <c r="B283" s="67" t="s">
        <v>1283</v>
      </c>
      <c r="C283" s="67" t="s">
        <v>112</v>
      </c>
      <c r="D283" s="114" t="s">
        <v>4451</v>
      </c>
      <c r="E283" s="115" t="s">
        <v>116</v>
      </c>
      <c r="F283" s="116" t="s">
        <v>4732</v>
      </c>
      <c r="G283" s="117">
        <v>1.25</v>
      </c>
      <c r="H283" s="118">
        <f>WORKDAY(I254,1)</f>
        <v>46155</v>
      </c>
      <c r="I283" s="118">
        <f t="shared" si="24"/>
        <v>46155</v>
      </c>
      <c r="J283" s="110"/>
      <c r="K283" s="110"/>
      <c r="L283" s="119"/>
      <c r="M283" s="67" t="s">
        <v>4453</v>
      </c>
      <c r="N283" s="67"/>
      <c r="O283" s="112" t="str">
        <f t="shared" si="22"/>
        <v/>
      </c>
      <c r="P283" s="119"/>
    </row>
    <row r="284" spans="1:16" ht="19.5" customHeight="1" x14ac:dyDescent="0.25">
      <c r="A284" s="113" t="s">
        <v>4420</v>
      </c>
      <c r="B284" s="67" t="s">
        <v>1283</v>
      </c>
      <c r="C284" s="67" t="s">
        <v>120</v>
      </c>
      <c r="D284" s="114" t="s">
        <v>4451</v>
      </c>
      <c r="E284" s="115" t="s">
        <v>116</v>
      </c>
      <c r="F284" s="116" t="s">
        <v>4733</v>
      </c>
      <c r="G284" s="117">
        <v>0.5</v>
      </c>
      <c r="H284" s="118">
        <f>WORKDAY(I254,1)</f>
        <v>46155</v>
      </c>
      <c r="I284" s="118">
        <f t="shared" si="24"/>
        <v>46155</v>
      </c>
      <c r="J284" s="110"/>
      <c r="K284" s="110"/>
      <c r="L284" s="119"/>
      <c r="M284" s="67" t="s">
        <v>4453</v>
      </c>
      <c r="N284" s="67"/>
      <c r="O284" s="112" t="str">
        <f t="shared" si="22"/>
        <v/>
      </c>
      <c r="P284" s="119"/>
    </row>
    <row r="285" spans="1:16" ht="19.5" customHeight="1" x14ac:dyDescent="0.25">
      <c r="A285" s="113" t="s">
        <v>4420</v>
      </c>
      <c r="B285" s="67" t="s">
        <v>1283</v>
      </c>
      <c r="C285" s="67" t="s">
        <v>127</v>
      </c>
      <c r="D285" s="114" t="s">
        <v>4451</v>
      </c>
      <c r="E285" s="115" t="s">
        <v>116</v>
      </c>
      <c r="F285" s="116" t="s">
        <v>4734</v>
      </c>
      <c r="G285" s="117">
        <v>0.5</v>
      </c>
      <c r="H285" s="118">
        <f>WORKDAY(I254,1)</f>
        <v>46155</v>
      </c>
      <c r="I285" s="118">
        <f t="shared" si="24"/>
        <v>46155</v>
      </c>
      <c r="J285" s="110"/>
      <c r="K285" s="110"/>
      <c r="L285" s="119"/>
      <c r="M285" s="67" t="s">
        <v>4453</v>
      </c>
      <c r="N285" s="67"/>
      <c r="O285" s="112" t="str">
        <f t="shared" si="22"/>
        <v/>
      </c>
      <c r="P285" s="119"/>
    </row>
    <row r="286" spans="1:16" ht="19.5" customHeight="1" x14ac:dyDescent="0.25">
      <c r="A286" s="113" t="s">
        <v>4420</v>
      </c>
      <c r="B286" s="67" t="s">
        <v>1283</v>
      </c>
      <c r="C286" s="67" t="s">
        <v>134</v>
      </c>
      <c r="D286" s="114" t="s">
        <v>4451</v>
      </c>
      <c r="E286" s="115" t="s">
        <v>116</v>
      </c>
      <c r="F286" s="116" t="s">
        <v>4735</v>
      </c>
      <c r="G286" s="117">
        <v>0.25</v>
      </c>
      <c r="H286" s="118">
        <f>WORKDAY(I254,1)</f>
        <v>46155</v>
      </c>
      <c r="I286" s="118">
        <f t="shared" si="24"/>
        <v>46155</v>
      </c>
      <c r="J286" s="110"/>
      <c r="K286" s="110"/>
      <c r="L286" s="119"/>
      <c r="M286" s="67" t="s">
        <v>4453</v>
      </c>
      <c r="N286" s="67"/>
      <c r="O286" s="112" t="str">
        <f t="shared" si="22"/>
        <v/>
      </c>
      <c r="P286" s="119"/>
    </row>
    <row r="287" spans="1:16" ht="19.5" customHeight="1" x14ac:dyDescent="0.25">
      <c r="A287" s="113" t="s">
        <v>4420</v>
      </c>
      <c r="B287" s="67" t="s">
        <v>1283</v>
      </c>
      <c r="C287" s="67" t="s">
        <v>142</v>
      </c>
      <c r="D287" s="114" t="s">
        <v>4451</v>
      </c>
      <c r="E287" s="115" t="s">
        <v>116</v>
      </c>
      <c r="F287" s="116" t="s">
        <v>4736</v>
      </c>
      <c r="G287" s="117">
        <v>1.75</v>
      </c>
      <c r="H287" s="118">
        <f>WORKDAY(I254,1)</f>
        <v>46155</v>
      </c>
      <c r="I287" s="118">
        <f>WORKDAY(H287,1)</f>
        <v>46156</v>
      </c>
      <c r="J287" s="110"/>
      <c r="K287" s="110"/>
      <c r="L287" s="119"/>
      <c r="M287" s="67" t="s">
        <v>4453</v>
      </c>
      <c r="N287" s="67"/>
      <c r="O287" s="112" t="str">
        <f t="shared" si="22"/>
        <v/>
      </c>
      <c r="P287" s="119"/>
    </row>
    <row r="288" spans="1:16" ht="19.5" customHeight="1" x14ac:dyDescent="0.25">
      <c r="A288" s="113" t="s">
        <v>4420</v>
      </c>
      <c r="B288" s="67" t="s">
        <v>1283</v>
      </c>
      <c r="C288" s="67" t="s">
        <v>150</v>
      </c>
      <c r="D288" s="114" t="s">
        <v>4451</v>
      </c>
      <c r="E288" s="115" t="s">
        <v>116</v>
      </c>
      <c r="F288" s="116" t="s">
        <v>4737</v>
      </c>
      <c r="G288" s="117">
        <v>0.5</v>
      </c>
      <c r="H288" s="118">
        <f>WORKDAY(I254,1)</f>
        <v>46155</v>
      </c>
      <c r="I288" s="118">
        <f>H288</f>
        <v>46155</v>
      </c>
      <c r="J288" s="110"/>
      <c r="K288" s="110"/>
      <c r="L288" s="119"/>
      <c r="M288" s="67" t="s">
        <v>4453</v>
      </c>
      <c r="N288" s="67"/>
      <c r="O288" s="112" t="str">
        <f t="shared" si="22"/>
        <v/>
      </c>
      <c r="P288" s="119"/>
    </row>
    <row r="289" spans="1:16" ht="19.5" customHeight="1" x14ac:dyDescent="0.25">
      <c r="A289" s="113" t="s">
        <v>4420</v>
      </c>
      <c r="B289" s="67" t="s">
        <v>1283</v>
      </c>
      <c r="C289" s="67" t="s">
        <v>478</v>
      </c>
      <c r="D289" s="114" t="s">
        <v>4451</v>
      </c>
      <c r="E289" s="115" t="s">
        <v>116</v>
      </c>
      <c r="F289" s="116" t="s">
        <v>4738</v>
      </c>
      <c r="G289" s="117">
        <v>0.25</v>
      </c>
      <c r="H289" s="118">
        <f>WORKDAY(I254,1)</f>
        <v>46155</v>
      </c>
      <c r="I289" s="118">
        <f>H289</f>
        <v>46155</v>
      </c>
      <c r="J289" s="110"/>
      <c r="K289" s="110"/>
      <c r="L289" s="119"/>
      <c r="M289" s="67" t="s">
        <v>4453</v>
      </c>
      <c r="N289" s="67"/>
      <c r="O289" s="112" t="str">
        <f t="shared" si="22"/>
        <v/>
      </c>
      <c r="P289" s="119"/>
    </row>
    <row r="290" spans="1:16" ht="19.5" customHeight="1" x14ac:dyDescent="0.25">
      <c r="A290" s="113" t="s">
        <v>4420</v>
      </c>
      <c r="B290" s="67" t="s">
        <v>1283</v>
      </c>
      <c r="C290" s="67" t="s">
        <v>487</v>
      </c>
      <c r="D290" s="114" t="s">
        <v>4451</v>
      </c>
      <c r="E290" s="115" t="s">
        <v>116</v>
      </c>
      <c r="F290" s="116" t="s">
        <v>4739</v>
      </c>
      <c r="G290" s="117">
        <v>1.25</v>
      </c>
      <c r="H290" s="118">
        <f>WORKDAY(I254,1)</f>
        <v>46155</v>
      </c>
      <c r="I290" s="118">
        <f>H290</f>
        <v>46155</v>
      </c>
      <c r="J290" s="110"/>
      <c r="K290" s="110"/>
      <c r="L290" s="119"/>
      <c r="M290" s="67" t="s">
        <v>4453</v>
      </c>
      <c r="N290" s="67"/>
      <c r="O290" s="112" t="str">
        <f t="shared" si="22"/>
        <v/>
      </c>
      <c r="P290" s="119"/>
    </row>
    <row r="291" spans="1:16" ht="19.5" customHeight="1" x14ac:dyDescent="0.25">
      <c r="A291" s="113" t="s">
        <v>4420</v>
      </c>
      <c r="B291" s="67" t="s">
        <v>1283</v>
      </c>
      <c r="C291" s="67" t="s">
        <v>497</v>
      </c>
      <c r="D291" s="114" t="s">
        <v>4451</v>
      </c>
      <c r="E291" s="115" t="s">
        <v>116</v>
      </c>
      <c r="F291" s="116" t="s">
        <v>4740</v>
      </c>
      <c r="G291" s="117">
        <v>0.5</v>
      </c>
      <c r="H291" s="118">
        <f>WORKDAY(I254,1)</f>
        <v>46155</v>
      </c>
      <c r="I291" s="118">
        <f>H291</f>
        <v>46155</v>
      </c>
      <c r="J291" s="110"/>
      <c r="K291" s="110"/>
      <c r="L291" s="119"/>
      <c r="M291" s="67" t="s">
        <v>4453</v>
      </c>
      <c r="N291" s="67"/>
      <c r="O291" s="112" t="str">
        <f t="shared" si="22"/>
        <v/>
      </c>
      <c r="P291" s="119"/>
    </row>
    <row r="292" spans="1:16" ht="19.5" customHeight="1" x14ac:dyDescent="0.25">
      <c r="A292" s="113" t="s">
        <v>4420</v>
      </c>
      <c r="B292" s="67" t="s">
        <v>1283</v>
      </c>
      <c r="C292" s="67" t="s">
        <v>1466</v>
      </c>
      <c r="D292" s="114" t="s">
        <v>4451</v>
      </c>
      <c r="E292" s="115" t="s">
        <v>116</v>
      </c>
      <c r="F292" s="116" t="s">
        <v>4741</v>
      </c>
      <c r="G292" s="117">
        <v>0.25</v>
      </c>
      <c r="H292" s="118">
        <f>WORKDAY(I254,1)</f>
        <v>46155</v>
      </c>
      <c r="I292" s="118">
        <f>H292</f>
        <v>46155</v>
      </c>
      <c r="J292" s="110"/>
      <c r="K292" s="110"/>
      <c r="L292" s="119"/>
      <c r="M292" s="67" t="s">
        <v>4453</v>
      </c>
      <c r="N292" s="67"/>
      <c r="O292" s="112" t="str">
        <f t="shared" si="22"/>
        <v/>
      </c>
      <c r="P292" s="119"/>
    </row>
    <row r="293" spans="1:16" ht="19.5" customHeight="1" x14ac:dyDescent="0.25">
      <c r="A293" s="120" t="s">
        <v>4420</v>
      </c>
      <c r="B293" s="68" t="s">
        <v>1147</v>
      </c>
      <c r="C293" s="68" t="s">
        <v>157</v>
      </c>
      <c r="D293" s="121" t="s">
        <v>4451</v>
      </c>
      <c r="E293" s="122" t="s">
        <v>161</v>
      </c>
      <c r="F293" s="123" t="s">
        <v>4742</v>
      </c>
      <c r="G293" s="124">
        <v>2.5</v>
      </c>
      <c r="H293" s="125">
        <f>WORKDAY(MAX(I282,I292),1)</f>
        <v>46156</v>
      </c>
      <c r="I293" s="125">
        <f>WORKDAY(H293,1)</f>
        <v>46157</v>
      </c>
      <c r="J293" s="110"/>
      <c r="K293" s="110"/>
      <c r="L293" s="126"/>
      <c r="M293" s="68" t="s">
        <v>4453</v>
      </c>
      <c r="N293" s="68"/>
      <c r="O293" s="112" t="str">
        <f t="shared" si="22"/>
        <v/>
      </c>
      <c r="P293" s="126"/>
    </row>
    <row r="294" spans="1:16" ht="19.5" customHeight="1" x14ac:dyDescent="0.25">
      <c r="A294" s="120" t="s">
        <v>4420</v>
      </c>
      <c r="B294" s="68" t="s">
        <v>1147</v>
      </c>
      <c r="C294" s="68" t="s">
        <v>166</v>
      </c>
      <c r="D294" s="121" t="s">
        <v>4451</v>
      </c>
      <c r="E294" s="122" t="s">
        <v>161</v>
      </c>
      <c r="F294" s="123" t="s">
        <v>4743</v>
      </c>
      <c r="G294" s="124">
        <v>1.75</v>
      </c>
      <c r="H294" s="125">
        <f>WORKDAY(MAX(I282,I292),1)</f>
        <v>46156</v>
      </c>
      <c r="I294" s="125">
        <f>WORKDAY(H294,1)</f>
        <v>46157</v>
      </c>
      <c r="J294" s="110"/>
      <c r="K294" s="110"/>
      <c r="L294" s="126"/>
      <c r="M294" s="68" t="s">
        <v>4453</v>
      </c>
      <c r="N294" s="68"/>
      <c r="O294" s="112" t="str">
        <f t="shared" si="22"/>
        <v/>
      </c>
      <c r="P294" s="126"/>
    </row>
    <row r="295" spans="1:16" ht="19.5" customHeight="1" x14ac:dyDescent="0.25">
      <c r="A295" s="120" t="s">
        <v>4420</v>
      </c>
      <c r="B295" s="68" t="s">
        <v>1283</v>
      </c>
      <c r="C295" s="68" t="s">
        <v>157</v>
      </c>
      <c r="D295" s="121" t="s">
        <v>4451</v>
      </c>
      <c r="E295" s="122" t="s">
        <v>161</v>
      </c>
      <c r="F295" s="123" t="s">
        <v>4744</v>
      </c>
      <c r="G295" s="124">
        <v>1.25</v>
      </c>
      <c r="H295" s="125">
        <f>WORKDAY(MAX(I282,I292),1)</f>
        <v>46156</v>
      </c>
      <c r="I295" s="125">
        <f>H295</f>
        <v>46156</v>
      </c>
      <c r="J295" s="110"/>
      <c r="K295" s="110"/>
      <c r="L295" s="126"/>
      <c r="M295" s="68" t="s">
        <v>4453</v>
      </c>
      <c r="N295" s="68"/>
      <c r="O295" s="112" t="str">
        <f t="shared" si="22"/>
        <v/>
      </c>
      <c r="P295" s="126"/>
    </row>
    <row r="296" spans="1:16" ht="19.5" customHeight="1" x14ac:dyDescent="0.25">
      <c r="A296" s="120" t="s">
        <v>4420</v>
      </c>
      <c r="B296" s="68" t="s">
        <v>1283</v>
      </c>
      <c r="C296" s="68" t="s">
        <v>166</v>
      </c>
      <c r="D296" s="121" t="s">
        <v>4451</v>
      </c>
      <c r="E296" s="122" t="s">
        <v>161</v>
      </c>
      <c r="F296" s="123" t="s">
        <v>4745</v>
      </c>
      <c r="G296" s="124">
        <v>1.25</v>
      </c>
      <c r="H296" s="125">
        <f>WORKDAY(MAX(I282,I292),1)</f>
        <v>46156</v>
      </c>
      <c r="I296" s="125">
        <f>H296</f>
        <v>46156</v>
      </c>
      <c r="J296" s="110"/>
      <c r="K296" s="110"/>
      <c r="L296" s="126"/>
      <c r="M296" s="68" t="s">
        <v>4453</v>
      </c>
      <c r="N296" s="68"/>
      <c r="O296" s="112" t="str">
        <f t="shared" si="22"/>
        <v/>
      </c>
      <c r="P296" s="126"/>
    </row>
    <row r="297" spans="1:16" ht="19.5" customHeight="1" x14ac:dyDescent="0.25">
      <c r="A297" s="120" t="s">
        <v>4420</v>
      </c>
      <c r="B297" s="68" t="s">
        <v>1283</v>
      </c>
      <c r="C297" s="68" t="s">
        <v>1489</v>
      </c>
      <c r="D297" s="121" t="s">
        <v>4451</v>
      </c>
      <c r="E297" s="122" t="s">
        <v>161</v>
      </c>
      <c r="F297" s="123" t="s">
        <v>4746</v>
      </c>
      <c r="G297" s="124">
        <v>1.25</v>
      </c>
      <c r="H297" s="125">
        <f>WORKDAY(MAX(I282,I292),1)</f>
        <v>46156</v>
      </c>
      <c r="I297" s="125">
        <f>H297</f>
        <v>46156</v>
      </c>
      <c r="J297" s="110"/>
      <c r="K297" s="110"/>
      <c r="L297" s="126"/>
      <c r="M297" s="68" t="s">
        <v>4453</v>
      </c>
      <c r="N297" s="68"/>
      <c r="O297" s="112" t="str">
        <f t="shared" si="22"/>
        <v/>
      </c>
      <c r="P297" s="126"/>
    </row>
    <row r="298" spans="1:16" ht="19.5" customHeight="1" x14ac:dyDescent="0.25">
      <c r="A298" s="120" t="s">
        <v>4420</v>
      </c>
      <c r="B298" s="68" t="s">
        <v>1283</v>
      </c>
      <c r="C298" s="68" t="s">
        <v>1496</v>
      </c>
      <c r="D298" s="121" t="s">
        <v>4451</v>
      </c>
      <c r="E298" s="122" t="s">
        <v>161</v>
      </c>
      <c r="F298" s="123" t="s">
        <v>4747</v>
      </c>
      <c r="G298" s="124">
        <v>1.5</v>
      </c>
      <c r="H298" s="125">
        <f>WORKDAY(MAX(I282,I292),1)</f>
        <v>46156</v>
      </c>
      <c r="I298" s="125">
        <f>WORKDAY(H298,1)</f>
        <v>46157</v>
      </c>
      <c r="J298" s="110"/>
      <c r="K298" s="110"/>
      <c r="L298" s="126"/>
      <c r="M298" s="68" t="s">
        <v>4453</v>
      </c>
      <c r="N298" s="68"/>
      <c r="O298" s="112" t="str">
        <f t="shared" si="22"/>
        <v/>
      </c>
      <c r="P298" s="126"/>
    </row>
    <row r="299" spans="1:16" ht="19.5" customHeight="1" x14ac:dyDescent="0.25">
      <c r="A299" s="120" t="s">
        <v>4420</v>
      </c>
      <c r="B299" s="68" t="s">
        <v>1283</v>
      </c>
      <c r="C299" s="68" t="s">
        <v>1503</v>
      </c>
      <c r="D299" s="121" t="s">
        <v>4451</v>
      </c>
      <c r="E299" s="122" t="s">
        <v>161</v>
      </c>
      <c r="F299" s="123" t="s">
        <v>4748</v>
      </c>
      <c r="G299" s="124">
        <v>1</v>
      </c>
      <c r="H299" s="125">
        <f>WORKDAY(MAX(I282,I292),1)</f>
        <v>46156</v>
      </c>
      <c r="I299" s="125">
        <f>H299</f>
        <v>46156</v>
      </c>
      <c r="J299" s="110"/>
      <c r="K299" s="110"/>
      <c r="L299" s="126"/>
      <c r="M299" s="68" t="s">
        <v>4453</v>
      </c>
      <c r="N299" s="68"/>
      <c r="O299" s="112" t="str">
        <f t="shared" si="22"/>
        <v/>
      </c>
      <c r="P299" s="126"/>
    </row>
    <row r="300" spans="1:16" ht="19.5" customHeight="1" x14ac:dyDescent="0.25">
      <c r="A300" s="120" t="s">
        <v>4420</v>
      </c>
      <c r="B300" s="68" t="s">
        <v>1283</v>
      </c>
      <c r="C300" s="68" t="s">
        <v>1510</v>
      </c>
      <c r="D300" s="121" t="s">
        <v>4451</v>
      </c>
      <c r="E300" s="122" t="s">
        <v>161</v>
      </c>
      <c r="F300" s="123" t="s">
        <v>4749</v>
      </c>
      <c r="G300" s="124">
        <v>1.25</v>
      </c>
      <c r="H300" s="125">
        <f>WORKDAY(MAX(I282,I292),1)</f>
        <v>46156</v>
      </c>
      <c r="I300" s="125">
        <f>H300</f>
        <v>46156</v>
      </c>
      <c r="J300" s="110"/>
      <c r="K300" s="110"/>
      <c r="L300" s="126"/>
      <c r="M300" s="68" t="s">
        <v>4453</v>
      </c>
      <c r="N300" s="68"/>
      <c r="O300" s="112" t="str">
        <f t="shared" si="22"/>
        <v/>
      </c>
      <c r="P300" s="126"/>
    </row>
    <row r="301" spans="1:16" ht="19.5" customHeight="1" x14ac:dyDescent="0.25">
      <c r="A301" s="120" t="s">
        <v>4420</v>
      </c>
      <c r="B301" s="68" t="s">
        <v>1283</v>
      </c>
      <c r="C301" s="68" t="s">
        <v>1516</v>
      </c>
      <c r="D301" s="121" t="s">
        <v>4451</v>
      </c>
      <c r="E301" s="122" t="s">
        <v>161</v>
      </c>
      <c r="F301" s="123" t="s">
        <v>4750</v>
      </c>
      <c r="G301" s="124">
        <v>1</v>
      </c>
      <c r="H301" s="125">
        <f>WORKDAY(MAX(I282,I292),1)</f>
        <v>46156</v>
      </c>
      <c r="I301" s="125">
        <f>H301</f>
        <v>46156</v>
      </c>
      <c r="J301" s="110"/>
      <c r="K301" s="110"/>
      <c r="L301" s="126"/>
      <c r="M301" s="68" t="s">
        <v>4453</v>
      </c>
      <c r="N301" s="68"/>
      <c r="O301" s="112" t="str">
        <f t="shared" si="22"/>
        <v/>
      </c>
      <c r="P301" s="126"/>
    </row>
    <row r="302" spans="1:16" ht="19.5" customHeight="1" x14ac:dyDescent="0.25">
      <c r="A302" s="134" t="s">
        <v>4751</v>
      </c>
      <c r="J302" s="135"/>
      <c r="K302" s="135"/>
    </row>
    <row r="303" spans="1:16" ht="19.5" customHeight="1" x14ac:dyDescent="0.25">
      <c r="A303" s="104" t="s">
        <v>4422</v>
      </c>
      <c r="B303" s="66" t="s">
        <v>1523</v>
      </c>
      <c r="C303" s="66" t="s">
        <v>26</v>
      </c>
      <c r="D303" s="105" t="s">
        <v>4451</v>
      </c>
      <c r="E303" s="106" t="s">
        <v>30</v>
      </c>
      <c r="F303" s="107" t="s">
        <v>4752</v>
      </c>
      <c r="G303" s="108">
        <v>1</v>
      </c>
      <c r="H303" s="109">
        <f>WORKDAY(I301,1)</f>
        <v>46157</v>
      </c>
      <c r="I303" s="109">
        <f t="shared" ref="I303:I312" si="25">H303</f>
        <v>46157</v>
      </c>
      <c r="J303" s="110"/>
      <c r="K303" s="110"/>
      <c r="L303" s="111"/>
      <c r="M303" s="66" t="s">
        <v>4453</v>
      </c>
      <c r="N303" s="66"/>
      <c r="O303" s="112" t="str">
        <f t="shared" ref="O303:O334" si="26">IF(AND(J303&lt;&gt;"",K303&lt;&gt;""),NETWORKDAYS(J303,K303)-1-G303,"")</f>
        <v/>
      </c>
      <c r="P303" s="111"/>
    </row>
    <row r="304" spans="1:16" ht="19.5" customHeight="1" x14ac:dyDescent="0.25">
      <c r="A304" s="104" t="s">
        <v>4422</v>
      </c>
      <c r="B304" s="66" t="s">
        <v>1523</v>
      </c>
      <c r="C304" s="66" t="s">
        <v>38</v>
      </c>
      <c r="D304" s="105" t="s">
        <v>4451</v>
      </c>
      <c r="E304" s="106" t="s">
        <v>30</v>
      </c>
      <c r="F304" s="107" t="s">
        <v>4753</v>
      </c>
      <c r="G304" s="108">
        <v>1</v>
      </c>
      <c r="H304" s="109">
        <f>WORKDAY(I301,1)</f>
        <v>46157</v>
      </c>
      <c r="I304" s="109">
        <f t="shared" si="25"/>
        <v>46157</v>
      </c>
      <c r="J304" s="110"/>
      <c r="K304" s="110"/>
      <c r="L304" s="111"/>
      <c r="M304" s="66" t="s">
        <v>4453</v>
      </c>
      <c r="N304" s="66"/>
      <c r="O304" s="112" t="str">
        <f t="shared" si="26"/>
        <v/>
      </c>
      <c r="P304" s="111"/>
    </row>
    <row r="305" spans="1:16" ht="19.5" customHeight="1" x14ac:dyDescent="0.25">
      <c r="A305" s="104" t="s">
        <v>4422</v>
      </c>
      <c r="B305" s="66" t="s">
        <v>1523</v>
      </c>
      <c r="C305" s="66" t="s">
        <v>46</v>
      </c>
      <c r="D305" s="105" t="s">
        <v>4451</v>
      </c>
      <c r="E305" s="106" t="s">
        <v>30</v>
      </c>
      <c r="F305" s="107" t="s">
        <v>4754</v>
      </c>
      <c r="G305" s="108">
        <v>0.5</v>
      </c>
      <c r="H305" s="109">
        <f>WORKDAY(I301,1)</f>
        <v>46157</v>
      </c>
      <c r="I305" s="109">
        <f t="shared" si="25"/>
        <v>46157</v>
      </c>
      <c r="J305" s="110"/>
      <c r="K305" s="110"/>
      <c r="L305" s="111"/>
      <c r="M305" s="66" t="s">
        <v>4453</v>
      </c>
      <c r="N305" s="66"/>
      <c r="O305" s="112" t="str">
        <f t="shared" si="26"/>
        <v/>
      </c>
      <c r="P305" s="111"/>
    </row>
    <row r="306" spans="1:16" ht="19.5" customHeight="1" x14ac:dyDescent="0.25">
      <c r="A306" s="104" t="s">
        <v>4422</v>
      </c>
      <c r="B306" s="66" t="s">
        <v>1523</v>
      </c>
      <c r="C306" s="66" t="s">
        <v>53</v>
      </c>
      <c r="D306" s="105" t="s">
        <v>4451</v>
      </c>
      <c r="E306" s="106" t="s">
        <v>30</v>
      </c>
      <c r="F306" s="107" t="s">
        <v>4755</v>
      </c>
      <c r="G306" s="108">
        <v>1.25</v>
      </c>
      <c r="H306" s="109">
        <f>WORKDAY(I301,1)</f>
        <v>46157</v>
      </c>
      <c r="I306" s="109">
        <f t="shared" si="25"/>
        <v>46157</v>
      </c>
      <c r="J306" s="110"/>
      <c r="K306" s="110"/>
      <c r="L306" s="111"/>
      <c r="M306" s="66" t="s">
        <v>4453</v>
      </c>
      <c r="N306" s="66"/>
      <c r="O306" s="112" t="str">
        <f t="shared" si="26"/>
        <v/>
      </c>
      <c r="P306" s="111"/>
    </row>
    <row r="307" spans="1:16" ht="19.5" customHeight="1" x14ac:dyDescent="0.25">
      <c r="A307" s="104" t="s">
        <v>4422</v>
      </c>
      <c r="B307" s="66" t="s">
        <v>1523</v>
      </c>
      <c r="C307" s="66" t="s">
        <v>64</v>
      </c>
      <c r="D307" s="105" t="s">
        <v>4451</v>
      </c>
      <c r="E307" s="106" t="s">
        <v>30</v>
      </c>
      <c r="F307" s="107" t="s">
        <v>4756</v>
      </c>
      <c r="G307" s="108">
        <v>1.25</v>
      </c>
      <c r="H307" s="109">
        <f>WORKDAY(I301,1)</f>
        <v>46157</v>
      </c>
      <c r="I307" s="109">
        <f t="shared" si="25"/>
        <v>46157</v>
      </c>
      <c r="J307" s="110"/>
      <c r="K307" s="110"/>
      <c r="L307" s="111"/>
      <c r="M307" s="66" t="s">
        <v>4453</v>
      </c>
      <c r="N307" s="66"/>
      <c r="O307" s="112" t="str">
        <f t="shared" si="26"/>
        <v/>
      </c>
      <c r="P307" s="111"/>
    </row>
    <row r="308" spans="1:16" ht="19.5" customHeight="1" x14ac:dyDescent="0.25">
      <c r="A308" s="104" t="s">
        <v>4422</v>
      </c>
      <c r="B308" s="66" t="s">
        <v>1523</v>
      </c>
      <c r="C308" s="66" t="s">
        <v>72</v>
      </c>
      <c r="D308" s="105" t="s">
        <v>4451</v>
      </c>
      <c r="E308" s="106" t="s">
        <v>30</v>
      </c>
      <c r="F308" s="107" t="s">
        <v>4757</v>
      </c>
      <c r="G308" s="108">
        <v>0.5</v>
      </c>
      <c r="H308" s="109">
        <f>WORKDAY(I301,1)</f>
        <v>46157</v>
      </c>
      <c r="I308" s="109">
        <f t="shared" si="25"/>
        <v>46157</v>
      </c>
      <c r="J308" s="110"/>
      <c r="K308" s="110"/>
      <c r="L308" s="111"/>
      <c r="M308" s="66" t="s">
        <v>4453</v>
      </c>
      <c r="N308" s="66"/>
      <c r="O308" s="112" t="str">
        <f t="shared" si="26"/>
        <v/>
      </c>
      <c r="P308" s="111"/>
    </row>
    <row r="309" spans="1:16" ht="19.5" customHeight="1" x14ac:dyDescent="0.25">
      <c r="A309" s="104" t="s">
        <v>4422</v>
      </c>
      <c r="B309" s="66" t="s">
        <v>1523</v>
      </c>
      <c r="C309" s="66" t="s">
        <v>80</v>
      </c>
      <c r="D309" s="105" t="s">
        <v>4451</v>
      </c>
      <c r="E309" s="106" t="s">
        <v>30</v>
      </c>
      <c r="F309" s="107" t="s">
        <v>4758</v>
      </c>
      <c r="G309" s="108">
        <v>1</v>
      </c>
      <c r="H309" s="109">
        <f>WORKDAY(I301,1)</f>
        <v>46157</v>
      </c>
      <c r="I309" s="109">
        <f t="shared" si="25"/>
        <v>46157</v>
      </c>
      <c r="J309" s="110"/>
      <c r="K309" s="110"/>
      <c r="L309" s="111"/>
      <c r="M309" s="66" t="s">
        <v>4453</v>
      </c>
      <c r="N309" s="66"/>
      <c r="O309" s="112" t="str">
        <f t="shared" si="26"/>
        <v/>
      </c>
      <c r="P309" s="111"/>
    </row>
    <row r="310" spans="1:16" ht="19.5" customHeight="1" x14ac:dyDescent="0.25">
      <c r="A310" s="104" t="s">
        <v>4422</v>
      </c>
      <c r="B310" s="66" t="s">
        <v>1523</v>
      </c>
      <c r="C310" s="66" t="s">
        <v>88</v>
      </c>
      <c r="D310" s="105" t="s">
        <v>4451</v>
      </c>
      <c r="E310" s="106" t="s">
        <v>30</v>
      </c>
      <c r="F310" s="107" t="s">
        <v>4759</v>
      </c>
      <c r="G310" s="108">
        <v>0.5</v>
      </c>
      <c r="H310" s="109">
        <f>WORKDAY(I301,1)</f>
        <v>46157</v>
      </c>
      <c r="I310" s="109">
        <f t="shared" si="25"/>
        <v>46157</v>
      </c>
      <c r="J310" s="110"/>
      <c r="K310" s="110"/>
      <c r="L310" s="111"/>
      <c r="M310" s="66" t="s">
        <v>4453</v>
      </c>
      <c r="N310" s="66"/>
      <c r="O310" s="112" t="str">
        <f t="shared" si="26"/>
        <v/>
      </c>
      <c r="P310" s="111"/>
    </row>
    <row r="311" spans="1:16" ht="19.5" customHeight="1" x14ac:dyDescent="0.25">
      <c r="A311" s="104" t="s">
        <v>4422</v>
      </c>
      <c r="B311" s="66" t="s">
        <v>1523</v>
      </c>
      <c r="C311" s="66" t="s">
        <v>95</v>
      </c>
      <c r="D311" s="105" t="s">
        <v>4451</v>
      </c>
      <c r="E311" s="106" t="s">
        <v>30</v>
      </c>
      <c r="F311" s="107" t="s">
        <v>4760</v>
      </c>
      <c r="G311" s="108">
        <v>0.5</v>
      </c>
      <c r="H311" s="109">
        <f>WORKDAY(I301,1)</f>
        <v>46157</v>
      </c>
      <c r="I311" s="109">
        <f t="shared" si="25"/>
        <v>46157</v>
      </c>
      <c r="J311" s="110"/>
      <c r="K311" s="110"/>
      <c r="L311" s="111"/>
      <c r="M311" s="66" t="s">
        <v>4453</v>
      </c>
      <c r="N311" s="66"/>
      <c r="O311" s="112" t="str">
        <f t="shared" si="26"/>
        <v/>
      </c>
      <c r="P311" s="111"/>
    </row>
    <row r="312" spans="1:16" ht="19.5" customHeight="1" x14ac:dyDescent="0.25">
      <c r="A312" s="104" t="s">
        <v>4422</v>
      </c>
      <c r="B312" s="66" t="s">
        <v>1523</v>
      </c>
      <c r="C312" s="66" t="s">
        <v>103</v>
      </c>
      <c r="D312" s="105" t="s">
        <v>4451</v>
      </c>
      <c r="E312" s="106" t="s">
        <v>30</v>
      </c>
      <c r="F312" s="107" t="s">
        <v>4761</v>
      </c>
      <c r="G312" s="108">
        <v>1</v>
      </c>
      <c r="H312" s="109">
        <f>WORKDAY(I301,1)</f>
        <v>46157</v>
      </c>
      <c r="I312" s="109">
        <f t="shared" si="25"/>
        <v>46157</v>
      </c>
      <c r="J312" s="110"/>
      <c r="K312" s="110"/>
      <c r="L312" s="111"/>
      <c r="M312" s="66" t="s">
        <v>4453</v>
      </c>
      <c r="N312" s="66"/>
      <c r="O312" s="112" t="str">
        <f t="shared" si="26"/>
        <v/>
      </c>
      <c r="P312" s="111"/>
    </row>
    <row r="313" spans="1:16" ht="19.5" customHeight="1" x14ac:dyDescent="0.25">
      <c r="A313" s="104" t="s">
        <v>4422</v>
      </c>
      <c r="B313" s="66" t="s">
        <v>1712</v>
      </c>
      <c r="C313" s="66" t="s">
        <v>26</v>
      </c>
      <c r="D313" s="105" t="s">
        <v>4451</v>
      </c>
      <c r="E313" s="106" t="s">
        <v>30</v>
      </c>
      <c r="F313" s="107" t="s">
        <v>4762</v>
      </c>
      <c r="G313" s="108">
        <v>1.5</v>
      </c>
      <c r="H313" s="109">
        <f>WORKDAY(I301,1)</f>
        <v>46157</v>
      </c>
      <c r="I313" s="109">
        <f>WORKDAY(H313,1)</f>
        <v>46160</v>
      </c>
      <c r="J313" s="110"/>
      <c r="K313" s="110"/>
      <c r="L313" s="111"/>
      <c r="M313" s="66" t="s">
        <v>4453</v>
      </c>
      <c r="N313" s="66"/>
      <c r="O313" s="112" t="str">
        <f t="shared" si="26"/>
        <v/>
      </c>
      <c r="P313" s="111"/>
    </row>
    <row r="314" spans="1:16" ht="19.5" customHeight="1" x14ac:dyDescent="0.25">
      <c r="A314" s="104" t="s">
        <v>4422</v>
      </c>
      <c r="B314" s="66" t="s">
        <v>1712</v>
      </c>
      <c r="C314" s="66" t="s">
        <v>38</v>
      </c>
      <c r="D314" s="105" t="s">
        <v>4451</v>
      </c>
      <c r="E314" s="106" t="s">
        <v>30</v>
      </c>
      <c r="F314" s="107" t="s">
        <v>4763</v>
      </c>
      <c r="G314" s="108">
        <v>1</v>
      </c>
      <c r="H314" s="109">
        <f>WORKDAY(I301,1)</f>
        <v>46157</v>
      </c>
      <c r="I314" s="109">
        <f>H314</f>
        <v>46157</v>
      </c>
      <c r="J314" s="110"/>
      <c r="K314" s="110"/>
      <c r="L314" s="111"/>
      <c r="M314" s="66" t="s">
        <v>4453</v>
      </c>
      <c r="N314" s="66"/>
      <c r="O314" s="112" t="str">
        <f t="shared" si="26"/>
        <v/>
      </c>
      <c r="P314" s="111"/>
    </row>
    <row r="315" spans="1:16" ht="19.5" customHeight="1" x14ac:dyDescent="0.25">
      <c r="A315" s="104" t="s">
        <v>4422</v>
      </c>
      <c r="B315" s="66" t="s">
        <v>1712</v>
      </c>
      <c r="C315" s="66" t="s">
        <v>46</v>
      </c>
      <c r="D315" s="105" t="s">
        <v>4451</v>
      </c>
      <c r="E315" s="106" t="s">
        <v>30</v>
      </c>
      <c r="F315" s="107" t="s">
        <v>4764</v>
      </c>
      <c r="G315" s="108">
        <v>1</v>
      </c>
      <c r="H315" s="109">
        <f>WORKDAY(I301,1)</f>
        <v>46157</v>
      </c>
      <c r="I315" s="109">
        <f>H315</f>
        <v>46157</v>
      </c>
      <c r="J315" s="110"/>
      <c r="K315" s="110"/>
      <c r="L315" s="111"/>
      <c r="M315" s="66" t="s">
        <v>4453</v>
      </c>
      <c r="N315" s="66"/>
      <c r="O315" s="112" t="str">
        <f t="shared" si="26"/>
        <v/>
      </c>
      <c r="P315" s="111"/>
    </row>
    <row r="316" spans="1:16" ht="19.5" customHeight="1" x14ac:dyDescent="0.25">
      <c r="A316" s="104" t="s">
        <v>4422</v>
      </c>
      <c r="B316" s="66" t="s">
        <v>1712</v>
      </c>
      <c r="C316" s="66" t="s">
        <v>53</v>
      </c>
      <c r="D316" s="105" t="s">
        <v>4451</v>
      </c>
      <c r="E316" s="106" t="s">
        <v>30</v>
      </c>
      <c r="F316" s="107" t="s">
        <v>4765</v>
      </c>
      <c r="G316" s="108">
        <v>0.5</v>
      </c>
      <c r="H316" s="109">
        <f>WORKDAY(I301,1)</f>
        <v>46157</v>
      </c>
      <c r="I316" s="109">
        <f>H316</f>
        <v>46157</v>
      </c>
      <c r="J316" s="110"/>
      <c r="K316" s="110"/>
      <c r="L316" s="111"/>
      <c r="M316" s="66" t="s">
        <v>4453</v>
      </c>
      <c r="N316" s="66"/>
      <c r="O316" s="112" t="str">
        <f t="shared" si="26"/>
        <v/>
      </c>
      <c r="P316" s="111"/>
    </row>
    <row r="317" spans="1:16" ht="19.5" customHeight="1" x14ac:dyDescent="0.25">
      <c r="A317" s="104" t="s">
        <v>4422</v>
      </c>
      <c r="B317" s="66" t="s">
        <v>1758</v>
      </c>
      <c r="C317" s="66" t="s">
        <v>26</v>
      </c>
      <c r="D317" s="105" t="s">
        <v>4451</v>
      </c>
      <c r="E317" s="106" t="s">
        <v>30</v>
      </c>
      <c r="F317" s="107" t="s">
        <v>4766</v>
      </c>
      <c r="G317" s="108">
        <v>1.25</v>
      </c>
      <c r="H317" s="109">
        <f>WORKDAY(I301,1)</f>
        <v>46157</v>
      </c>
      <c r="I317" s="109">
        <f>H317</f>
        <v>46157</v>
      </c>
      <c r="J317" s="110"/>
      <c r="K317" s="110"/>
      <c r="L317" s="111"/>
      <c r="M317" s="66" t="s">
        <v>4453</v>
      </c>
      <c r="N317" s="66"/>
      <c r="O317" s="112" t="str">
        <f t="shared" si="26"/>
        <v/>
      </c>
      <c r="P317" s="111"/>
    </row>
    <row r="318" spans="1:16" ht="19.5" customHeight="1" x14ac:dyDescent="0.25">
      <c r="A318" s="104" t="s">
        <v>4422</v>
      </c>
      <c r="B318" s="66" t="s">
        <v>1758</v>
      </c>
      <c r="C318" s="66" t="s">
        <v>38</v>
      </c>
      <c r="D318" s="105" t="s">
        <v>4451</v>
      </c>
      <c r="E318" s="106" t="s">
        <v>30</v>
      </c>
      <c r="F318" s="107" t="s">
        <v>4767</v>
      </c>
      <c r="G318" s="108">
        <v>1.75</v>
      </c>
      <c r="H318" s="109">
        <f>WORKDAY(I301,1)</f>
        <v>46157</v>
      </c>
      <c r="I318" s="109">
        <f t="shared" ref="I318:I323" si="27">WORKDAY(H318,1)</f>
        <v>46160</v>
      </c>
      <c r="J318" s="110"/>
      <c r="K318" s="110"/>
      <c r="L318" s="111"/>
      <c r="M318" s="66" t="s">
        <v>4453</v>
      </c>
      <c r="N318" s="66"/>
      <c r="O318" s="112" t="str">
        <f t="shared" si="26"/>
        <v/>
      </c>
      <c r="P318" s="111"/>
    </row>
    <row r="319" spans="1:16" ht="19.5" customHeight="1" x14ac:dyDescent="0.25">
      <c r="A319" s="104" t="s">
        <v>4422</v>
      </c>
      <c r="B319" s="66" t="s">
        <v>1758</v>
      </c>
      <c r="C319" s="66" t="s">
        <v>46</v>
      </c>
      <c r="D319" s="105" t="s">
        <v>4451</v>
      </c>
      <c r="E319" s="106" t="s">
        <v>30</v>
      </c>
      <c r="F319" s="107" t="s">
        <v>4768</v>
      </c>
      <c r="G319" s="108">
        <v>2.5</v>
      </c>
      <c r="H319" s="109">
        <f>WORKDAY(I301,1)</f>
        <v>46157</v>
      </c>
      <c r="I319" s="109">
        <f t="shared" si="27"/>
        <v>46160</v>
      </c>
      <c r="J319" s="110"/>
      <c r="K319" s="110"/>
      <c r="L319" s="111"/>
      <c r="M319" s="66" t="s">
        <v>4453</v>
      </c>
      <c r="N319" s="66"/>
      <c r="O319" s="112" t="str">
        <f t="shared" si="26"/>
        <v/>
      </c>
      <c r="P319" s="111"/>
    </row>
    <row r="320" spans="1:16" ht="19.5" customHeight="1" x14ac:dyDescent="0.25">
      <c r="A320" s="104" t="s">
        <v>4422</v>
      </c>
      <c r="B320" s="66" t="s">
        <v>1758</v>
      </c>
      <c r="C320" s="66" t="s">
        <v>53</v>
      </c>
      <c r="D320" s="105" t="s">
        <v>4451</v>
      </c>
      <c r="E320" s="106" t="s">
        <v>30</v>
      </c>
      <c r="F320" s="107" t="s">
        <v>4769</v>
      </c>
      <c r="G320" s="108">
        <v>2.5</v>
      </c>
      <c r="H320" s="109">
        <f>WORKDAY(I301,1)</f>
        <v>46157</v>
      </c>
      <c r="I320" s="109">
        <f t="shared" si="27"/>
        <v>46160</v>
      </c>
      <c r="J320" s="110"/>
      <c r="K320" s="110"/>
      <c r="L320" s="111"/>
      <c r="M320" s="66" t="s">
        <v>4453</v>
      </c>
      <c r="N320" s="66"/>
      <c r="O320" s="112" t="str">
        <f t="shared" si="26"/>
        <v/>
      </c>
      <c r="P320" s="111"/>
    </row>
    <row r="321" spans="1:16" ht="19.5" customHeight="1" x14ac:dyDescent="0.25">
      <c r="A321" s="104" t="s">
        <v>4422</v>
      </c>
      <c r="B321" s="66" t="s">
        <v>1758</v>
      </c>
      <c r="C321" s="66" t="s">
        <v>64</v>
      </c>
      <c r="D321" s="105" t="s">
        <v>4451</v>
      </c>
      <c r="E321" s="106" t="s">
        <v>30</v>
      </c>
      <c r="F321" s="107" t="s">
        <v>4770</v>
      </c>
      <c r="G321" s="108">
        <v>1.75</v>
      </c>
      <c r="H321" s="109">
        <f>WORKDAY(I301,1)</f>
        <v>46157</v>
      </c>
      <c r="I321" s="109">
        <f t="shared" si="27"/>
        <v>46160</v>
      </c>
      <c r="J321" s="110"/>
      <c r="K321" s="110"/>
      <c r="L321" s="111"/>
      <c r="M321" s="66" t="s">
        <v>4453</v>
      </c>
      <c r="N321" s="66"/>
      <c r="O321" s="112" t="str">
        <f t="shared" si="26"/>
        <v/>
      </c>
      <c r="P321" s="111"/>
    </row>
    <row r="322" spans="1:16" ht="19.5" customHeight="1" x14ac:dyDescent="0.25">
      <c r="A322" s="104" t="s">
        <v>4422</v>
      </c>
      <c r="B322" s="66" t="s">
        <v>1758</v>
      </c>
      <c r="C322" s="66" t="s">
        <v>72</v>
      </c>
      <c r="D322" s="105" t="s">
        <v>4451</v>
      </c>
      <c r="E322" s="106" t="s">
        <v>30</v>
      </c>
      <c r="F322" s="107" t="s">
        <v>4771</v>
      </c>
      <c r="G322" s="108">
        <v>2.5</v>
      </c>
      <c r="H322" s="109">
        <f>WORKDAY(I301,1)</f>
        <v>46157</v>
      </c>
      <c r="I322" s="109">
        <f t="shared" si="27"/>
        <v>46160</v>
      </c>
      <c r="J322" s="110"/>
      <c r="K322" s="110"/>
      <c r="L322" s="111"/>
      <c r="M322" s="66" t="s">
        <v>4453</v>
      </c>
      <c r="N322" s="66"/>
      <c r="O322" s="112" t="str">
        <f t="shared" si="26"/>
        <v/>
      </c>
      <c r="P322" s="111"/>
    </row>
    <row r="323" spans="1:16" ht="19.5" customHeight="1" x14ac:dyDescent="0.25">
      <c r="A323" s="104" t="s">
        <v>4422</v>
      </c>
      <c r="B323" s="66" t="s">
        <v>1758</v>
      </c>
      <c r="C323" s="66" t="s">
        <v>80</v>
      </c>
      <c r="D323" s="105" t="s">
        <v>4451</v>
      </c>
      <c r="E323" s="106" t="s">
        <v>30</v>
      </c>
      <c r="F323" s="107" t="s">
        <v>4772</v>
      </c>
      <c r="G323" s="108">
        <v>2.5</v>
      </c>
      <c r="H323" s="109">
        <f>WORKDAY(I301,1)</f>
        <v>46157</v>
      </c>
      <c r="I323" s="109">
        <f t="shared" si="27"/>
        <v>46160</v>
      </c>
      <c r="J323" s="110"/>
      <c r="K323" s="110"/>
      <c r="L323" s="111"/>
      <c r="M323" s="66" t="s">
        <v>4453</v>
      </c>
      <c r="N323" s="66"/>
      <c r="O323" s="112" t="str">
        <f t="shared" si="26"/>
        <v/>
      </c>
      <c r="P323" s="111"/>
    </row>
    <row r="324" spans="1:16" ht="19.5" customHeight="1" x14ac:dyDescent="0.25">
      <c r="A324" s="104" t="s">
        <v>4422</v>
      </c>
      <c r="B324" s="66" t="s">
        <v>1934</v>
      </c>
      <c r="C324" s="66" t="s">
        <v>26</v>
      </c>
      <c r="D324" s="105" t="s">
        <v>4451</v>
      </c>
      <c r="E324" s="106" t="s">
        <v>30</v>
      </c>
      <c r="F324" s="107" t="s">
        <v>4773</v>
      </c>
      <c r="G324" s="108">
        <v>1.25</v>
      </c>
      <c r="H324" s="109">
        <f>WORKDAY(I301,1)</f>
        <v>46157</v>
      </c>
      <c r="I324" s="109">
        <f>H324</f>
        <v>46157</v>
      </c>
      <c r="J324" s="110"/>
      <c r="K324" s="110"/>
      <c r="L324" s="111"/>
      <c r="M324" s="66" t="s">
        <v>4453</v>
      </c>
      <c r="N324" s="66"/>
      <c r="O324" s="112" t="str">
        <f t="shared" si="26"/>
        <v/>
      </c>
      <c r="P324" s="111"/>
    </row>
    <row r="325" spans="1:16" ht="19.5" customHeight="1" x14ac:dyDescent="0.25">
      <c r="A325" s="104" t="s">
        <v>4422</v>
      </c>
      <c r="B325" s="66" t="s">
        <v>1934</v>
      </c>
      <c r="C325" s="66" t="s">
        <v>38</v>
      </c>
      <c r="D325" s="105" t="s">
        <v>4451</v>
      </c>
      <c r="E325" s="106" t="s">
        <v>30</v>
      </c>
      <c r="F325" s="107" t="s">
        <v>4774</v>
      </c>
      <c r="G325" s="108">
        <v>1.25</v>
      </c>
      <c r="H325" s="109">
        <f>WORKDAY(I301,1)</f>
        <v>46157</v>
      </c>
      <c r="I325" s="109">
        <f>H325</f>
        <v>46157</v>
      </c>
      <c r="J325" s="110"/>
      <c r="K325" s="110"/>
      <c r="L325" s="111"/>
      <c r="M325" s="66" t="s">
        <v>4453</v>
      </c>
      <c r="N325" s="66"/>
      <c r="O325" s="112" t="str">
        <f t="shared" si="26"/>
        <v/>
      </c>
      <c r="P325" s="111"/>
    </row>
    <row r="326" spans="1:16" ht="19.5" customHeight="1" x14ac:dyDescent="0.25">
      <c r="A326" s="104" t="s">
        <v>4422</v>
      </c>
      <c r="B326" s="66" t="s">
        <v>1934</v>
      </c>
      <c r="C326" s="66" t="s">
        <v>46</v>
      </c>
      <c r="D326" s="105" t="s">
        <v>4451</v>
      </c>
      <c r="E326" s="106" t="s">
        <v>30</v>
      </c>
      <c r="F326" s="107" t="s">
        <v>4775</v>
      </c>
      <c r="G326" s="108">
        <v>0.5</v>
      </c>
      <c r="H326" s="109">
        <f>WORKDAY(I301,1)</f>
        <v>46157</v>
      </c>
      <c r="I326" s="109">
        <f>H326</f>
        <v>46157</v>
      </c>
      <c r="J326" s="110"/>
      <c r="K326" s="110"/>
      <c r="L326" s="111"/>
      <c r="M326" s="66" t="s">
        <v>4453</v>
      </c>
      <c r="N326" s="66"/>
      <c r="O326" s="112" t="str">
        <f t="shared" si="26"/>
        <v/>
      </c>
      <c r="P326" s="111"/>
    </row>
    <row r="327" spans="1:16" ht="19.5" customHeight="1" x14ac:dyDescent="0.25">
      <c r="A327" s="104" t="s">
        <v>4422</v>
      </c>
      <c r="B327" s="66" t="s">
        <v>1934</v>
      </c>
      <c r="C327" s="66" t="s">
        <v>53</v>
      </c>
      <c r="D327" s="105" t="s">
        <v>4451</v>
      </c>
      <c r="E327" s="106" t="s">
        <v>30</v>
      </c>
      <c r="F327" s="107" t="s">
        <v>4776</v>
      </c>
      <c r="G327" s="108">
        <v>1.25</v>
      </c>
      <c r="H327" s="109">
        <f>WORKDAY(I301,1)</f>
        <v>46157</v>
      </c>
      <c r="I327" s="109">
        <f>H327</f>
        <v>46157</v>
      </c>
      <c r="J327" s="110"/>
      <c r="K327" s="110"/>
      <c r="L327" s="111"/>
      <c r="M327" s="66" t="s">
        <v>4453</v>
      </c>
      <c r="N327" s="66"/>
      <c r="O327" s="112" t="str">
        <f t="shared" si="26"/>
        <v/>
      </c>
      <c r="P327" s="111"/>
    </row>
    <row r="328" spans="1:16" ht="19.5" customHeight="1" x14ac:dyDescent="0.25">
      <c r="A328" s="104" t="s">
        <v>4422</v>
      </c>
      <c r="B328" s="66" t="s">
        <v>1934</v>
      </c>
      <c r="C328" s="66" t="s">
        <v>64</v>
      </c>
      <c r="D328" s="105" t="s">
        <v>4451</v>
      </c>
      <c r="E328" s="106" t="s">
        <v>30</v>
      </c>
      <c r="F328" s="107" t="s">
        <v>4777</v>
      </c>
      <c r="G328" s="108">
        <v>1.25</v>
      </c>
      <c r="H328" s="109">
        <f>WORKDAY(I301,1)</f>
        <v>46157</v>
      </c>
      <c r="I328" s="109">
        <f>H328</f>
        <v>46157</v>
      </c>
      <c r="J328" s="110"/>
      <c r="K328" s="110"/>
      <c r="L328" s="111"/>
      <c r="M328" s="66" t="s">
        <v>4453</v>
      </c>
      <c r="N328" s="66"/>
      <c r="O328" s="112" t="str">
        <f t="shared" si="26"/>
        <v/>
      </c>
      <c r="P328" s="111"/>
    </row>
    <row r="329" spans="1:16" ht="19.5" customHeight="1" x14ac:dyDescent="0.25">
      <c r="A329" s="104" t="s">
        <v>4422</v>
      </c>
      <c r="B329" s="66" t="s">
        <v>1934</v>
      </c>
      <c r="C329" s="66" t="s">
        <v>72</v>
      </c>
      <c r="D329" s="105" t="s">
        <v>4451</v>
      </c>
      <c r="E329" s="106" t="s">
        <v>30</v>
      </c>
      <c r="F329" s="107" t="s">
        <v>4778</v>
      </c>
      <c r="G329" s="108">
        <v>2.5</v>
      </c>
      <c r="H329" s="109">
        <f>WORKDAY(I301,1)</f>
        <v>46157</v>
      </c>
      <c r="I329" s="109">
        <f>WORKDAY(H329,1)</f>
        <v>46160</v>
      </c>
      <c r="J329" s="110"/>
      <c r="K329" s="110"/>
      <c r="L329" s="111"/>
      <c r="M329" s="66" t="s">
        <v>4453</v>
      </c>
      <c r="N329" s="66"/>
      <c r="O329" s="112" t="str">
        <f t="shared" si="26"/>
        <v/>
      </c>
      <c r="P329" s="111"/>
    </row>
    <row r="330" spans="1:16" ht="19.5" customHeight="1" x14ac:dyDescent="0.25">
      <c r="A330" s="104" t="s">
        <v>4422</v>
      </c>
      <c r="B330" s="66" t="s">
        <v>2010</v>
      </c>
      <c r="C330" s="66" t="s">
        <v>26</v>
      </c>
      <c r="D330" s="105" t="s">
        <v>4451</v>
      </c>
      <c r="E330" s="106" t="s">
        <v>30</v>
      </c>
      <c r="F330" s="107" t="s">
        <v>4779</v>
      </c>
      <c r="G330" s="108">
        <v>1.25</v>
      </c>
      <c r="H330" s="109">
        <f>WORKDAY(I301,1)</f>
        <v>46157</v>
      </c>
      <c r="I330" s="109">
        <f>H330</f>
        <v>46157</v>
      </c>
      <c r="J330" s="110"/>
      <c r="K330" s="110"/>
      <c r="L330" s="111"/>
      <c r="M330" s="66" t="s">
        <v>4453</v>
      </c>
      <c r="N330" s="66"/>
      <c r="O330" s="112" t="str">
        <f t="shared" si="26"/>
        <v/>
      </c>
      <c r="P330" s="111"/>
    </row>
    <row r="331" spans="1:16" ht="19.5" customHeight="1" x14ac:dyDescent="0.25">
      <c r="A331" s="104" t="s">
        <v>4422</v>
      </c>
      <c r="B331" s="66" t="s">
        <v>2010</v>
      </c>
      <c r="C331" s="66" t="s">
        <v>38</v>
      </c>
      <c r="D331" s="105" t="s">
        <v>4451</v>
      </c>
      <c r="E331" s="106" t="s">
        <v>30</v>
      </c>
      <c r="F331" s="107" t="s">
        <v>4780</v>
      </c>
      <c r="G331" s="108">
        <v>0.5</v>
      </c>
      <c r="H331" s="109">
        <f>WORKDAY(I301,1)</f>
        <v>46157</v>
      </c>
      <c r="I331" s="109">
        <f>H331</f>
        <v>46157</v>
      </c>
      <c r="J331" s="110"/>
      <c r="K331" s="110"/>
      <c r="L331" s="111"/>
      <c r="M331" s="66" t="s">
        <v>4453</v>
      </c>
      <c r="N331" s="66"/>
      <c r="O331" s="112" t="str">
        <f t="shared" si="26"/>
        <v/>
      </c>
      <c r="P331" s="111"/>
    </row>
    <row r="332" spans="1:16" ht="19.5" customHeight="1" x14ac:dyDescent="0.25">
      <c r="A332" s="104" t="s">
        <v>4422</v>
      </c>
      <c r="B332" s="66" t="s">
        <v>2010</v>
      </c>
      <c r="C332" s="66" t="s">
        <v>46</v>
      </c>
      <c r="D332" s="105" t="s">
        <v>4451</v>
      </c>
      <c r="E332" s="106" t="s">
        <v>30</v>
      </c>
      <c r="F332" s="107" t="s">
        <v>4781</v>
      </c>
      <c r="G332" s="108">
        <v>1.25</v>
      </c>
      <c r="H332" s="109">
        <f>WORKDAY(I301,1)</f>
        <v>46157</v>
      </c>
      <c r="I332" s="109">
        <f>H332</f>
        <v>46157</v>
      </c>
      <c r="J332" s="110"/>
      <c r="K332" s="110"/>
      <c r="L332" s="111"/>
      <c r="M332" s="66" t="s">
        <v>4453</v>
      </c>
      <c r="N332" s="66"/>
      <c r="O332" s="112" t="str">
        <f t="shared" si="26"/>
        <v/>
      </c>
      <c r="P332" s="111"/>
    </row>
    <row r="333" spans="1:16" ht="19.5" customHeight="1" x14ac:dyDescent="0.25">
      <c r="A333" s="104" t="s">
        <v>4422</v>
      </c>
      <c r="B333" s="66" t="s">
        <v>3025</v>
      </c>
      <c r="C333" s="66" t="s">
        <v>26</v>
      </c>
      <c r="D333" s="105" t="s">
        <v>4451</v>
      </c>
      <c r="E333" s="106" t="s">
        <v>30</v>
      </c>
      <c r="F333" s="107" t="s">
        <v>4782</v>
      </c>
      <c r="G333" s="108">
        <v>1.25</v>
      </c>
      <c r="H333" s="109">
        <f>WORKDAY(I301,1)</f>
        <v>46157</v>
      </c>
      <c r="I333" s="109">
        <f>H333</f>
        <v>46157</v>
      </c>
      <c r="J333" s="110"/>
      <c r="K333" s="110"/>
      <c r="L333" s="111"/>
      <c r="M333" s="66" t="s">
        <v>4453</v>
      </c>
      <c r="N333" s="66"/>
      <c r="O333" s="112" t="str">
        <f t="shared" si="26"/>
        <v/>
      </c>
      <c r="P333" s="111"/>
    </row>
    <row r="334" spans="1:16" ht="19.5" customHeight="1" x14ac:dyDescent="0.25">
      <c r="A334" s="104" t="s">
        <v>4422</v>
      </c>
      <c r="B334" s="66" t="s">
        <v>3025</v>
      </c>
      <c r="C334" s="66" t="s">
        <v>38</v>
      </c>
      <c r="D334" s="105" t="s">
        <v>4451</v>
      </c>
      <c r="E334" s="106" t="s">
        <v>30</v>
      </c>
      <c r="F334" s="107" t="s">
        <v>4783</v>
      </c>
      <c r="G334" s="108">
        <v>1.25</v>
      </c>
      <c r="H334" s="109">
        <f>WORKDAY(I301,1)</f>
        <v>46157</v>
      </c>
      <c r="I334" s="109">
        <f>H334</f>
        <v>46157</v>
      </c>
      <c r="J334" s="110"/>
      <c r="K334" s="110"/>
      <c r="L334" s="111"/>
      <c r="M334" s="66" t="s">
        <v>4453</v>
      </c>
      <c r="N334" s="66"/>
      <c r="O334" s="112" t="str">
        <f t="shared" si="26"/>
        <v/>
      </c>
      <c r="P334" s="111"/>
    </row>
    <row r="335" spans="1:16" ht="19.5" customHeight="1" x14ac:dyDescent="0.25">
      <c r="A335" s="104" t="s">
        <v>4422</v>
      </c>
      <c r="B335" s="66" t="s">
        <v>3025</v>
      </c>
      <c r="C335" s="66" t="s">
        <v>46</v>
      </c>
      <c r="D335" s="105" t="s">
        <v>4451</v>
      </c>
      <c r="E335" s="106" t="s">
        <v>30</v>
      </c>
      <c r="F335" s="107" t="s">
        <v>4784</v>
      </c>
      <c r="G335" s="108">
        <v>1.75</v>
      </c>
      <c r="H335" s="109">
        <f>WORKDAY(I301,1)</f>
        <v>46157</v>
      </c>
      <c r="I335" s="109">
        <f>WORKDAY(H335,1)</f>
        <v>46160</v>
      </c>
      <c r="J335" s="110"/>
      <c r="K335" s="110"/>
      <c r="L335" s="111"/>
      <c r="M335" s="66" t="s">
        <v>4453</v>
      </c>
      <c r="N335" s="66"/>
      <c r="O335" s="112" t="str">
        <f t="shared" ref="O335:O366" si="28">IF(AND(J335&lt;&gt;"",K335&lt;&gt;""),NETWORKDAYS(J335,K335)-1-G335,"")</f>
        <v/>
      </c>
      <c r="P335" s="111"/>
    </row>
    <row r="336" spans="1:16" ht="19.5" customHeight="1" x14ac:dyDescent="0.25">
      <c r="A336" s="104" t="s">
        <v>4422</v>
      </c>
      <c r="B336" s="66" t="s">
        <v>3084</v>
      </c>
      <c r="C336" s="66" t="s">
        <v>26</v>
      </c>
      <c r="D336" s="105" t="s">
        <v>4451</v>
      </c>
      <c r="E336" s="106" t="s">
        <v>30</v>
      </c>
      <c r="F336" s="107" t="s">
        <v>4785</v>
      </c>
      <c r="G336" s="108">
        <v>1.75</v>
      </c>
      <c r="H336" s="109">
        <f>WORKDAY(I301,1)</f>
        <v>46157</v>
      </c>
      <c r="I336" s="109">
        <f>WORKDAY(H336,1)</f>
        <v>46160</v>
      </c>
      <c r="J336" s="110"/>
      <c r="K336" s="110"/>
      <c r="L336" s="111"/>
      <c r="M336" s="66" t="s">
        <v>4453</v>
      </c>
      <c r="N336" s="66"/>
      <c r="O336" s="112" t="str">
        <f t="shared" si="28"/>
        <v/>
      </c>
      <c r="P336" s="111"/>
    </row>
    <row r="337" spans="1:16" ht="19.5" customHeight="1" x14ac:dyDescent="0.25">
      <c r="A337" s="104" t="s">
        <v>4422</v>
      </c>
      <c r="B337" s="66" t="s">
        <v>3084</v>
      </c>
      <c r="C337" s="66" t="s">
        <v>38</v>
      </c>
      <c r="D337" s="105" t="s">
        <v>4451</v>
      </c>
      <c r="E337" s="106" t="s">
        <v>30</v>
      </c>
      <c r="F337" s="107" t="s">
        <v>4786</v>
      </c>
      <c r="G337" s="108">
        <v>1.25</v>
      </c>
      <c r="H337" s="109">
        <f>WORKDAY(I301,1)</f>
        <v>46157</v>
      </c>
      <c r="I337" s="109">
        <f>H337</f>
        <v>46157</v>
      </c>
      <c r="J337" s="110"/>
      <c r="K337" s="110"/>
      <c r="L337" s="111"/>
      <c r="M337" s="66" t="s">
        <v>4453</v>
      </c>
      <c r="N337" s="66"/>
      <c r="O337" s="112" t="str">
        <f t="shared" si="28"/>
        <v/>
      </c>
      <c r="P337" s="111"/>
    </row>
    <row r="338" spans="1:16" ht="19.5" customHeight="1" x14ac:dyDescent="0.25">
      <c r="A338" s="104" t="s">
        <v>4422</v>
      </c>
      <c r="B338" s="66" t="s">
        <v>3084</v>
      </c>
      <c r="C338" s="66" t="s">
        <v>46</v>
      </c>
      <c r="D338" s="105" t="s">
        <v>4451</v>
      </c>
      <c r="E338" s="106" t="s">
        <v>30</v>
      </c>
      <c r="F338" s="107" t="s">
        <v>4787</v>
      </c>
      <c r="G338" s="108">
        <v>2.5</v>
      </c>
      <c r="H338" s="109">
        <f>WORKDAY(I301,1)</f>
        <v>46157</v>
      </c>
      <c r="I338" s="109">
        <f>WORKDAY(H338,1)</f>
        <v>46160</v>
      </c>
      <c r="J338" s="110"/>
      <c r="K338" s="110"/>
      <c r="L338" s="111"/>
      <c r="M338" s="66" t="s">
        <v>4453</v>
      </c>
      <c r="N338" s="66"/>
      <c r="O338" s="112" t="str">
        <f t="shared" si="28"/>
        <v/>
      </c>
      <c r="P338" s="111"/>
    </row>
    <row r="339" spans="1:16" ht="19.5" customHeight="1" x14ac:dyDescent="0.25">
      <c r="A339" s="113" t="s">
        <v>4422</v>
      </c>
      <c r="B339" s="67" t="s">
        <v>1523</v>
      </c>
      <c r="C339" s="67" t="s">
        <v>112</v>
      </c>
      <c r="D339" s="114" t="s">
        <v>4451</v>
      </c>
      <c r="E339" s="115" t="s">
        <v>116</v>
      </c>
      <c r="F339" s="116" t="s">
        <v>4788</v>
      </c>
      <c r="G339" s="117">
        <v>1</v>
      </c>
      <c r="H339" s="118">
        <f>WORKDAY(I301,1)</f>
        <v>46157</v>
      </c>
      <c r="I339" s="118">
        <f>H339</f>
        <v>46157</v>
      </c>
      <c r="J339" s="110"/>
      <c r="K339" s="110"/>
      <c r="L339" s="119"/>
      <c r="M339" s="67" t="s">
        <v>4453</v>
      </c>
      <c r="N339" s="67"/>
      <c r="O339" s="112" t="str">
        <f t="shared" si="28"/>
        <v/>
      </c>
      <c r="P339" s="119"/>
    </row>
    <row r="340" spans="1:16" ht="19.5" customHeight="1" x14ac:dyDescent="0.25">
      <c r="A340" s="113" t="s">
        <v>4422</v>
      </c>
      <c r="B340" s="67" t="s">
        <v>1523</v>
      </c>
      <c r="C340" s="67" t="s">
        <v>120</v>
      </c>
      <c r="D340" s="114" t="s">
        <v>4451</v>
      </c>
      <c r="E340" s="115" t="s">
        <v>116</v>
      </c>
      <c r="F340" s="116" t="s">
        <v>4789</v>
      </c>
      <c r="G340" s="117">
        <v>1.75</v>
      </c>
      <c r="H340" s="118">
        <f>WORKDAY(I301,1)</f>
        <v>46157</v>
      </c>
      <c r="I340" s="118">
        <f>WORKDAY(H340,1)</f>
        <v>46160</v>
      </c>
      <c r="J340" s="110"/>
      <c r="K340" s="110"/>
      <c r="L340" s="119"/>
      <c r="M340" s="67" t="s">
        <v>4453</v>
      </c>
      <c r="N340" s="67"/>
      <c r="O340" s="112" t="str">
        <f t="shared" si="28"/>
        <v/>
      </c>
      <c r="P340" s="119"/>
    </row>
    <row r="341" spans="1:16" ht="19.5" customHeight="1" x14ac:dyDescent="0.25">
      <c r="A341" s="113" t="s">
        <v>4422</v>
      </c>
      <c r="B341" s="67" t="s">
        <v>1523</v>
      </c>
      <c r="C341" s="67" t="s">
        <v>127</v>
      </c>
      <c r="D341" s="114" t="s">
        <v>4451</v>
      </c>
      <c r="E341" s="115" t="s">
        <v>116</v>
      </c>
      <c r="F341" s="116" t="s">
        <v>4790</v>
      </c>
      <c r="G341" s="117">
        <v>0.5</v>
      </c>
      <c r="H341" s="118">
        <f>WORKDAY(I301,1)</f>
        <v>46157</v>
      </c>
      <c r="I341" s="118">
        <f t="shared" ref="I341:I353" si="29">H341</f>
        <v>46157</v>
      </c>
      <c r="J341" s="110"/>
      <c r="K341" s="110"/>
      <c r="L341" s="119"/>
      <c r="M341" s="67" t="s">
        <v>4453</v>
      </c>
      <c r="N341" s="67"/>
      <c r="O341" s="112" t="str">
        <f t="shared" si="28"/>
        <v/>
      </c>
      <c r="P341" s="119"/>
    </row>
    <row r="342" spans="1:16" ht="19.5" customHeight="1" x14ac:dyDescent="0.25">
      <c r="A342" s="113" t="s">
        <v>4422</v>
      </c>
      <c r="B342" s="67" t="s">
        <v>1523</v>
      </c>
      <c r="C342" s="67" t="s">
        <v>134</v>
      </c>
      <c r="D342" s="114" t="s">
        <v>4451</v>
      </c>
      <c r="E342" s="115" t="s">
        <v>116</v>
      </c>
      <c r="F342" s="116" t="s">
        <v>4791</v>
      </c>
      <c r="G342" s="117">
        <v>0.5</v>
      </c>
      <c r="H342" s="118">
        <f>WORKDAY(I301,1)</f>
        <v>46157</v>
      </c>
      <c r="I342" s="118">
        <f t="shared" si="29"/>
        <v>46157</v>
      </c>
      <c r="J342" s="110"/>
      <c r="K342" s="110"/>
      <c r="L342" s="119"/>
      <c r="M342" s="67" t="s">
        <v>4453</v>
      </c>
      <c r="N342" s="67"/>
      <c r="O342" s="112" t="str">
        <f t="shared" si="28"/>
        <v/>
      </c>
      <c r="P342" s="119"/>
    </row>
    <row r="343" spans="1:16" ht="19.5" customHeight="1" x14ac:dyDescent="0.25">
      <c r="A343" s="113" t="s">
        <v>4422</v>
      </c>
      <c r="B343" s="67" t="s">
        <v>1523</v>
      </c>
      <c r="C343" s="67" t="s">
        <v>142</v>
      </c>
      <c r="D343" s="114" t="s">
        <v>4451</v>
      </c>
      <c r="E343" s="115" t="s">
        <v>116</v>
      </c>
      <c r="F343" s="116" t="s">
        <v>4792</v>
      </c>
      <c r="G343" s="117">
        <v>0.5</v>
      </c>
      <c r="H343" s="118">
        <f>WORKDAY(I301,1)</f>
        <v>46157</v>
      </c>
      <c r="I343" s="118">
        <f t="shared" si="29"/>
        <v>46157</v>
      </c>
      <c r="J343" s="110"/>
      <c r="K343" s="110"/>
      <c r="L343" s="119"/>
      <c r="M343" s="67" t="s">
        <v>4453</v>
      </c>
      <c r="N343" s="67"/>
      <c r="O343" s="112" t="str">
        <f t="shared" si="28"/>
        <v/>
      </c>
      <c r="P343" s="119"/>
    </row>
    <row r="344" spans="1:16" ht="19.5" customHeight="1" x14ac:dyDescent="0.25">
      <c r="A344" s="113" t="s">
        <v>4422</v>
      </c>
      <c r="B344" s="67" t="s">
        <v>1523</v>
      </c>
      <c r="C344" s="67" t="s">
        <v>150</v>
      </c>
      <c r="D344" s="114" t="s">
        <v>4451</v>
      </c>
      <c r="E344" s="115" t="s">
        <v>116</v>
      </c>
      <c r="F344" s="116" t="s">
        <v>4793</v>
      </c>
      <c r="G344" s="117">
        <v>0.5</v>
      </c>
      <c r="H344" s="118">
        <f>WORKDAY(I301,1)</f>
        <v>46157</v>
      </c>
      <c r="I344" s="118">
        <f t="shared" si="29"/>
        <v>46157</v>
      </c>
      <c r="J344" s="110"/>
      <c r="K344" s="110"/>
      <c r="L344" s="119"/>
      <c r="M344" s="67" t="s">
        <v>4453</v>
      </c>
      <c r="N344" s="67"/>
      <c r="O344" s="112" t="str">
        <f t="shared" si="28"/>
        <v/>
      </c>
      <c r="P344" s="119"/>
    </row>
    <row r="345" spans="1:16" ht="19.5" customHeight="1" x14ac:dyDescent="0.25">
      <c r="A345" s="113" t="s">
        <v>4422</v>
      </c>
      <c r="B345" s="67" t="s">
        <v>1523</v>
      </c>
      <c r="C345" s="67" t="s">
        <v>478</v>
      </c>
      <c r="D345" s="114" t="s">
        <v>4451</v>
      </c>
      <c r="E345" s="115" t="s">
        <v>116</v>
      </c>
      <c r="F345" s="116" t="s">
        <v>4794</v>
      </c>
      <c r="G345" s="117">
        <v>0.5</v>
      </c>
      <c r="H345" s="118">
        <f>WORKDAY(I301,1)</f>
        <v>46157</v>
      </c>
      <c r="I345" s="118">
        <f t="shared" si="29"/>
        <v>46157</v>
      </c>
      <c r="J345" s="110"/>
      <c r="K345" s="110"/>
      <c r="L345" s="119"/>
      <c r="M345" s="67" t="s">
        <v>4453</v>
      </c>
      <c r="N345" s="67"/>
      <c r="O345" s="112" t="str">
        <f t="shared" si="28"/>
        <v/>
      </c>
      <c r="P345" s="119"/>
    </row>
    <row r="346" spans="1:16" ht="19.5" customHeight="1" x14ac:dyDescent="0.25">
      <c r="A346" s="113" t="s">
        <v>4422</v>
      </c>
      <c r="B346" s="67" t="s">
        <v>1523</v>
      </c>
      <c r="C346" s="67" t="s">
        <v>487</v>
      </c>
      <c r="D346" s="114" t="s">
        <v>4451</v>
      </c>
      <c r="E346" s="115" t="s">
        <v>116</v>
      </c>
      <c r="F346" s="116" t="s">
        <v>4738</v>
      </c>
      <c r="G346" s="117">
        <v>0.5</v>
      </c>
      <c r="H346" s="118">
        <f>WORKDAY(I301,1)</f>
        <v>46157</v>
      </c>
      <c r="I346" s="118">
        <f t="shared" si="29"/>
        <v>46157</v>
      </c>
      <c r="J346" s="110"/>
      <c r="K346" s="110"/>
      <c r="L346" s="119"/>
      <c r="M346" s="67" t="s">
        <v>4453</v>
      </c>
      <c r="N346" s="67"/>
      <c r="O346" s="112" t="str">
        <f t="shared" si="28"/>
        <v/>
      </c>
      <c r="P346" s="119"/>
    </row>
    <row r="347" spans="1:16" ht="19.5" customHeight="1" x14ac:dyDescent="0.25">
      <c r="A347" s="113" t="s">
        <v>4422</v>
      </c>
      <c r="B347" s="67" t="s">
        <v>1523</v>
      </c>
      <c r="C347" s="67" t="s">
        <v>497</v>
      </c>
      <c r="D347" s="114" t="s">
        <v>4451</v>
      </c>
      <c r="E347" s="115" t="s">
        <v>116</v>
      </c>
      <c r="F347" s="116" t="s">
        <v>4795</v>
      </c>
      <c r="G347" s="117">
        <v>0.5</v>
      </c>
      <c r="H347" s="118">
        <f>WORKDAY(I301,1)</f>
        <v>46157</v>
      </c>
      <c r="I347" s="118">
        <f t="shared" si="29"/>
        <v>46157</v>
      </c>
      <c r="J347" s="110"/>
      <c r="K347" s="110"/>
      <c r="L347" s="119"/>
      <c r="M347" s="67" t="s">
        <v>4453</v>
      </c>
      <c r="N347" s="67"/>
      <c r="O347" s="112" t="str">
        <f t="shared" si="28"/>
        <v/>
      </c>
      <c r="P347" s="119"/>
    </row>
    <row r="348" spans="1:16" ht="19.5" customHeight="1" x14ac:dyDescent="0.25">
      <c r="A348" s="113" t="s">
        <v>4422</v>
      </c>
      <c r="B348" s="67" t="s">
        <v>1523</v>
      </c>
      <c r="C348" s="67" t="s">
        <v>1466</v>
      </c>
      <c r="D348" s="114" t="s">
        <v>4451</v>
      </c>
      <c r="E348" s="115" t="s">
        <v>116</v>
      </c>
      <c r="F348" s="116" t="s">
        <v>4796</v>
      </c>
      <c r="G348" s="117">
        <v>0.5</v>
      </c>
      <c r="H348" s="118">
        <f>WORKDAY(I301,1)</f>
        <v>46157</v>
      </c>
      <c r="I348" s="118">
        <f t="shared" si="29"/>
        <v>46157</v>
      </c>
      <c r="J348" s="110"/>
      <c r="K348" s="110"/>
      <c r="L348" s="119"/>
      <c r="M348" s="67" t="s">
        <v>4453</v>
      </c>
      <c r="N348" s="67"/>
      <c r="O348" s="112" t="str">
        <f t="shared" si="28"/>
        <v/>
      </c>
      <c r="P348" s="119"/>
    </row>
    <row r="349" spans="1:16" ht="19.5" customHeight="1" x14ac:dyDescent="0.25">
      <c r="A349" s="113" t="s">
        <v>4422</v>
      </c>
      <c r="B349" s="67" t="s">
        <v>1523</v>
      </c>
      <c r="C349" s="67" t="s">
        <v>1643</v>
      </c>
      <c r="D349" s="114" t="s">
        <v>4451</v>
      </c>
      <c r="E349" s="115" t="s">
        <v>116</v>
      </c>
      <c r="F349" s="116" t="s">
        <v>4797</v>
      </c>
      <c r="G349" s="117">
        <v>0.5</v>
      </c>
      <c r="H349" s="118">
        <f>WORKDAY(I301,1)</f>
        <v>46157</v>
      </c>
      <c r="I349" s="118">
        <f t="shared" si="29"/>
        <v>46157</v>
      </c>
      <c r="J349" s="110"/>
      <c r="K349" s="110"/>
      <c r="L349" s="119"/>
      <c r="M349" s="67" t="s">
        <v>4453</v>
      </c>
      <c r="N349" s="67"/>
      <c r="O349" s="112" t="str">
        <f t="shared" si="28"/>
        <v/>
      </c>
      <c r="P349" s="119"/>
    </row>
    <row r="350" spans="1:16" ht="19.5" customHeight="1" x14ac:dyDescent="0.25">
      <c r="A350" s="113" t="s">
        <v>4422</v>
      </c>
      <c r="B350" s="67" t="s">
        <v>1523</v>
      </c>
      <c r="C350" s="67" t="s">
        <v>1648</v>
      </c>
      <c r="D350" s="114" t="s">
        <v>4451</v>
      </c>
      <c r="E350" s="115" t="s">
        <v>116</v>
      </c>
      <c r="F350" s="116" t="s">
        <v>4798</v>
      </c>
      <c r="G350" s="117">
        <v>0.5</v>
      </c>
      <c r="H350" s="118">
        <f>WORKDAY(I301,1)</f>
        <v>46157</v>
      </c>
      <c r="I350" s="118">
        <f t="shared" si="29"/>
        <v>46157</v>
      </c>
      <c r="J350" s="110"/>
      <c r="K350" s="110"/>
      <c r="L350" s="119"/>
      <c r="M350" s="67" t="s">
        <v>4453</v>
      </c>
      <c r="N350" s="67"/>
      <c r="O350" s="112" t="str">
        <f t="shared" si="28"/>
        <v/>
      </c>
      <c r="P350" s="119"/>
    </row>
    <row r="351" spans="1:16" ht="19.5" customHeight="1" x14ac:dyDescent="0.25">
      <c r="A351" s="113" t="s">
        <v>4422</v>
      </c>
      <c r="B351" s="67" t="s">
        <v>1523</v>
      </c>
      <c r="C351" s="67" t="s">
        <v>1654</v>
      </c>
      <c r="D351" s="114" t="s">
        <v>4451</v>
      </c>
      <c r="E351" s="115" t="s">
        <v>116</v>
      </c>
      <c r="F351" s="116" t="s">
        <v>4799</v>
      </c>
      <c r="G351" s="117">
        <v>0.5</v>
      </c>
      <c r="H351" s="118">
        <f>WORKDAY(I301,1)</f>
        <v>46157</v>
      </c>
      <c r="I351" s="118">
        <f t="shared" si="29"/>
        <v>46157</v>
      </c>
      <c r="J351" s="110"/>
      <c r="K351" s="110"/>
      <c r="L351" s="119"/>
      <c r="M351" s="67" t="s">
        <v>4453</v>
      </c>
      <c r="N351" s="67"/>
      <c r="O351" s="112" t="str">
        <f t="shared" si="28"/>
        <v/>
      </c>
      <c r="P351" s="119"/>
    </row>
    <row r="352" spans="1:16" ht="19.5" customHeight="1" x14ac:dyDescent="0.25">
      <c r="A352" s="113" t="s">
        <v>4422</v>
      </c>
      <c r="B352" s="67" t="s">
        <v>1523</v>
      </c>
      <c r="C352" s="67" t="s">
        <v>1661</v>
      </c>
      <c r="D352" s="114" t="s">
        <v>4451</v>
      </c>
      <c r="E352" s="115" t="s">
        <v>116</v>
      </c>
      <c r="F352" s="116" t="s">
        <v>4800</v>
      </c>
      <c r="G352" s="117">
        <v>1</v>
      </c>
      <c r="H352" s="118">
        <f>WORKDAY(I301,1)</f>
        <v>46157</v>
      </c>
      <c r="I352" s="118">
        <f t="shared" si="29"/>
        <v>46157</v>
      </c>
      <c r="J352" s="110"/>
      <c r="K352" s="110"/>
      <c r="L352" s="119"/>
      <c r="M352" s="67" t="s">
        <v>4453</v>
      </c>
      <c r="N352" s="67"/>
      <c r="O352" s="112" t="str">
        <f t="shared" si="28"/>
        <v/>
      </c>
      <c r="P352" s="119"/>
    </row>
    <row r="353" spans="1:16" ht="19.5" customHeight="1" x14ac:dyDescent="0.25">
      <c r="A353" s="113" t="s">
        <v>4422</v>
      </c>
      <c r="B353" s="67" t="s">
        <v>1712</v>
      </c>
      <c r="C353" s="67" t="s">
        <v>112</v>
      </c>
      <c r="D353" s="114" t="s">
        <v>4451</v>
      </c>
      <c r="E353" s="115" t="s">
        <v>116</v>
      </c>
      <c r="F353" s="116" t="s">
        <v>4801</v>
      </c>
      <c r="G353" s="117">
        <v>1</v>
      </c>
      <c r="H353" s="118">
        <f>WORKDAY(I301,1)</f>
        <v>46157</v>
      </c>
      <c r="I353" s="118">
        <f t="shared" si="29"/>
        <v>46157</v>
      </c>
      <c r="J353" s="110"/>
      <c r="K353" s="110"/>
      <c r="L353" s="119"/>
      <c r="M353" s="67" t="s">
        <v>4453</v>
      </c>
      <c r="N353" s="67"/>
      <c r="O353" s="112" t="str">
        <f t="shared" si="28"/>
        <v/>
      </c>
      <c r="P353" s="119"/>
    </row>
    <row r="354" spans="1:16" ht="19.5" customHeight="1" x14ac:dyDescent="0.25">
      <c r="A354" s="113" t="s">
        <v>4422</v>
      </c>
      <c r="B354" s="67" t="s">
        <v>1758</v>
      </c>
      <c r="C354" s="67" t="s">
        <v>112</v>
      </c>
      <c r="D354" s="114" t="s">
        <v>4451</v>
      </c>
      <c r="E354" s="115" t="s">
        <v>116</v>
      </c>
      <c r="F354" s="116" t="s">
        <v>4802</v>
      </c>
      <c r="G354" s="117">
        <v>1.75</v>
      </c>
      <c r="H354" s="118">
        <f>WORKDAY(I301,1)</f>
        <v>46157</v>
      </c>
      <c r="I354" s="118">
        <f>WORKDAY(H354,1)</f>
        <v>46160</v>
      </c>
      <c r="J354" s="110"/>
      <c r="K354" s="110"/>
      <c r="L354" s="119"/>
      <c r="M354" s="67" t="s">
        <v>4453</v>
      </c>
      <c r="N354" s="67"/>
      <c r="O354" s="112" t="str">
        <f t="shared" si="28"/>
        <v/>
      </c>
      <c r="P354" s="119"/>
    </row>
    <row r="355" spans="1:16" ht="19.5" customHeight="1" x14ac:dyDescent="0.25">
      <c r="A355" s="113" t="s">
        <v>4422</v>
      </c>
      <c r="B355" s="67" t="s">
        <v>1758</v>
      </c>
      <c r="C355" s="67" t="s">
        <v>120</v>
      </c>
      <c r="D355" s="114" t="s">
        <v>4451</v>
      </c>
      <c r="E355" s="115" t="s">
        <v>116</v>
      </c>
      <c r="F355" s="116" t="s">
        <v>4803</v>
      </c>
      <c r="G355" s="117">
        <v>0.5</v>
      </c>
      <c r="H355" s="118">
        <f>WORKDAY(I301,1)</f>
        <v>46157</v>
      </c>
      <c r="I355" s="118">
        <f t="shared" ref="I355:I360" si="30">H355</f>
        <v>46157</v>
      </c>
      <c r="J355" s="110"/>
      <c r="K355" s="110"/>
      <c r="L355" s="119"/>
      <c r="M355" s="67" t="s">
        <v>4453</v>
      </c>
      <c r="N355" s="67"/>
      <c r="O355" s="112" t="str">
        <f t="shared" si="28"/>
        <v/>
      </c>
      <c r="P355" s="119"/>
    </row>
    <row r="356" spans="1:16" ht="19.5" customHeight="1" x14ac:dyDescent="0.25">
      <c r="A356" s="113" t="s">
        <v>4422</v>
      </c>
      <c r="B356" s="67" t="s">
        <v>1758</v>
      </c>
      <c r="C356" s="67" t="s">
        <v>127</v>
      </c>
      <c r="D356" s="114" t="s">
        <v>4451</v>
      </c>
      <c r="E356" s="115" t="s">
        <v>116</v>
      </c>
      <c r="F356" s="116" t="s">
        <v>4804</v>
      </c>
      <c r="G356" s="117">
        <v>0.5</v>
      </c>
      <c r="H356" s="118">
        <f>WORKDAY(I301,1)</f>
        <v>46157</v>
      </c>
      <c r="I356" s="118">
        <f t="shared" si="30"/>
        <v>46157</v>
      </c>
      <c r="J356" s="110"/>
      <c r="K356" s="110"/>
      <c r="L356" s="119"/>
      <c r="M356" s="67" t="s">
        <v>4453</v>
      </c>
      <c r="N356" s="67"/>
      <c r="O356" s="112" t="str">
        <f t="shared" si="28"/>
        <v/>
      </c>
      <c r="P356" s="119"/>
    </row>
    <row r="357" spans="1:16" ht="19.5" customHeight="1" x14ac:dyDescent="0.25">
      <c r="A357" s="113" t="s">
        <v>4422</v>
      </c>
      <c r="B357" s="67" t="s">
        <v>1758</v>
      </c>
      <c r="C357" s="67" t="s">
        <v>134</v>
      </c>
      <c r="D357" s="114" t="s">
        <v>4451</v>
      </c>
      <c r="E357" s="115" t="s">
        <v>116</v>
      </c>
      <c r="F357" s="116" t="s">
        <v>4805</v>
      </c>
      <c r="G357" s="117">
        <v>0.5</v>
      </c>
      <c r="H357" s="118">
        <f>WORKDAY(I301,1)</f>
        <v>46157</v>
      </c>
      <c r="I357" s="118">
        <f t="shared" si="30"/>
        <v>46157</v>
      </c>
      <c r="J357" s="110"/>
      <c r="K357" s="110"/>
      <c r="L357" s="119"/>
      <c r="M357" s="67" t="s">
        <v>4453</v>
      </c>
      <c r="N357" s="67"/>
      <c r="O357" s="112" t="str">
        <f t="shared" si="28"/>
        <v/>
      </c>
      <c r="P357" s="119"/>
    </row>
    <row r="358" spans="1:16" ht="19.5" customHeight="1" x14ac:dyDescent="0.25">
      <c r="A358" s="113" t="s">
        <v>4422</v>
      </c>
      <c r="B358" s="67" t="s">
        <v>1758</v>
      </c>
      <c r="C358" s="67" t="s">
        <v>142</v>
      </c>
      <c r="D358" s="114" t="s">
        <v>4451</v>
      </c>
      <c r="E358" s="115" t="s">
        <v>116</v>
      </c>
      <c r="F358" s="116" t="s">
        <v>4806</v>
      </c>
      <c r="G358" s="117">
        <v>0.5</v>
      </c>
      <c r="H358" s="118">
        <f>WORKDAY(I301,1)</f>
        <v>46157</v>
      </c>
      <c r="I358" s="118">
        <f t="shared" si="30"/>
        <v>46157</v>
      </c>
      <c r="J358" s="110"/>
      <c r="K358" s="110"/>
      <c r="L358" s="119"/>
      <c r="M358" s="67" t="s">
        <v>4453</v>
      </c>
      <c r="N358" s="67"/>
      <c r="O358" s="112" t="str">
        <f t="shared" si="28"/>
        <v/>
      </c>
      <c r="P358" s="119"/>
    </row>
    <row r="359" spans="1:16" ht="19.5" customHeight="1" x14ac:dyDescent="0.25">
      <c r="A359" s="113" t="s">
        <v>4422</v>
      </c>
      <c r="B359" s="67" t="s">
        <v>1758</v>
      </c>
      <c r="C359" s="67" t="s">
        <v>150</v>
      </c>
      <c r="D359" s="114" t="s">
        <v>4451</v>
      </c>
      <c r="E359" s="115" t="s">
        <v>116</v>
      </c>
      <c r="F359" s="116" t="s">
        <v>4807</v>
      </c>
      <c r="G359" s="117">
        <v>0.5</v>
      </c>
      <c r="H359" s="118">
        <f>WORKDAY(I301,1)</f>
        <v>46157</v>
      </c>
      <c r="I359" s="118">
        <f t="shared" si="30"/>
        <v>46157</v>
      </c>
      <c r="J359" s="110"/>
      <c r="K359" s="110"/>
      <c r="L359" s="119"/>
      <c r="M359" s="67" t="s">
        <v>4453</v>
      </c>
      <c r="N359" s="67"/>
      <c r="O359" s="112" t="str">
        <f t="shared" si="28"/>
        <v/>
      </c>
      <c r="P359" s="119"/>
    </row>
    <row r="360" spans="1:16" ht="19.5" customHeight="1" x14ac:dyDescent="0.25">
      <c r="A360" s="113" t="s">
        <v>4422</v>
      </c>
      <c r="B360" s="67" t="s">
        <v>1758</v>
      </c>
      <c r="C360" s="67" t="s">
        <v>478</v>
      </c>
      <c r="D360" s="114" t="s">
        <v>4451</v>
      </c>
      <c r="E360" s="115" t="s">
        <v>116</v>
      </c>
      <c r="F360" s="116" t="s">
        <v>4808</v>
      </c>
      <c r="G360" s="117">
        <v>0.5</v>
      </c>
      <c r="H360" s="118">
        <f>WORKDAY(I301,1)</f>
        <v>46157</v>
      </c>
      <c r="I360" s="118">
        <f t="shared" si="30"/>
        <v>46157</v>
      </c>
      <c r="J360" s="110"/>
      <c r="K360" s="110"/>
      <c r="L360" s="119"/>
      <c r="M360" s="67" t="s">
        <v>4453</v>
      </c>
      <c r="N360" s="67"/>
      <c r="O360" s="112" t="str">
        <f t="shared" si="28"/>
        <v/>
      </c>
      <c r="P360" s="119"/>
    </row>
    <row r="361" spans="1:16" ht="19.5" customHeight="1" x14ac:dyDescent="0.25">
      <c r="A361" s="113" t="s">
        <v>4422</v>
      </c>
      <c r="B361" s="67" t="s">
        <v>1758</v>
      </c>
      <c r="C361" s="67" t="s">
        <v>487</v>
      </c>
      <c r="D361" s="114" t="s">
        <v>4451</v>
      </c>
      <c r="E361" s="115" t="s">
        <v>116</v>
      </c>
      <c r="F361" s="116" t="s">
        <v>4809</v>
      </c>
      <c r="G361" s="117">
        <v>1.75</v>
      </c>
      <c r="H361" s="118">
        <f>WORKDAY(I301,1)</f>
        <v>46157</v>
      </c>
      <c r="I361" s="118">
        <f>WORKDAY(H361,1)</f>
        <v>46160</v>
      </c>
      <c r="J361" s="110"/>
      <c r="K361" s="110"/>
      <c r="L361" s="119"/>
      <c r="M361" s="67" t="s">
        <v>4453</v>
      </c>
      <c r="N361" s="67"/>
      <c r="O361" s="112" t="str">
        <f t="shared" si="28"/>
        <v/>
      </c>
      <c r="P361" s="119"/>
    </row>
    <row r="362" spans="1:16" ht="19.5" customHeight="1" x14ac:dyDescent="0.25">
      <c r="A362" s="113" t="s">
        <v>4422</v>
      </c>
      <c r="B362" s="67" t="s">
        <v>1758</v>
      </c>
      <c r="C362" s="67" t="s">
        <v>497</v>
      </c>
      <c r="D362" s="114" t="s">
        <v>4451</v>
      </c>
      <c r="E362" s="115" t="s">
        <v>116</v>
      </c>
      <c r="F362" s="116" t="s">
        <v>4810</v>
      </c>
      <c r="G362" s="117">
        <v>2.5</v>
      </c>
      <c r="H362" s="118">
        <f>WORKDAY(I301,1)</f>
        <v>46157</v>
      </c>
      <c r="I362" s="118">
        <f>WORKDAY(H362,1)</f>
        <v>46160</v>
      </c>
      <c r="J362" s="110"/>
      <c r="K362" s="110"/>
      <c r="L362" s="119"/>
      <c r="M362" s="67" t="s">
        <v>4453</v>
      </c>
      <c r="N362" s="67"/>
      <c r="O362" s="112" t="str">
        <f t="shared" si="28"/>
        <v/>
      </c>
      <c r="P362" s="119"/>
    </row>
    <row r="363" spans="1:16" ht="19.5" customHeight="1" x14ac:dyDescent="0.25">
      <c r="A363" s="113" t="s">
        <v>4422</v>
      </c>
      <c r="B363" s="67" t="s">
        <v>1758</v>
      </c>
      <c r="C363" s="67" t="s">
        <v>1466</v>
      </c>
      <c r="D363" s="114" t="s">
        <v>4451</v>
      </c>
      <c r="E363" s="115" t="s">
        <v>116</v>
      </c>
      <c r="F363" s="116" t="s">
        <v>4811</v>
      </c>
      <c r="G363" s="117">
        <v>1.25</v>
      </c>
      <c r="H363" s="118">
        <f>WORKDAY(I301,1)</f>
        <v>46157</v>
      </c>
      <c r="I363" s="118">
        <f>H363</f>
        <v>46157</v>
      </c>
      <c r="J363" s="110"/>
      <c r="K363" s="110"/>
      <c r="L363" s="119"/>
      <c r="M363" s="67" t="s">
        <v>4453</v>
      </c>
      <c r="N363" s="67"/>
      <c r="O363" s="112" t="str">
        <f t="shared" si="28"/>
        <v/>
      </c>
      <c r="P363" s="119"/>
    </row>
    <row r="364" spans="1:16" ht="19.5" customHeight="1" x14ac:dyDescent="0.25">
      <c r="A364" s="113" t="s">
        <v>4422</v>
      </c>
      <c r="B364" s="67" t="s">
        <v>1758</v>
      </c>
      <c r="C364" s="67" t="s">
        <v>1643</v>
      </c>
      <c r="D364" s="114" t="s">
        <v>4451</v>
      </c>
      <c r="E364" s="115" t="s">
        <v>116</v>
      </c>
      <c r="F364" s="116" t="s">
        <v>4812</v>
      </c>
      <c r="G364" s="117">
        <v>0.5</v>
      </c>
      <c r="H364" s="118">
        <f>WORKDAY(I301,1)</f>
        <v>46157</v>
      </c>
      <c r="I364" s="118">
        <f>H364</f>
        <v>46157</v>
      </c>
      <c r="J364" s="110"/>
      <c r="K364" s="110"/>
      <c r="L364" s="119"/>
      <c r="M364" s="67" t="s">
        <v>4453</v>
      </c>
      <c r="N364" s="67"/>
      <c r="O364" s="112" t="str">
        <f t="shared" si="28"/>
        <v/>
      </c>
      <c r="P364" s="119"/>
    </row>
    <row r="365" spans="1:16" ht="19.5" customHeight="1" x14ac:dyDescent="0.25">
      <c r="A365" s="113" t="s">
        <v>4422</v>
      </c>
      <c r="B365" s="67" t="s">
        <v>1758</v>
      </c>
      <c r="C365" s="67" t="s">
        <v>1648</v>
      </c>
      <c r="D365" s="114" t="s">
        <v>4451</v>
      </c>
      <c r="E365" s="115" t="s">
        <v>116</v>
      </c>
      <c r="F365" s="116" t="s">
        <v>4813</v>
      </c>
      <c r="G365" s="117">
        <v>1.25</v>
      </c>
      <c r="H365" s="118">
        <f>WORKDAY(I301,1)</f>
        <v>46157</v>
      </c>
      <c r="I365" s="118">
        <f>H365</f>
        <v>46157</v>
      </c>
      <c r="J365" s="110"/>
      <c r="K365" s="110"/>
      <c r="L365" s="119"/>
      <c r="M365" s="67" t="s">
        <v>4453</v>
      </c>
      <c r="N365" s="67"/>
      <c r="O365" s="112" t="str">
        <f t="shared" si="28"/>
        <v/>
      </c>
      <c r="P365" s="119"/>
    </row>
    <row r="366" spans="1:16" ht="19.5" customHeight="1" x14ac:dyDescent="0.25">
      <c r="A366" s="113" t="s">
        <v>4422</v>
      </c>
      <c r="B366" s="67" t="s">
        <v>1758</v>
      </c>
      <c r="C366" s="67" t="s">
        <v>1654</v>
      </c>
      <c r="D366" s="114" t="s">
        <v>4451</v>
      </c>
      <c r="E366" s="115" t="s">
        <v>116</v>
      </c>
      <c r="F366" s="116" t="s">
        <v>4814</v>
      </c>
      <c r="G366" s="117">
        <v>0.25</v>
      </c>
      <c r="H366" s="118">
        <f>WORKDAY(I301,1)</f>
        <v>46157</v>
      </c>
      <c r="I366" s="118">
        <f>H366</f>
        <v>46157</v>
      </c>
      <c r="J366" s="110"/>
      <c r="K366" s="110"/>
      <c r="L366" s="119"/>
      <c r="M366" s="67" t="s">
        <v>4453</v>
      </c>
      <c r="N366" s="67"/>
      <c r="O366" s="112" t="str">
        <f t="shared" si="28"/>
        <v/>
      </c>
      <c r="P366" s="119"/>
    </row>
    <row r="367" spans="1:16" ht="19.5" customHeight="1" x14ac:dyDescent="0.25">
      <c r="A367" s="113" t="s">
        <v>4422</v>
      </c>
      <c r="B367" s="67" t="s">
        <v>1934</v>
      </c>
      <c r="C367" s="67" t="s">
        <v>112</v>
      </c>
      <c r="D367" s="114" t="s">
        <v>4451</v>
      </c>
      <c r="E367" s="115" t="s">
        <v>116</v>
      </c>
      <c r="F367" s="116" t="s">
        <v>4815</v>
      </c>
      <c r="G367" s="117">
        <v>1</v>
      </c>
      <c r="H367" s="118">
        <f>WORKDAY(I301,1)</f>
        <v>46157</v>
      </c>
      <c r="I367" s="118">
        <f>H367</f>
        <v>46157</v>
      </c>
      <c r="J367" s="110"/>
      <c r="K367" s="110"/>
      <c r="L367" s="119"/>
      <c r="M367" s="67" t="s">
        <v>4453</v>
      </c>
      <c r="N367" s="67"/>
      <c r="O367" s="112" t="str">
        <f t="shared" ref="O367:O403" si="31">IF(AND(J367&lt;&gt;"",K367&lt;&gt;""),NETWORKDAYS(J367,K367)-1-G367,"")</f>
        <v/>
      </c>
      <c r="P367" s="119"/>
    </row>
    <row r="368" spans="1:16" ht="19.5" customHeight="1" x14ac:dyDescent="0.25">
      <c r="A368" s="113" t="s">
        <v>4422</v>
      </c>
      <c r="B368" s="67" t="s">
        <v>2010</v>
      </c>
      <c r="C368" s="67" t="s">
        <v>112</v>
      </c>
      <c r="D368" s="114" t="s">
        <v>4451</v>
      </c>
      <c r="E368" s="115" t="s">
        <v>116</v>
      </c>
      <c r="F368" s="116" t="s">
        <v>4816</v>
      </c>
      <c r="G368" s="117">
        <v>1.75</v>
      </c>
      <c r="H368" s="118">
        <f>WORKDAY(I301,1)</f>
        <v>46157</v>
      </c>
      <c r="I368" s="118">
        <f>WORKDAY(H368,1)</f>
        <v>46160</v>
      </c>
      <c r="J368" s="110"/>
      <c r="K368" s="110"/>
      <c r="L368" s="119"/>
      <c r="M368" s="67" t="s">
        <v>4453</v>
      </c>
      <c r="N368" s="67"/>
      <c r="O368" s="112" t="str">
        <f t="shared" si="31"/>
        <v/>
      </c>
      <c r="P368" s="119"/>
    </row>
    <row r="369" spans="1:16" ht="19.5" customHeight="1" x14ac:dyDescent="0.25">
      <c r="A369" s="113" t="s">
        <v>4422</v>
      </c>
      <c r="B369" s="67" t="s">
        <v>2010</v>
      </c>
      <c r="C369" s="67" t="s">
        <v>120</v>
      </c>
      <c r="D369" s="114" t="s">
        <v>4451</v>
      </c>
      <c r="E369" s="115" t="s">
        <v>116</v>
      </c>
      <c r="F369" s="116" t="s">
        <v>4817</v>
      </c>
      <c r="G369" s="117">
        <v>0.5</v>
      </c>
      <c r="H369" s="118">
        <f>WORKDAY(I301,1)</f>
        <v>46157</v>
      </c>
      <c r="I369" s="118">
        <f t="shared" ref="I369:I389" si="32">H369</f>
        <v>46157</v>
      </c>
      <c r="J369" s="110"/>
      <c r="K369" s="110"/>
      <c r="L369" s="119"/>
      <c r="M369" s="67" t="s">
        <v>4453</v>
      </c>
      <c r="N369" s="67"/>
      <c r="O369" s="112" t="str">
        <f t="shared" si="31"/>
        <v/>
      </c>
      <c r="P369" s="119"/>
    </row>
    <row r="370" spans="1:16" ht="19.5" customHeight="1" x14ac:dyDescent="0.25">
      <c r="A370" s="113" t="s">
        <v>4422</v>
      </c>
      <c r="B370" s="67" t="s">
        <v>2010</v>
      </c>
      <c r="C370" s="67" t="s">
        <v>127</v>
      </c>
      <c r="D370" s="114" t="s">
        <v>4451</v>
      </c>
      <c r="E370" s="115" t="s">
        <v>116</v>
      </c>
      <c r="F370" s="116" t="s">
        <v>4818</v>
      </c>
      <c r="G370" s="117">
        <v>0.5</v>
      </c>
      <c r="H370" s="118">
        <f>WORKDAY(I301,1)</f>
        <v>46157</v>
      </c>
      <c r="I370" s="118">
        <f t="shared" si="32"/>
        <v>46157</v>
      </c>
      <c r="J370" s="110"/>
      <c r="K370" s="110"/>
      <c r="L370" s="119"/>
      <c r="M370" s="67" t="s">
        <v>4453</v>
      </c>
      <c r="N370" s="67"/>
      <c r="O370" s="112" t="str">
        <f t="shared" si="31"/>
        <v/>
      </c>
      <c r="P370" s="119"/>
    </row>
    <row r="371" spans="1:16" ht="19.5" customHeight="1" x14ac:dyDescent="0.25">
      <c r="A371" s="113" t="s">
        <v>4422</v>
      </c>
      <c r="B371" s="67" t="s">
        <v>2010</v>
      </c>
      <c r="C371" s="67" t="s">
        <v>134</v>
      </c>
      <c r="D371" s="114" t="s">
        <v>4451</v>
      </c>
      <c r="E371" s="115" t="s">
        <v>116</v>
      </c>
      <c r="F371" s="116" t="s">
        <v>4819</v>
      </c>
      <c r="G371" s="117">
        <v>0.5</v>
      </c>
      <c r="H371" s="118">
        <f>WORKDAY(I301,1)</f>
        <v>46157</v>
      </c>
      <c r="I371" s="118">
        <f t="shared" si="32"/>
        <v>46157</v>
      </c>
      <c r="J371" s="110"/>
      <c r="K371" s="110"/>
      <c r="L371" s="119"/>
      <c r="M371" s="67" t="s">
        <v>4453</v>
      </c>
      <c r="N371" s="67"/>
      <c r="O371" s="112" t="str">
        <f t="shared" si="31"/>
        <v/>
      </c>
      <c r="P371" s="119"/>
    </row>
    <row r="372" spans="1:16" ht="19.5" customHeight="1" x14ac:dyDescent="0.25">
      <c r="A372" s="113" t="s">
        <v>4422</v>
      </c>
      <c r="B372" s="67" t="s">
        <v>2010</v>
      </c>
      <c r="C372" s="67" t="s">
        <v>142</v>
      </c>
      <c r="D372" s="114" t="s">
        <v>4451</v>
      </c>
      <c r="E372" s="115" t="s">
        <v>116</v>
      </c>
      <c r="F372" s="116" t="s">
        <v>4820</v>
      </c>
      <c r="G372" s="117">
        <v>0.5</v>
      </c>
      <c r="H372" s="118">
        <f>WORKDAY(I301,1)</f>
        <v>46157</v>
      </c>
      <c r="I372" s="118">
        <f t="shared" si="32"/>
        <v>46157</v>
      </c>
      <c r="J372" s="110"/>
      <c r="K372" s="110"/>
      <c r="L372" s="119"/>
      <c r="M372" s="67" t="s">
        <v>4453</v>
      </c>
      <c r="N372" s="67"/>
      <c r="O372" s="112" t="str">
        <f t="shared" si="31"/>
        <v/>
      </c>
      <c r="P372" s="119"/>
    </row>
    <row r="373" spans="1:16" ht="19.5" customHeight="1" x14ac:dyDescent="0.25">
      <c r="A373" s="113" t="s">
        <v>4422</v>
      </c>
      <c r="B373" s="67" t="s">
        <v>2010</v>
      </c>
      <c r="C373" s="67" t="s">
        <v>150</v>
      </c>
      <c r="D373" s="114" t="s">
        <v>4451</v>
      </c>
      <c r="E373" s="115" t="s">
        <v>116</v>
      </c>
      <c r="F373" s="116" t="s">
        <v>4821</v>
      </c>
      <c r="G373" s="117">
        <v>0.5</v>
      </c>
      <c r="H373" s="118">
        <f>WORKDAY(I301,1)</f>
        <v>46157</v>
      </c>
      <c r="I373" s="118">
        <f t="shared" si="32"/>
        <v>46157</v>
      </c>
      <c r="J373" s="110"/>
      <c r="K373" s="110"/>
      <c r="L373" s="119"/>
      <c r="M373" s="67" t="s">
        <v>4453</v>
      </c>
      <c r="N373" s="67"/>
      <c r="O373" s="112" t="str">
        <f t="shared" si="31"/>
        <v/>
      </c>
      <c r="P373" s="119"/>
    </row>
    <row r="374" spans="1:16" ht="19.5" customHeight="1" x14ac:dyDescent="0.25">
      <c r="A374" s="113" t="s">
        <v>4422</v>
      </c>
      <c r="B374" s="67" t="s">
        <v>3025</v>
      </c>
      <c r="C374" s="67" t="s">
        <v>112</v>
      </c>
      <c r="D374" s="114" t="s">
        <v>4451</v>
      </c>
      <c r="E374" s="115" t="s">
        <v>116</v>
      </c>
      <c r="F374" s="116" t="s">
        <v>4822</v>
      </c>
      <c r="G374" s="117">
        <v>0.5</v>
      </c>
      <c r="H374" s="118">
        <f>WORKDAY(I301,1)</f>
        <v>46157</v>
      </c>
      <c r="I374" s="118">
        <f t="shared" si="32"/>
        <v>46157</v>
      </c>
      <c r="J374" s="110"/>
      <c r="K374" s="110"/>
      <c r="L374" s="119"/>
      <c r="M374" s="67" t="s">
        <v>4453</v>
      </c>
      <c r="N374" s="67"/>
      <c r="O374" s="112" t="str">
        <f t="shared" si="31"/>
        <v/>
      </c>
      <c r="P374" s="119"/>
    </row>
    <row r="375" spans="1:16" ht="19.5" customHeight="1" x14ac:dyDescent="0.25">
      <c r="A375" s="113" t="s">
        <v>4422</v>
      </c>
      <c r="B375" s="67" t="s">
        <v>3025</v>
      </c>
      <c r="C375" s="67" t="s">
        <v>120</v>
      </c>
      <c r="D375" s="114" t="s">
        <v>4451</v>
      </c>
      <c r="E375" s="115" t="s">
        <v>116</v>
      </c>
      <c r="F375" s="116" t="s">
        <v>4823</v>
      </c>
      <c r="G375" s="117">
        <v>0.5</v>
      </c>
      <c r="H375" s="118">
        <f>WORKDAY(I301,1)</f>
        <v>46157</v>
      </c>
      <c r="I375" s="118">
        <f t="shared" si="32"/>
        <v>46157</v>
      </c>
      <c r="J375" s="110"/>
      <c r="K375" s="110"/>
      <c r="L375" s="119"/>
      <c r="M375" s="67" t="s">
        <v>4453</v>
      </c>
      <c r="N375" s="67"/>
      <c r="O375" s="112" t="str">
        <f t="shared" si="31"/>
        <v/>
      </c>
      <c r="P375" s="119"/>
    </row>
    <row r="376" spans="1:16" ht="19.5" customHeight="1" x14ac:dyDescent="0.25">
      <c r="A376" s="113" t="s">
        <v>4422</v>
      </c>
      <c r="B376" s="67" t="s">
        <v>3025</v>
      </c>
      <c r="C376" s="67" t="s">
        <v>127</v>
      </c>
      <c r="D376" s="114" t="s">
        <v>4451</v>
      </c>
      <c r="E376" s="115" t="s">
        <v>116</v>
      </c>
      <c r="F376" s="116" t="s">
        <v>3057</v>
      </c>
      <c r="G376" s="117">
        <v>0.25</v>
      </c>
      <c r="H376" s="118">
        <f>WORKDAY(I301,1)</f>
        <v>46157</v>
      </c>
      <c r="I376" s="118">
        <f t="shared" si="32"/>
        <v>46157</v>
      </c>
      <c r="J376" s="110"/>
      <c r="K376" s="110"/>
      <c r="L376" s="119"/>
      <c r="M376" s="67" t="s">
        <v>4453</v>
      </c>
      <c r="N376" s="67"/>
      <c r="O376" s="112" t="str">
        <f t="shared" si="31"/>
        <v/>
      </c>
      <c r="P376" s="119"/>
    </row>
    <row r="377" spans="1:16" ht="19.5" customHeight="1" x14ac:dyDescent="0.25">
      <c r="A377" s="113" t="s">
        <v>4422</v>
      </c>
      <c r="B377" s="67" t="s">
        <v>3025</v>
      </c>
      <c r="C377" s="67" t="s">
        <v>134</v>
      </c>
      <c r="D377" s="114" t="s">
        <v>4451</v>
      </c>
      <c r="E377" s="115" t="s">
        <v>116</v>
      </c>
      <c r="F377" s="116" t="s">
        <v>4824</v>
      </c>
      <c r="G377" s="117">
        <v>0.25</v>
      </c>
      <c r="H377" s="118">
        <f>WORKDAY(I301,1)</f>
        <v>46157</v>
      </c>
      <c r="I377" s="118">
        <f t="shared" si="32"/>
        <v>46157</v>
      </c>
      <c r="J377" s="110"/>
      <c r="K377" s="110"/>
      <c r="L377" s="119"/>
      <c r="M377" s="67" t="s">
        <v>4453</v>
      </c>
      <c r="N377" s="67"/>
      <c r="O377" s="112" t="str">
        <f t="shared" si="31"/>
        <v/>
      </c>
      <c r="P377" s="119"/>
    </row>
    <row r="378" spans="1:16" ht="19.5" customHeight="1" x14ac:dyDescent="0.25">
      <c r="A378" s="113" t="s">
        <v>4422</v>
      </c>
      <c r="B378" s="67" t="s">
        <v>3025</v>
      </c>
      <c r="C378" s="67" t="s">
        <v>142</v>
      </c>
      <c r="D378" s="114" t="s">
        <v>4451</v>
      </c>
      <c r="E378" s="115" t="s">
        <v>116</v>
      </c>
      <c r="F378" s="116" t="s">
        <v>4825</v>
      </c>
      <c r="G378" s="117">
        <v>0.5</v>
      </c>
      <c r="H378" s="118">
        <f>WORKDAY(I301,1)</f>
        <v>46157</v>
      </c>
      <c r="I378" s="118">
        <f t="shared" si="32"/>
        <v>46157</v>
      </c>
      <c r="J378" s="110"/>
      <c r="K378" s="110"/>
      <c r="L378" s="119"/>
      <c r="M378" s="67" t="s">
        <v>4453</v>
      </c>
      <c r="N378" s="67"/>
      <c r="O378" s="112" t="str">
        <f t="shared" si="31"/>
        <v/>
      </c>
      <c r="P378" s="119"/>
    </row>
    <row r="379" spans="1:16" ht="19.5" customHeight="1" x14ac:dyDescent="0.25">
      <c r="A379" s="113" t="s">
        <v>4422</v>
      </c>
      <c r="B379" s="67" t="s">
        <v>3025</v>
      </c>
      <c r="C379" s="67" t="s">
        <v>150</v>
      </c>
      <c r="D379" s="114" t="s">
        <v>4451</v>
      </c>
      <c r="E379" s="115" t="s">
        <v>116</v>
      </c>
      <c r="F379" s="116" t="s">
        <v>4826</v>
      </c>
      <c r="G379" s="117">
        <v>0.5</v>
      </c>
      <c r="H379" s="118">
        <f>WORKDAY(I301,1)</f>
        <v>46157</v>
      </c>
      <c r="I379" s="118">
        <f t="shared" si="32"/>
        <v>46157</v>
      </c>
      <c r="J379" s="110"/>
      <c r="K379" s="110"/>
      <c r="L379" s="119"/>
      <c r="M379" s="67" t="s">
        <v>4453</v>
      </c>
      <c r="N379" s="67"/>
      <c r="O379" s="112" t="str">
        <f t="shared" si="31"/>
        <v/>
      </c>
      <c r="P379" s="119"/>
    </row>
    <row r="380" spans="1:16" ht="19.5" customHeight="1" x14ac:dyDescent="0.25">
      <c r="A380" s="113" t="s">
        <v>4422</v>
      </c>
      <c r="B380" s="67" t="s">
        <v>3025</v>
      </c>
      <c r="C380" s="67" t="s">
        <v>478</v>
      </c>
      <c r="D380" s="114" t="s">
        <v>4451</v>
      </c>
      <c r="E380" s="115" t="s">
        <v>116</v>
      </c>
      <c r="F380" s="116" t="s">
        <v>4827</v>
      </c>
      <c r="G380" s="117">
        <v>0.25</v>
      </c>
      <c r="H380" s="118">
        <f>WORKDAY(I301,1)</f>
        <v>46157</v>
      </c>
      <c r="I380" s="118">
        <f t="shared" si="32"/>
        <v>46157</v>
      </c>
      <c r="J380" s="110"/>
      <c r="K380" s="110"/>
      <c r="L380" s="119"/>
      <c r="M380" s="67" t="s">
        <v>4453</v>
      </c>
      <c r="N380" s="67"/>
      <c r="O380" s="112" t="str">
        <f t="shared" si="31"/>
        <v/>
      </c>
      <c r="P380" s="119"/>
    </row>
    <row r="381" spans="1:16" ht="19.5" customHeight="1" x14ac:dyDescent="0.25">
      <c r="A381" s="113" t="s">
        <v>4422</v>
      </c>
      <c r="B381" s="67" t="s">
        <v>3084</v>
      </c>
      <c r="C381" s="67" t="s">
        <v>112</v>
      </c>
      <c r="D381" s="114" t="s">
        <v>4451</v>
      </c>
      <c r="E381" s="115" t="s">
        <v>116</v>
      </c>
      <c r="F381" s="116" t="s">
        <v>4828</v>
      </c>
      <c r="G381" s="117">
        <v>0.5</v>
      </c>
      <c r="H381" s="118">
        <f>WORKDAY(I301,1)</f>
        <v>46157</v>
      </c>
      <c r="I381" s="118">
        <f t="shared" si="32"/>
        <v>46157</v>
      </c>
      <c r="J381" s="110"/>
      <c r="K381" s="110"/>
      <c r="L381" s="119"/>
      <c r="M381" s="67" t="s">
        <v>4453</v>
      </c>
      <c r="N381" s="67"/>
      <c r="O381" s="112" t="str">
        <f t="shared" si="31"/>
        <v/>
      </c>
      <c r="P381" s="119"/>
    </row>
    <row r="382" spans="1:16" ht="19.5" customHeight="1" x14ac:dyDescent="0.25">
      <c r="A382" s="113" t="s">
        <v>4422</v>
      </c>
      <c r="B382" s="67" t="s">
        <v>3084</v>
      </c>
      <c r="C382" s="67" t="s">
        <v>120</v>
      </c>
      <c r="D382" s="114" t="s">
        <v>4451</v>
      </c>
      <c r="E382" s="115" t="s">
        <v>116</v>
      </c>
      <c r="F382" s="116" t="s">
        <v>4829</v>
      </c>
      <c r="G382" s="117">
        <v>1</v>
      </c>
      <c r="H382" s="118">
        <f>WORKDAY(I301,1)</f>
        <v>46157</v>
      </c>
      <c r="I382" s="118">
        <f t="shared" si="32"/>
        <v>46157</v>
      </c>
      <c r="J382" s="110"/>
      <c r="K382" s="110"/>
      <c r="L382" s="119"/>
      <c r="M382" s="67" t="s">
        <v>4453</v>
      </c>
      <c r="N382" s="67"/>
      <c r="O382" s="112" t="str">
        <f t="shared" si="31"/>
        <v/>
      </c>
      <c r="P382" s="119"/>
    </row>
    <row r="383" spans="1:16" ht="19.5" customHeight="1" x14ac:dyDescent="0.25">
      <c r="A383" s="113" t="s">
        <v>4422</v>
      </c>
      <c r="B383" s="67" t="s">
        <v>3084</v>
      </c>
      <c r="C383" s="67" t="s">
        <v>127</v>
      </c>
      <c r="D383" s="114" t="s">
        <v>4451</v>
      </c>
      <c r="E383" s="115" t="s">
        <v>116</v>
      </c>
      <c r="F383" s="116" t="s">
        <v>4830</v>
      </c>
      <c r="G383" s="117">
        <v>1</v>
      </c>
      <c r="H383" s="118">
        <f>WORKDAY(I301,1)</f>
        <v>46157</v>
      </c>
      <c r="I383" s="118">
        <f t="shared" si="32"/>
        <v>46157</v>
      </c>
      <c r="J383" s="110"/>
      <c r="K383" s="110"/>
      <c r="L383" s="119"/>
      <c r="M383" s="67" t="s">
        <v>4453</v>
      </c>
      <c r="N383" s="67"/>
      <c r="O383" s="112" t="str">
        <f t="shared" si="31"/>
        <v/>
      </c>
      <c r="P383" s="119"/>
    </row>
    <row r="384" spans="1:16" ht="19.5" customHeight="1" x14ac:dyDescent="0.25">
      <c r="A384" s="113" t="s">
        <v>4422</v>
      </c>
      <c r="B384" s="67" t="s">
        <v>3084</v>
      </c>
      <c r="C384" s="67" t="s">
        <v>134</v>
      </c>
      <c r="D384" s="114" t="s">
        <v>4451</v>
      </c>
      <c r="E384" s="115" t="s">
        <v>116</v>
      </c>
      <c r="F384" s="116" t="s">
        <v>4831</v>
      </c>
      <c r="G384" s="117">
        <v>0.25</v>
      </c>
      <c r="H384" s="118">
        <f>WORKDAY(I301,1)</f>
        <v>46157</v>
      </c>
      <c r="I384" s="118">
        <f t="shared" si="32"/>
        <v>46157</v>
      </c>
      <c r="J384" s="110"/>
      <c r="K384" s="110"/>
      <c r="L384" s="119"/>
      <c r="M384" s="67" t="s">
        <v>4453</v>
      </c>
      <c r="N384" s="67"/>
      <c r="O384" s="112" t="str">
        <f t="shared" si="31"/>
        <v/>
      </c>
      <c r="P384" s="119"/>
    </row>
    <row r="385" spans="1:16" ht="19.5" customHeight="1" x14ac:dyDescent="0.25">
      <c r="A385" s="113" t="s">
        <v>4422</v>
      </c>
      <c r="B385" s="67" t="s">
        <v>3084</v>
      </c>
      <c r="C385" s="67" t="s">
        <v>142</v>
      </c>
      <c r="D385" s="114" t="s">
        <v>4451</v>
      </c>
      <c r="E385" s="115" t="s">
        <v>116</v>
      </c>
      <c r="F385" s="116" t="s">
        <v>4832</v>
      </c>
      <c r="G385" s="117">
        <v>0.25</v>
      </c>
      <c r="H385" s="118">
        <f>WORKDAY(I301,1)</f>
        <v>46157</v>
      </c>
      <c r="I385" s="118">
        <f t="shared" si="32"/>
        <v>46157</v>
      </c>
      <c r="J385" s="110"/>
      <c r="K385" s="110"/>
      <c r="L385" s="119"/>
      <c r="M385" s="67" t="s">
        <v>4453</v>
      </c>
      <c r="N385" s="67"/>
      <c r="O385" s="112" t="str">
        <f t="shared" si="31"/>
        <v/>
      </c>
      <c r="P385" s="119"/>
    </row>
    <row r="386" spans="1:16" ht="19.5" customHeight="1" x14ac:dyDescent="0.25">
      <c r="A386" s="120" t="s">
        <v>4422</v>
      </c>
      <c r="B386" s="68" t="s">
        <v>1523</v>
      </c>
      <c r="C386" s="68" t="s">
        <v>157</v>
      </c>
      <c r="D386" s="121" t="s">
        <v>4451</v>
      </c>
      <c r="E386" s="122" t="s">
        <v>161</v>
      </c>
      <c r="F386" s="123" t="s">
        <v>4833</v>
      </c>
      <c r="G386" s="124">
        <v>1</v>
      </c>
      <c r="H386" s="125">
        <f>WORKDAY(MAX(I338,I385),1)</f>
        <v>46161</v>
      </c>
      <c r="I386" s="125">
        <f t="shared" si="32"/>
        <v>46161</v>
      </c>
      <c r="J386" s="110"/>
      <c r="K386" s="110"/>
      <c r="L386" s="126"/>
      <c r="M386" s="68" t="s">
        <v>4453</v>
      </c>
      <c r="N386" s="68"/>
      <c r="O386" s="112" t="str">
        <f t="shared" si="31"/>
        <v/>
      </c>
      <c r="P386" s="126"/>
    </row>
    <row r="387" spans="1:16" ht="19.5" customHeight="1" x14ac:dyDescent="0.25">
      <c r="A387" s="120" t="s">
        <v>4422</v>
      </c>
      <c r="B387" s="68" t="s">
        <v>1523</v>
      </c>
      <c r="C387" s="68" t="s">
        <v>166</v>
      </c>
      <c r="D387" s="121" t="s">
        <v>4451</v>
      </c>
      <c r="E387" s="122" t="s">
        <v>161</v>
      </c>
      <c r="F387" s="123" t="s">
        <v>4834</v>
      </c>
      <c r="G387" s="124">
        <v>1.25</v>
      </c>
      <c r="H387" s="125">
        <f>WORKDAY(MAX(I338,I385),1)</f>
        <v>46161</v>
      </c>
      <c r="I387" s="125">
        <f t="shared" si="32"/>
        <v>46161</v>
      </c>
      <c r="J387" s="110"/>
      <c r="K387" s="110"/>
      <c r="L387" s="126"/>
      <c r="M387" s="68" t="s">
        <v>4453</v>
      </c>
      <c r="N387" s="68"/>
      <c r="O387" s="112" t="str">
        <f t="shared" si="31"/>
        <v/>
      </c>
      <c r="P387" s="126"/>
    </row>
    <row r="388" spans="1:16" ht="19.5" customHeight="1" x14ac:dyDescent="0.25">
      <c r="A388" s="120" t="s">
        <v>4422</v>
      </c>
      <c r="B388" s="68" t="s">
        <v>1523</v>
      </c>
      <c r="C388" s="68" t="s">
        <v>1489</v>
      </c>
      <c r="D388" s="121" t="s">
        <v>4451</v>
      </c>
      <c r="E388" s="122" t="s">
        <v>161</v>
      </c>
      <c r="F388" s="123" t="s">
        <v>4835</v>
      </c>
      <c r="G388" s="124">
        <v>1</v>
      </c>
      <c r="H388" s="125">
        <f>WORKDAY(MAX(I338,I385),1)</f>
        <v>46161</v>
      </c>
      <c r="I388" s="125">
        <f t="shared" si="32"/>
        <v>46161</v>
      </c>
      <c r="J388" s="110"/>
      <c r="K388" s="110"/>
      <c r="L388" s="126"/>
      <c r="M388" s="68" t="s">
        <v>4453</v>
      </c>
      <c r="N388" s="68"/>
      <c r="O388" s="112" t="str">
        <f t="shared" si="31"/>
        <v/>
      </c>
      <c r="P388" s="126"/>
    </row>
    <row r="389" spans="1:16" ht="19.5" customHeight="1" x14ac:dyDescent="0.25">
      <c r="A389" s="120" t="s">
        <v>4422</v>
      </c>
      <c r="B389" s="68" t="s">
        <v>1523</v>
      </c>
      <c r="C389" s="68" t="s">
        <v>1496</v>
      </c>
      <c r="D389" s="121" t="s">
        <v>4451</v>
      </c>
      <c r="E389" s="122" t="s">
        <v>161</v>
      </c>
      <c r="F389" s="123" t="s">
        <v>4836</v>
      </c>
      <c r="G389" s="124">
        <v>1.25</v>
      </c>
      <c r="H389" s="125">
        <f>WORKDAY(MAX(I338,I385),1)</f>
        <v>46161</v>
      </c>
      <c r="I389" s="125">
        <f t="shared" si="32"/>
        <v>46161</v>
      </c>
      <c r="J389" s="110"/>
      <c r="K389" s="110"/>
      <c r="L389" s="126"/>
      <c r="M389" s="68" t="s">
        <v>4453</v>
      </c>
      <c r="N389" s="68"/>
      <c r="O389" s="112" t="str">
        <f t="shared" si="31"/>
        <v/>
      </c>
      <c r="P389" s="126"/>
    </row>
    <row r="390" spans="1:16" ht="19.5" customHeight="1" x14ac:dyDescent="0.25">
      <c r="A390" s="120" t="s">
        <v>4422</v>
      </c>
      <c r="B390" s="68" t="s">
        <v>1523</v>
      </c>
      <c r="C390" s="68" t="s">
        <v>1503</v>
      </c>
      <c r="D390" s="121" t="s">
        <v>4451</v>
      </c>
      <c r="E390" s="122" t="s">
        <v>161</v>
      </c>
      <c r="F390" s="123" t="s">
        <v>4837</v>
      </c>
      <c r="G390" s="124">
        <v>1.5</v>
      </c>
      <c r="H390" s="125">
        <f>WORKDAY(MAX(I338,I385),1)</f>
        <v>46161</v>
      </c>
      <c r="I390" s="125">
        <f>WORKDAY(H390,1)</f>
        <v>46162</v>
      </c>
      <c r="J390" s="110"/>
      <c r="K390" s="110"/>
      <c r="L390" s="126"/>
      <c r="M390" s="68" t="s">
        <v>4453</v>
      </c>
      <c r="N390" s="68"/>
      <c r="O390" s="112" t="str">
        <f t="shared" si="31"/>
        <v/>
      </c>
      <c r="P390" s="126"/>
    </row>
    <row r="391" spans="1:16" ht="19.5" customHeight="1" x14ac:dyDescent="0.25">
      <c r="A391" s="120" t="s">
        <v>4422</v>
      </c>
      <c r="B391" s="68" t="s">
        <v>1523</v>
      </c>
      <c r="C391" s="68" t="s">
        <v>1510</v>
      </c>
      <c r="D391" s="121" t="s">
        <v>4451</v>
      </c>
      <c r="E391" s="122" t="s">
        <v>161</v>
      </c>
      <c r="F391" s="123" t="s">
        <v>4838</v>
      </c>
      <c r="G391" s="124">
        <v>1</v>
      </c>
      <c r="H391" s="125">
        <f>WORKDAY(MAX(I338,I385),1)</f>
        <v>46161</v>
      </c>
      <c r="I391" s="125">
        <f t="shared" ref="I391:I396" si="33">H391</f>
        <v>46161</v>
      </c>
      <c r="J391" s="110"/>
      <c r="K391" s="110"/>
      <c r="L391" s="126"/>
      <c r="M391" s="68" t="s">
        <v>4453</v>
      </c>
      <c r="N391" s="68"/>
      <c r="O391" s="112" t="str">
        <f t="shared" si="31"/>
        <v/>
      </c>
      <c r="P391" s="126"/>
    </row>
    <row r="392" spans="1:16" ht="19.5" customHeight="1" x14ac:dyDescent="0.25">
      <c r="A392" s="120" t="s">
        <v>4422</v>
      </c>
      <c r="B392" s="68" t="s">
        <v>1523</v>
      </c>
      <c r="C392" s="68" t="s">
        <v>1516</v>
      </c>
      <c r="D392" s="121" t="s">
        <v>4451</v>
      </c>
      <c r="E392" s="122" t="s">
        <v>161</v>
      </c>
      <c r="F392" s="123" t="s">
        <v>4839</v>
      </c>
      <c r="G392" s="124">
        <v>1.25</v>
      </c>
      <c r="H392" s="125">
        <f>WORKDAY(MAX(I338,I385),1)</f>
        <v>46161</v>
      </c>
      <c r="I392" s="125">
        <f t="shared" si="33"/>
        <v>46161</v>
      </c>
      <c r="J392" s="110"/>
      <c r="K392" s="110"/>
      <c r="L392" s="126"/>
      <c r="M392" s="68" t="s">
        <v>4453</v>
      </c>
      <c r="N392" s="68"/>
      <c r="O392" s="112" t="str">
        <f t="shared" si="31"/>
        <v/>
      </c>
      <c r="P392" s="126"/>
    </row>
    <row r="393" spans="1:16" ht="19.5" customHeight="1" x14ac:dyDescent="0.25">
      <c r="A393" s="120" t="s">
        <v>4422</v>
      </c>
      <c r="B393" s="68" t="s">
        <v>1758</v>
      </c>
      <c r="C393" s="68" t="s">
        <v>166</v>
      </c>
      <c r="D393" s="121" t="s">
        <v>4451</v>
      </c>
      <c r="E393" s="122" t="s">
        <v>161</v>
      </c>
      <c r="F393" s="123" t="s">
        <v>4840</v>
      </c>
      <c r="G393" s="124">
        <v>1</v>
      </c>
      <c r="H393" s="125">
        <f>WORKDAY(MAX(I338,I385),1)</f>
        <v>46161</v>
      </c>
      <c r="I393" s="125">
        <f t="shared" si="33"/>
        <v>46161</v>
      </c>
      <c r="J393" s="110"/>
      <c r="K393" s="110"/>
      <c r="L393" s="126"/>
      <c r="M393" s="68" t="s">
        <v>4453</v>
      </c>
      <c r="N393" s="68"/>
      <c r="O393" s="112" t="str">
        <f t="shared" si="31"/>
        <v/>
      </c>
      <c r="P393" s="126"/>
    </row>
    <row r="394" spans="1:16" ht="19.5" customHeight="1" x14ac:dyDescent="0.25">
      <c r="A394" s="120" t="s">
        <v>4422</v>
      </c>
      <c r="B394" s="68" t="s">
        <v>1758</v>
      </c>
      <c r="C394" s="68" t="s">
        <v>1489</v>
      </c>
      <c r="D394" s="121" t="s">
        <v>4451</v>
      </c>
      <c r="E394" s="122" t="s">
        <v>161</v>
      </c>
      <c r="F394" s="123" t="s">
        <v>4841</v>
      </c>
      <c r="G394" s="124">
        <v>1.25</v>
      </c>
      <c r="H394" s="125">
        <f>WORKDAY(MAX(I338,I385),1)</f>
        <v>46161</v>
      </c>
      <c r="I394" s="125">
        <f t="shared" si="33"/>
        <v>46161</v>
      </c>
      <c r="J394" s="110"/>
      <c r="K394" s="110"/>
      <c r="L394" s="126"/>
      <c r="M394" s="68" t="s">
        <v>4453</v>
      </c>
      <c r="N394" s="68"/>
      <c r="O394" s="112" t="str">
        <f t="shared" si="31"/>
        <v/>
      </c>
      <c r="P394" s="126"/>
    </row>
    <row r="395" spans="1:16" ht="19.5" customHeight="1" x14ac:dyDescent="0.25">
      <c r="A395" s="120" t="s">
        <v>4422</v>
      </c>
      <c r="B395" s="68" t="s">
        <v>1758</v>
      </c>
      <c r="C395" s="68" t="s">
        <v>1496</v>
      </c>
      <c r="D395" s="121" t="s">
        <v>4451</v>
      </c>
      <c r="E395" s="122" t="s">
        <v>161</v>
      </c>
      <c r="F395" s="123" t="s">
        <v>4842</v>
      </c>
      <c r="G395" s="124">
        <v>1</v>
      </c>
      <c r="H395" s="125">
        <f>WORKDAY(MAX(I338,I385),1)</f>
        <v>46161</v>
      </c>
      <c r="I395" s="125">
        <f t="shared" si="33"/>
        <v>46161</v>
      </c>
      <c r="J395" s="110"/>
      <c r="K395" s="110"/>
      <c r="L395" s="126"/>
      <c r="M395" s="68" t="s">
        <v>4453</v>
      </c>
      <c r="N395" s="68"/>
      <c r="O395" s="112" t="str">
        <f t="shared" si="31"/>
        <v/>
      </c>
      <c r="P395" s="126"/>
    </row>
    <row r="396" spans="1:16" ht="19.5" customHeight="1" x14ac:dyDescent="0.25">
      <c r="A396" s="120" t="s">
        <v>4422</v>
      </c>
      <c r="B396" s="68" t="s">
        <v>1758</v>
      </c>
      <c r="C396" s="68" t="s">
        <v>1503</v>
      </c>
      <c r="D396" s="121" t="s">
        <v>4451</v>
      </c>
      <c r="E396" s="122" t="s">
        <v>161</v>
      </c>
      <c r="F396" s="123" t="s">
        <v>4843</v>
      </c>
      <c r="G396" s="124">
        <v>1.25</v>
      </c>
      <c r="H396" s="125">
        <f>WORKDAY(MAX(I338,I385),1)</f>
        <v>46161</v>
      </c>
      <c r="I396" s="125">
        <f t="shared" si="33"/>
        <v>46161</v>
      </c>
      <c r="J396" s="110"/>
      <c r="K396" s="110"/>
      <c r="L396" s="126"/>
      <c r="M396" s="68" t="s">
        <v>4453</v>
      </c>
      <c r="N396" s="68"/>
      <c r="O396" s="112" t="str">
        <f t="shared" si="31"/>
        <v/>
      </c>
      <c r="P396" s="126"/>
    </row>
    <row r="397" spans="1:16" ht="19.5" customHeight="1" x14ac:dyDescent="0.25">
      <c r="A397" s="120" t="s">
        <v>4422</v>
      </c>
      <c r="B397" s="68" t="s">
        <v>1934</v>
      </c>
      <c r="C397" s="68" t="s">
        <v>157</v>
      </c>
      <c r="D397" s="121" t="s">
        <v>4451</v>
      </c>
      <c r="E397" s="122" t="s">
        <v>161</v>
      </c>
      <c r="F397" s="123" t="s">
        <v>4844</v>
      </c>
      <c r="G397" s="124">
        <v>1.75</v>
      </c>
      <c r="H397" s="125">
        <f>WORKDAY(MAX(I338,I385),1)</f>
        <v>46161</v>
      </c>
      <c r="I397" s="125">
        <f>WORKDAY(H397,1)</f>
        <v>46162</v>
      </c>
      <c r="J397" s="110"/>
      <c r="K397" s="110"/>
      <c r="L397" s="126"/>
      <c r="M397" s="68" t="s">
        <v>4453</v>
      </c>
      <c r="N397" s="68"/>
      <c r="O397" s="112" t="str">
        <f t="shared" si="31"/>
        <v/>
      </c>
      <c r="P397" s="126"/>
    </row>
    <row r="398" spans="1:16" ht="19.5" customHeight="1" x14ac:dyDescent="0.25">
      <c r="A398" s="120" t="s">
        <v>4422</v>
      </c>
      <c r="B398" s="68" t="s">
        <v>1934</v>
      </c>
      <c r="C398" s="68" t="s">
        <v>166</v>
      </c>
      <c r="D398" s="121" t="s">
        <v>4451</v>
      </c>
      <c r="E398" s="122" t="s">
        <v>161</v>
      </c>
      <c r="F398" s="123" t="s">
        <v>4845</v>
      </c>
      <c r="G398" s="124">
        <v>2.5</v>
      </c>
      <c r="H398" s="125">
        <f>WORKDAY(MAX(I338,I385),1)</f>
        <v>46161</v>
      </c>
      <c r="I398" s="125">
        <f>WORKDAY(H398,1)</f>
        <v>46162</v>
      </c>
      <c r="J398" s="110"/>
      <c r="K398" s="110"/>
      <c r="L398" s="126"/>
      <c r="M398" s="68" t="s">
        <v>4453</v>
      </c>
      <c r="N398" s="68"/>
      <c r="O398" s="112" t="str">
        <f t="shared" si="31"/>
        <v/>
      </c>
      <c r="P398" s="126"/>
    </row>
    <row r="399" spans="1:16" ht="19.5" customHeight="1" x14ac:dyDescent="0.25">
      <c r="A399" s="120" t="s">
        <v>4422</v>
      </c>
      <c r="B399" s="68" t="s">
        <v>2010</v>
      </c>
      <c r="C399" s="68" t="s">
        <v>157</v>
      </c>
      <c r="D399" s="121" t="s">
        <v>4451</v>
      </c>
      <c r="E399" s="122" t="s">
        <v>161</v>
      </c>
      <c r="F399" s="123" t="s">
        <v>4846</v>
      </c>
      <c r="G399" s="124">
        <v>1.25</v>
      </c>
      <c r="H399" s="125">
        <f>WORKDAY(MAX(I338,I385),1)</f>
        <v>46161</v>
      </c>
      <c r="I399" s="125">
        <f>H399</f>
        <v>46161</v>
      </c>
      <c r="J399" s="110"/>
      <c r="K399" s="110"/>
      <c r="L399" s="126"/>
      <c r="M399" s="68" t="s">
        <v>4453</v>
      </c>
      <c r="N399" s="68"/>
      <c r="O399" s="112" t="str">
        <f t="shared" si="31"/>
        <v/>
      </c>
      <c r="P399" s="126"/>
    </row>
    <row r="400" spans="1:16" ht="19.5" customHeight="1" x14ac:dyDescent="0.25">
      <c r="A400" s="120" t="s">
        <v>4422</v>
      </c>
      <c r="B400" s="68" t="s">
        <v>1712</v>
      </c>
      <c r="C400" s="68" t="s">
        <v>157</v>
      </c>
      <c r="D400" s="121" t="s">
        <v>4498</v>
      </c>
      <c r="E400" s="122" t="s">
        <v>161</v>
      </c>
      <c r="F400" s="123" t="s">
        <v>4847</v>
      </c>
      <c r="G400" s="124">
        <v>1.5</v>
      </c>
      <c r="H400" s="125">
        <f>WORKDAY(MAX(I338,I385),1)</f>
        <v>46161</v>
      </c>
      <c r="I400" s="125">
        <f>WORKDAY(H400,1)</f>
        <v>46162</v>
      </c>
      <c r="J400" s="110"/>
      <c r="K400" s="110"/>
      <c r="L400" s="126"/>
      <c r="M400" s="68" t="s">
        <v>4453</v>
      </c>
      <c r="N400" s="68"/>
      <c r="O400" s="112" t="str">
        <f t="shared" si="31"/>
        <v/>
      </c>
      <c r="P400" s="126"/>
    </row>
    <row r="401" spans="1:16" ht="19.5" customHeight="1" x14ac:dyDescent="0.25">
      <c r="A401" s="120" t="s">
        <v>4422</v>
      </c>
      <c r="B401" s="68" t="s">
        <v>1758</v>
      </c>
      <c r="C401" s="68" t="s">
        <v>157</v>
      </c>
      <c r="D401" s="121" t="s">
        <v>4498</v>
      </c>
      <c r="E401" s="122" t="s">
        <v>161</v>
      </c>
      <c r="F401" s="123" t="s">
        <v>4848</v>
      </c>
      <c r="G401" s="124">
        <v>1</v>
      </c>
      <c r="H401" s="125">
        <f>WORKDAY(MAX(I338,I385),1)</f>
        <v>46161</v>
      </c>
      <c r="I401" s="125">
        <f>H401</f>
        <v>46161</v>
      </c>
      <c r="J401" s="110"/>
      <c r="K401" s="110"/>
      <c r="L401" s="126"/>
      <c r="M401" s="68" t="s">
        <v>4453</v>
      </c>
      <c r="N401" s="68"/>
      <c r="O401" s="112" t="str">
        <f t="shared" si="31"/>
        <v/>
      </c>
      <c r="P401" s="126"/>
    </row>
    <row r="402" spans="1:16" ht="19.5" customHeight="1" x14ac:dyDescent="0.25">
      <c r="A402" s="120" t="s">
        <v>4422</v>
      </c>
      <c r="B402" s="68" t="s">
        <v>3025</v>
      </c>
      <c r="C402" s="68" t="s">
        <v>157</v>
      </c>
      <c r="D402" s="121" t="s">
        <v>4498</v>
      </c>
      <c r="E402" s="122" t="s">
        <v>161</v>
      </c>
      <c r="F402" s="123" t="s">
        <v>4849</v>
      </c>
      <c r="G402" s="124">
        <v>1.25</v>
      </c>
      <c r="H402" s="125">
        <f>WORKDAY(MAX(I338,I385),1)</f>
        <v>46161</v>
      </c>
      <c r="I402" s="125">
        <f>H402</f>
        <v>46161</v>
      </c>
      <c r="J402" s="110"/>
      <c r="K402" s="110"/>
      <c r="L402" s="126"/>
      <c r="M402" s="68" t="s">
        <v>4453</v>
      </c>
      <c r="N402" s="68"/>
      <c r="O402" s="112" t="str">
        <f t="shared" si="31"/>
        <v/>
      </c>
      <c r="P402" s="126"/>
    </row>
    <row r="403" spans="1:16" ht="19.5" customHeight="1" x14ac:dyDescent="0.25">
      <c r="A403" s="120" t="s">
        <v>4422</v>
      </c>
      <c r="B403" s="68" t="s">
        <v>3084</v>
      </c>
      <c r="C403" s="68" t="s">
        <v>157</v>
      </c>
      <c r="D403" s="121" t="s">
        <v>4498</v>
      </c>
      <c r="E403" s="122" t="s">
        <v>161</v>
      </c>
      <c r="F403" s="123" t="s">
        <v>4850</v>
      </c>
      <c r="G403" s="124">
        <v>1.25</v>
      </c>
      <c r="H403" s="125">
        <f>WORKDAY(MAX(I338,I385),1)</f>
        <v>46161</v>
      </c>
      <c r="I403" s="125">
        <f>H403</f>
        <v>46161</v>
      </c>
      <c r="J403" s="110"/>
      <c r="K403" s="110"/>
      <c r="L403" s="126"/>
      <c r="M403" s="68" t="s">
        <v>4453</v>
      </c>
      <c r="N403" s="68"/>
      <c r="O403" s="112" t="str">
        <f t="shared" si="31"/>
        <v/>
      </c>
      <c r="P403" s="126"/>
    </row>
    <row r="404" spans="1:16" ht="19.5" customHeight="1" x14ac:dyDescent="0.25">
      <c r="A404" s="136" t="s">
        <v>4851</v>
      </c>
      <c r="J404" s="137"/>
      <c r="K404" s="137"/>
    </row>
    <row r="405" spans="1:16" ht="19.5" customHeight="1" x14ac:dyDescent="0.25">
      <c r="A405" s="104" t="s">
        <v>4424</v>
      </c>
      <c r="B405" s="66" t="s">
        <v>3283</v>
      </c>
      <c r="C405" s="66" t="s">
        <v>26</v>
      </c>
      <c r="D405" s="105" t="s">
        <v>4451</v>
      </c>
      <c r="E405" s="106" t="s">
        <v>30</v>
      </c>
      <c r="F405" s="107" t="s">
        <v>4852</v>
      </c>
      <c r="G405" s="108">
        <v>1.25</v>
      </c>
      <c r="H405" s="109">
        <f>WORKDAY(I403,1)</f>
        <v>46162</v>
      </c>
      <c r="I405" s="109">
        <f>H405</f>
        <v>46162</v>
      </c>
      <c r="J405" s="110"/>
      <c r="K405" s="110"/>
      <c r="L405" s="111"/>
      <c r="M405" s="66" t="s">
        <v>4453</v>
      </c>
      <c r="N405" s="66"/>
      <c r="O405" s="112" t="str">
        <f t="shared" ref="O405:O434" si="34">IF(AND(J405&lt;&gt;"",K405&lt;&gt;""),NETWORKDAYS(J405,K405)-1-G405,"")</f>
        <v/>
      </c>
      <c r="P405" s="111"/>
    </row>
    <row r="406" spans="1:16" ht="19.5" customHeight="1" x14ac:dyDescent="0.25">
      <c r="A406" s="104" t="s">
        <v>4424</v>
      </c>
      <c r="B406" s="66" t="s">
        <v>3283</v>
      </c>
      <c r="C406" s="66" t="s">
        <v>38</v>
      </c>
      <c r="D406" s="105" t="s">
        <v>4451</v>
      </c>
      <c r="E406" s="106" t="s">
        <v>30</v>
      </c>
      <c r="F406" s="107" t="s">
        <v>4853</v>
      </c>
      <c r="G406" s="108">
        <v>1.25</v>
      </c>
      <c r="H406" s="109">
        <f>WORKDAY(I403,1)</f>
        <v>46162</v>
      </c>
      <c r="I406" s="109">
        <f>H406</f>
        <v>46162</v>
      </c>
      <c r="J406" s="110"/>
      <c r="K406" s="110"/>
      <c r="L406" s="111"/>
      <c r="M406" s="66" t="s">
        <v>4453</v>
      </c>
      <c r="N406" s="66"/>
      <c r="O406" s="112" t="str">
        <f t="shared" si="34"/>
        <v/>
      </c>
      <c r="P406" s="111"/>
    </row>
    <row r="407" spans="1:16" ht="19.5" customHeight="1" x14ac:dyDescent="0.25">
      <c r="A407" s="104" t="s">
        <v>4424</v>
      </c>
      <c r="B407" s="66" t="s">
        <v>3283</v>
      </c>
      <c r="C407" s="66" t="s">
        <v>46</v>
      </c>
      <c r="D407" s="105" t="s">
        <v>4451</v>
      </c>
      <c r="E407" s="106" t="s">
        <v>30</v>
      </c>
      <c r="F407" s="107" t="s">
        <v>4854</v>
      </c>
      <c r="G407" s="108">
        <v>1</v>
      </c>
      <c r="H407" s="109">
        <f>WORKDAY(I403,1)</f>
        <v>46162</v>
      </c>
      <c r="I407" s="109">
        <f>H407</f>
        <v>46162</v>
      </c>
      <c r="J407" s="110"/>
      <c r="K407" s="110"/>
      <c r="L407" s="111"/>
      <c r="M407" s="66" t="s">
        <v>4453</v>
      </c>
      <c r="N407" s="66"/>
      <c r="O407" s="112" t="str">
        <f t="shared" si="34"/>
        <v/>
      </c>
      <c r="P407" s="111"/>
    </row>
    <row r="408" spans="1:16" ht="19.5" customHeight="1" x14ac:dyDescent="0.25">
      <c r="A408" s="104" t="s">
        <v>4424</v>
      </c>
      <c r="B408" s="66" t="s">
        <v>3283</v>
      </c>
      <c r="C408" s="66" t="s">
        <v>53</v>
      </c>
      <c r="D408" s="105" t="s">
        <v>4451</v>
      </c>
      <c r="E408" s="106" t="s">
        <v>30</v>
      </c>
      <c r="F408" s="107" t="s">
        <v>4855</v>
      </c>
      <c r="G408" s="108">
        <v>2.5</v>
      </c>
      <c r="H408" s="109">
        <f>WORKDAY(I403,1)</f>
        <v>46162</v>
      </c>
      <c r="I408" s="109">
        <f>WORKDAY(H408,1)</f>
        <v>46163</v>
      </c>
      <c r="J408" s="110"/>
      <c r="K408" s="110"/>
      <c r="L408" s="111"/>
      <c r="M408" s="66" t="s">
        <v>4453</v>
      </c>
      <c r="N408" s="66"/>
      <c r="O408" s="112" t="str">
        <f t="shared" si="34"/>
        <v/>
      </c>
      <c r="P408" s="111"/>
    </row>
    <row r="409" spans="1:16" ht="19.5" customHeight="1" x14ac:dyDescent="0.25">
      <c r="A409" s="104" t="s">
        <v>4424</v>
      </c>
      <c r="B409" s="66" t="s">
        <v>3283</v>
      </c>
      <c r="C409" s="66" t="s">
        <v>64</v>
      </c>
      <c r="D409" s="105" t="s">
        <v>4451</v>
      </c>
      <c r="E409" s="106" t="s">
        <v>30</v>
      </c>
      <c r="F409" s="107" t="s">
        <v>4856</v>
      </c>
      <c r="G409" s="108">
        <v>1.75</v>
      </c>
      <c r="H409" s="109">
        <f>WORKDAY(I403,1)</f>
        <v>46162</v>
      </c>
      <c r="I409" s="109">
        <f>WORKDAY(H409,1)</f>
        <v>46163</v>
      </c>
      <c r="J409" s="110"/>
      <c r="K409" s="110"/>
      <c r="L409" s="111"/>
      <c r="M409" s="66" t="s">
        <v>4453</v>
      </c>
      <c r="N409" s="66"/>
      <c r="O409" s="112" t="str">
        <f t="shared" si="34"/>
        <v/>
      </c>
      <c r="P409" s="111"/>
    </row>
    <row r="410" spans="1:16" ht="19.5" customHeight="1" x14ac:dyDescent="0.25">
      <c r="A410" s="104" t="s">
        <v>4424</v>
      </c>
      <c r="B410" s="66" t="s">
        <v>3283</v>
      </c>
      <c r="C410" s="66" t="s">
        <v>72</v>
      </c>
      <c r="D410" s="105" t="s">
        <v>4451</v>
      </c>
      <c r="E410" s="106" t="s">
        <v>30</v>
      </c>
      <c r="F410" s="107" t="s">
        <v>4857</v>
      </c>
      <c r="G410" s="108">
        <v>1.25</v>
      </c>
      <c r="H410" s="109">
        <f>WORKDAY(I403,1)</f>
        <v>46162</v>
      </c>
      <c r="I410" s="109">
        <f>H410</f>
        <v>46162</v>
      </c>
      <c r="J410" s="110"/>
      <c r="K410" s="110"/>
      <c r="L410" s="111"/>
      <c r="M410" s="66" t="s">
        <v>4453</v>
      </c>
      <c r="N410" s="66"/>
      <c r="O410" s="112" t="str">
        <f t="shared" si="34"/>
        <v/>
      </c>
      <c r="P410" s="111"/>
    </row>
    <row r="411" spans="1:16" ht="19.5" customHeight="1" x14ac:dyDescent="0.25">
      <c r="A411" s="104" t="s">
        <v>4424</v>
      </c>
      <c r="B411" s="66" t="s">
        <v>3380</v>
      </c>
      <c r="C411" s="66" t="s">
        <v>26</v>
      </c>
      <c r="D411" s="105" t="s">
        <v>4451</v>
      </c>
      <c r="E411" s="106" t="s">
        <v>30</v>
      </c>
      <c r="F411" s="107" t="s">
        <v>4858</v>
      </c>
      <c r="G411" s="108">
        <v>1.75</v>
      </c>
      <c r="H411" s="109">
        <f>WORKDAY(I403,1)</f>
        <v>46162</v>
      </c>
      <c r="I411" s="109">
        <f>WORKDAY(H411,1)</f>
        <v>46163</v>
      </c>
      <c r="J411" s="110"/>
      <c r="K411" s="110"/>
      <c r="L411" s="111"/>
      <c r="M411" s="66" t="s">
        <v>4453</v>
      </c>
      <c r="N411" s="66"/>
      <c r="O411" s="112" t="str">
        <f t="shared" si="34"/>
        <v/>
      </c>
      <c r="P411" s="111"/>
    </row>
    <row r="412" spans="1:16" ht="19.5" customHeight="1" x14ac:dyDescent="0.25">
      <c r="A412" s="104" t="s">
        <v>4424</v>
      </c>
      <c r="B412" s="66" t="s">
        <v>3380</v>
      </c>
      <c r="C412" s="66" t="s">
        <v>38</v>
      </c>
      <c r="D412" s="105" t="s">
        <v>4451</v>
      </c>
      <c r="E412" s="106" t="s">
        <v>30</v>
      </c>
      <c r="F412" s="107" t="s">
        <v>4859</v>
      </c>
      <c r="G412" s="108">
        <v>1.25</v>
      </c>
      <c r="H412" s="109">
        <f>WORKDAY(I403,1)</f>
        <v>46162</v>
      </c>
      <c r="I412" s="109">
        <f>H412</f>
        <v>46162</v>
      </c>
      <c r="J412" s="110"/>
      <c r="K412" s="110"/>
      <c r="L412" s="111"/>
      <c r="M412" s="66" t="s">
        <v>4453</v>
      </c>
      <c r="N412" s="66"/>
      <c r="O412" s="112" t="str">
        <f t="shared" si="34"/>
        <v/>
      </c>
      <c r="P412" s="111"/>
    </row>
    <row r="413" spans="1:16" ht="19.5" customHeight="1" x14ac:dyDescent="0.25">
      <c r="A413" s="104" t="s">
        <v>4424</v>
      </c>
      <c r="B413" s="66" t="s">
        <v>3380</v>
      </c>
      <c r="C413" s="66" t="s">
        <v>46</v>
      </c>
      <c r="D413" s="105" t="s">
        <v>4451</v>
      </c>
      <c r="E413" s="106" t="s">
        <v>30</v>
      </c>
      <c r="F413" s="107" t="s">
        <v>4860</v>
      </c>
      <c r="G413" s="108">
        <v>1.25</v>
      </c>
      <c r="H413" s="109">
        <f>WORKDAY(I403,1)</f>
        <v>46162</v>
      </c>
      <c r="I413" s="109">
        <f>H413</f>
        <v>46162</v>
      </c>
      <c r="J413" s="110"/>
      <c r="K413" s="110"/>
      <c r="L413" s="111"/>
      <c r="M413" s="66" t="s">
        <v>4453</v>
      </c>
      <c r="N413" s="66"/>
      <c r="O413" s="112" t="str">
        <f t="shared" si="34"/>
        <v/>
      </c>
      <c r="P413" s="111"/>
    </row>
    <row r="414" spans="1:16" ht="19.5" customHeight="1" x14ac:dyDescent="0.25">
      <c r="A414" s="104" t="s">
        <v>4424</v>
      </c>
      <c r="B414" s="66" t="s">
        <v>3380</v>
      </c>
      <c r="C414" s="66" t="s">
        <v>53</v>
      </c>
      <c r="D414" s="105" t="s">
        <v>4451</v>
      </c>
      <c r="E414" s="106" t="s">
        <v>30</v>
      </c>
      <c r="F414" s="107" t="s">
        <v>4861</v>
      </c>
      <c r="G414" s="108">
        <v>1.75</v>
      </c>
      <c r="H414" s="109">
        <f>WORKDAY(I403,1)</f>
        <v>46162</v>
      </c>
      <c r="I414" s="109">
        <f>WORKDAY(H414,1)</f>
        <v>46163</v>
      </c>
      <c r="J414" s="110"/>
      <c r="K414" s="110"/>
      <c r="L414" s="111"/>
      <c r="M414" s="66" t="s">
        <v>4453</v>
      </c>
      <c r="N414" s="66"/>
      <c r="O414" s="112" t="str">
        <f t="shared" si="34"/>
        <v/>
      </c>
      <c r="P414" s="111"/>
    </row>
    <row r="415" spans="1:16" ht="19.5" customHeight="1" x14ac:dyDescent="0.25">
      <c r="A415" s="104" t="s">
        <v>4424</v>
      </c>
      <c r="B415" s="66" t="s">
        <v>3380</v>
      </c>
      <c r="C415" s="66" t="s">
        <v>64</v>
      </c>
      <c r="D415" s="105" t="s">
        <v>4451</v>
      </c>
      <c r="E415" s="106" t="s">
        <v>30</v>
      </c>
      <c r="F415" s="107" t="s">
        <v>4862</v>
      </c>
      <c r="G415" s="108">
        <v>1.25</v>
      </c>
      <c r="H415" s="109">
        <f>WORKDAY(I403,1)</f>
        <v>46162</v>
      </c>
      <c r="I415" s="109">
        <f>H415</f>
        <v>46162</v>
      </c>
      <c r="J415" s="110"/>
      <c r="K415" s="110"/>
      <c r="L415" s="111"/>
      <c r="M415" s="66" t="s">
        <v>4453</v>
      </c>
      <c r="N415" s="66"/>
      <c r="O415" s="112" t="str">
        <f t="shared" si="34"/>
        <v/>
      </c>
      <c r="P415" s="111"/>
    </row>
    <row r="416" spans="1:16" ht="19.5" customHeight="1" x14ac:dyDescent="0.25">
      <c r="A416" s="104" t="s">
        <v>4424</v>
      </c>
      <c r="B416" s="66" t="s">
        <v>3380</v>
      </c>
      <c r="C416" s="66" t="s">
        <v>72</v>
      </c>
      <c r="D416" s="105" t="s">
        <v>4451</v>
      </c>
      <c r="E416" s="106" t="s">
        <v>30</v>
      </c>
      <c r="F416" s="107" t="s">
        <v>4863</v>
      </c>
      <c r="G416" s="108">
        <v>1.25</v>
      </c>
      <c r="H416" s="109">
        <f>WORKDAY(I403,1)</f>
        <v>46162</v>
      </c>
      <c r="I416" s="109">
        <f>H416</f>
        <v>46162</v>
      </c>
      <c r="J416" s="110"/>
      <c r="K416" s="110"/>
      <c r="L416" s="111"/>
      <c r="M416" s="66" t="s">
        <v>4453</v>
      </c>
      <c r="N416" s="66"/>
      <c r="O416" s="112" t="str">
        <f t="shared" si="34"/>
        <v/>
      </c>
      <c r="P416" s="111"/>
    </row>
    <row r="417" spans="1:16" ht="19.5" customHeight="1" x14ac:dyDescent="0.25">
      <c r="A417" s="104" t="s">
        <v>4424</v>
      </c>
      <c r="B417" s="66" t="s">
        <v>3380</v>
      </c>
      <c r="C417" s="66" t="s">
        <v>80</v>
      </c>
      <c r="D417" s="105" t="s">
        <v>4451</v>
      </c>
      <c r="E417" s="106" t="s">
        <v>30</v>
      </c>
      <c r="F417" s="107" t="s">
        <v>4864</v>
      </c>
      <c r="G417" s="108">
        <v>1.25</v>
      </c>
      <c r="H417" s="109">
        <f>WORKDAY(I403,1)</f>
        <v>46162</v>
      </c>
      <c r="I417" s="109">
        <f>H417</f>
        <v>46162</v>
      </c>
      <c r="J417" s="110"/>
      <c r="K417" s="110"/>
      <c r="L417" s="111"/>
      <c r="M417" s="66" t="s">
        <v>4453</v>
      </c>
      <c r="N417" s="66"/>
      <c r="O417" s="112" t="str">
        <f t="shared" si="34"/>
        <v/>
      </c>
      <c r="P417" s="111"/>
    </row>
    <row r="418" spans="1:16" ht="19.5" customHeight="1" x14ac:dyDescent="0.25">
      <c r="A418" s="104" t="s">
        <v>4424</v>
      </c>
      <c r="B418" s="66" t="s">
        <v>3380</v>
      </c>
      <c r="C418" s="66" t="s">
        <v>88</v>
      </c>
      <c r="D418" s="105" t="s">
        <v>4451</v>
      </c>
      <c r="E418" s="106" t="s">
        <v>30</v>
      </c>
      <c r="F418" s="107" t="s">
        <v>4865</v>
      </c>
      <c r="G418" s="108">
        <v>1.25</v>
      </c>
      <c r="H418" s="109">
        <f>WORKDAY(I403,1)</f>
        <v>46162</v>
      </c>
      <c r="I418" s="109">
        <f>H418</f>
        <v>46162</v>
      </c>
      <c r="J418" s="110"/>
      <c r="K418" s="110"/>
      <c r="L418" s="111"/>
      <c r="M418" s="66" t="s">
        <v>4453</v>
      </c>
      <c r="N418" s="66"/>
      <c r="O418" s="112" t="str">
        <f t="shared" si="34"/>
        <v/>
      </c>
      <c r="P418" s="111"/>
    </row>
    <row r="419" spans="1:16" ht="19.5" customHeight="1" x14ac:dyDescent="0.25">
      <c r="A419" s="104" t="s">
        <v>4424</v>
      </c>
      <c r="B419" s="66" t="s">
        <v>3380</v>
      </c>
      <c r="C419" s="66" t="s">
        <v>95</v>
      </c>
      <c r="D419" s="105" t="s">
        <v>4451</v>
      </c>
      <c r="E419" s="106" t="s">
        <v>30</v>
      </c>
      <c r="F419" s="107" t="s">
        <v>4866</v>
      </c>
      <c r="G419" s="108">
        <v>1.25</v>
      </c>
      <c r="H419" s="109">
        <f>WORKDAY(I403,1)</f>
        <v>46162</v>
      </c>
      <c r="I419" s="109">
        <f>H419</f>
        <v>46162</v>
      </c>
      <c r="J419" s="110"/>
      <c r="K419" s="110"/>
      <c r="L419" s="111"/>
      <c r="M419" s="66" t="s">
        <v>4453</v>
      </c>
      <c r="N419" s="66"/>
      <c r="O419" s="112" t="str">
        <f t="shared" si="34"/>
        <v/>
      </c>
      <c r="P419" s="111"/>
    </row>
    <row r="420" spans="1:16" ht="19.5" customHeight="1" x14ac:dyDescent="0.25">
      <c r="A420" s="104" t="s">
        <v>4424</v>
      </c>
      <c r="B420" s="66" t="s">
        <v>3380</v>
      </c>
      <c r="C420" s="66" t="s">
        <v>103</v>
      </c>
      <c r="D420" s="105" t="s">
        <v>4451</v>
      </c>
      <c r="E420" s="106" t="s">
        <v>30</v>
      </c>
      <c r="F420" s="107" t="s">
        <v>4867</v>
      </c>
      <c r="G420" s="108">
        <v>1.75</v>
      </c>
      <c r="H420" s="109">
        <f>WORKDAY(I403,1)</f>
        <v>46162</v>
      </c>
      <c r="I420" s="109">
        <f>WORKDAY(H420,1)</f>
        <v>46163</v>
      </c>
      <c r="J420" s="110"/>
      <c r="K420" s="110"/>
      <c r="L420" s="111"/>
      <c r="M420" s="66" t="s">
        <v>4453</v>
      </c>
      <c r="N420" s="66"/>
      <c r="O420" s="112" t="str">
        <f t="shared" si="34"/>
        <v/>
      </c>
      <c r="P420" s="111"/>
    </row>
    <row r="421" spans="1:16" ht="19.5" customHeight="1" x14ac:dyDescent="0.25">
      <c r="A421" s="113" t="s">
        <v>4424</v>
      </c>
      <c r="B421" s="67" t="s">
        <v>3283</v>
      </c>
      <c r="C421" s="67" t="s">
        <v>112</v>
      </c>
      <c r="D421" s="114" t="s">
        <v>4451</v>
      </c>
      <c r="E421" s="115" t="s">
        <v>116</v>
      </c>
      <c r="F421" s="116" t="s">
        <v>4868</v>
      </c>
      <c r="G421" s="117">
        <v>1.25</v>
      </c>
      <c r="H421" s="118">
        <f>WORKDAY(I403,1)</f>
        <v>46162</v>
      </c>
      <c r="I421" s="118">
        <f t="shared" ref="I421:I426" si="35">H421</f>
        <v>46162</v>
      </c>
      <c r="J421" s="110"/>
      <c r="K421" s="110"/>
      <c r="L421" s="119"/>
      <c r="M421" s="67" t="s">
        <v>4453</v>
      </c>
      <c r="N421" s="67"/>
      <c r="O421" s="112" t="str">
        <f t="shared" si="34"/>
        <v/>
      </c>
      <c r="P421" s="119"/>
    </row>
    <row r="422" spans="1:16" ht="19.5" customHeight="1" x14ac:dyDescent="0.25">
      <c r="A422" s="113" t="s">
        <v>4424</v>
      </c>
      <c r="B422" s="67" t="s">
        <v>3283</v>
      </c>
      <c r="C422" s="67" t="s">
        <v>120</v>
      </c>
      <c r="D422" s="114" t="s">
        <v>4451</v>
      </c>
      <c r="E422" s="115" t="s">
        <v>116</v>
      </c>
      <c r="F422" s="116" t="s">
        <v>4869</v>
      </c>
      <c r="G422" s="117">
        <v>1</v>
      </c>
      <c r="H422" s="118">
        <f>WORKDAY(I403,1)</f>
        <v>46162</v>
      </c>
      <c r="I422" s="118">
        <f t="shared" si="35"/>
        <v>46162</v>
      </c>
      <c r="J422" s="110"/>
      <c r="K422" s="110"/>
      <c r="L422" s="119"/>
      <c r="M422" s="67" t="s">
        <v>4453</v>
      </c>
      <c r="N422" s="67"/>
      <c r="O422" s="112" t="str">
        <f t="shared" si="34"/>
        <v/>
      </c>
      <c r="P422" s="119"/>
    </row>
    <row r="423" spans="1:16" ht="19.5" customHeight="1" x14ac:dyDescent="0.25">
      <c r="A423" s="113" t="s">
        <v>4424</v>
      </c>
      <c r="B423" s="67" t="s">
        <v>3283</v>
      </c>
      <c r="C423" s="67" t="s">
        <v>127</v>
      </c>
      <c r="D423" s="114" t="s">
        <v>4451</v>
      </c>
      <c r="E423" s="115" t="s">
        <v>116</v>
      </c>
      <c r="F423" s="116" t="s">
        <v>4870</v>
      </c>
      <c r="G423" s="117">
        <v>0.5</v>
      </c>
      <c r="H423" s="118">
        <f>WORKDAY(I403,1)</f>
        <v>46162</v>
      </c>
      <c r="I423" s="118">
        <f t="shared" si="35"/>
        <v>46162</v>
      </c>
      <c r="J423" s="110"/>
      <c r="K423" s="110"/>
      <c r="L423" s="119"/>
      <c r="M423" s="67" t="s">
        <v>4453</v>
      </c>
      <c r="N423" s="67"/>
      <c r="O423" s="112" t="str">
        <f t="shared" si="34"/>
        <v/>
      </c>
      <c r="P423" s="119"/>
    </row>
    <row r="424" spans="1:16" ht="19.5" customHeight="1" x14ac:dyDescent="0.25">
      <c r="A424" s="113" t="s">
        <v>4424</v>
      </c>
      <c r="B424" s="67" t="s">
        <v>3283</v>
      </c>
      <c r="C424" s="67" t="s">
        <v>134</v>
      </c>
      <c r="D424" s="114" t="s">
        <v>4451</v>
      </c>
      <c r="E424" s="115" t="s">
        <v>116</v>
      </c>
      <c r="F424" s="116" t="s">
        <v>4871</v>
      </c>
      <c r="G424" s="117">
        <v>1</v>
      </c>
      <c r="H424" s="118">
        <f>WORKDAY(I403,1)</f>
        <v>46162</v>
      </c>
      <c r="I424" s="118">
        <f t="shared" si="35"/>
        <v>46162</v>
      </c>
      <c r="J424" s="110"/>
      <c r="K424" s="110"/>
      <c r="L424" s="119"/>
      <c r="M424" s="67" t="s">
        <v>4453</v>
      </c>
      <c r="N424" s="67"/>
      <c r="O424" s="112" t="str">
        <f t="shared" si="34"/>
        <v/>
      </c>
      <c r="P424" s="119"/>
    </row>
    <row r="425" spans="1:16" ht="19.5" customHeight="1" x14ac:dyDescent="0.25">
      <c r="A425" s="113" t="s">
        <v>4424</v>
      </c>
      <c r="B425" s="67" t="s">
        <v>3283</v>
      </c>
      <c r="C425" s="67" t="s">
        <v>142</v>
      </c>
      <c r="D425" s="114" t="s">
        <v>4451</v>
      </c>
      <c r="E425" s="115" t="s">
        <v>116</v>
      </c>
      <c r="F425" s="116" t="s">
        <v>4872</v>
      </c>
      <c r="G425" s="117">
        <v>0.25</v>
      </c>
      <c r="H425" s="118">
        <f>WORKDAY(I403,1)</f>
        <v>46162</v>
      </c>
      <c r="I425" s="118">
        <f t="shared" si="35"/>
        <v>46162</v>
      </c>
      <c r="J425" s="110"/>
      <c r="K425" s="110"/>
      <c r="L425" s="119"/>
      <c r="M425" s="67" t="s">
        <v>4453</v>
      </c>
      <c r="N425" s="67"/>
      <c r="O425" s="112" t="str">
        <f t="shared" si="34"/>
        <v/>
      </c>
      <c r="P425" s="119"/>
    </row>
    <row r="426" spans="1:16" ht="19.5" customHeight="1" x14ac:dyDescent="0.25">
      <c r="A426" s="113" t="s">
        <v>4424</v>
      </c>
      <c r="B426" s="67" t="s">
        <v>3380</v>
      </c>
      <c r="C426" s="67" t="s">
        <v>112</v>
      </c>
      <c r="D426" s="114" t="s">
        <v>4451</v>
      </c>
      <c r="E426" s="115" t="s">
        <v>116</v>
      </c>
      <c r="F426" s="116" t="s">
        <v>4873</v>
      </c>
      <c r="G426" s="117">
        <v>0.5</v>
      </c>
      <c r="H426" s="118">
        <f>WORKDAY(I403,1)</f>
        <v>46162</v>
      </c>
      <c r="I426" s="118">
        <f t="shared" si="35"/>
        <v>46162</v>
      </c>
      <c r="J426" s="110"/>
      <c r="K426" s="110"/>
      <c r="L426" s="119"/>
      <c r="M426" s="67" t="s">
        <v>4453</v>
      </c>
      <c r="N426" s="67"/>
      <c r="O426" s="112" t="str">
        <f t="shared" si="34"/>
        <v/>
      </c>
      <c r="P426" s="119"/>
    </row>
    <row r="427" spans="1:16" ht="19.5" customHeight="1" x14ac:dyDescent="0.25">
      <c r="A427" s="113" t="s">
        <v>4424</v>
      </c>
      <c r="B427" s="67" t="s">
        <v>3380</v>
      </c>
      <c r="C427" s="67" t="s">
        <v>120</v>
      </c>
      <c r="D427" s="114" t="s">
        <v>4451</v>
      </c>
      <c r="E427" s="115" t="s">
        <v>116</v>
      </c>
      <c r="F427" s="116" t="s">
        <v>4874</v>
      </c>
      <c r="G427" s="117">
        <v>1.75</v>
      </c>
      <c r="H427" s="118">
        <f>WORKDAY(I403,1)</f>
        <v>46162</v>
      </c>
      <c r="I427" s="118">
        <f>WORKDAY(H427,1)</f>
        <v>46163</v>
      </c>
      <c r="J427" s="110"/>
      <c r="K427" s="110"/>
      <c r="L427" s="119"/>
      <c r="M427" s="67" t="s">
        <v>4453</v>
      </c>
      <c r="N427" s="67"/>
      <c r="O427" s="112" t="str">
        <f t="shared" si="34"/>
        <v/>
      </c>
      <c r="P427" s="119"/>
    </row>
    <row r="428" spans="1:16" ht="19.5" customHeight="1" x14ac:dyDescent="0.25">
      <c r="A428" s="120" t="s">
        <v>4424</v>
      </c>
      <c r="B428" s="68" t="s">
        <v>3283</v>
      </c>
      <c r="C428" s="68" t="s">
        <v>157</v>
      </c>
      <c r="D428" s="121" t="s">
        <v>4451</v>
      </c>
      <c r="E428" s="122" t="s">
        <v>161</v>
      </c>
      <c r="F428" s="123" t="s">
        <v>4875</v>
      </c>
      <c r="G428" s="124">
        <v>1.25</v>
      </c>
      <c r="H428" s="125">
        <f>WORKDAY(MAX(I420,I427),1)</f>
        <v>46164</v>
      </c>
      <c r="I428" s="125">
        <f>H428</f>
        <v>46164</v>
      </c>
      <c r="J428" s="110"/>
      <c r="K428" s="110"/>
      <c r="L428" s="126"/>
      <c r="M428" s="68" t="s">
        <v>4453</v>
      </c>
      <c r="N428" s="68"/>
      <c r="O428" s="112" t="str">
        <f t="shared" si="34"/>
        <v/>
      </c>
      <c r="P428" s="126"/>
    </row>
    <row r="429" spans="1:16" ht="19.5" customHeight="1" x14ac:dyDescent="0.25">
      <c r="A429" s="120" t="s">
        <v>4424</v>
      </c>
      <c r="B429" s="68" t="s">
        <v>3283</v>
      </c>
      <c r="C429" s="68" t="s">
        <v>166</v>
      </c>
      <c r="D429" s="121" t="s">
        <v>4451</v>
      </c>
      <c r="E429" s="122" t="s">
        <v>161</v>
      </c>
      <c r="F429" s="123" t="s">
        <v>4876</v>
      </c>
      <c r="G429" s="124">
        <v>1.25</v>
      </c>
      <c r="H429" s="125">
        <f>WORKDAY(MAX(I420,I427),1)</f>
        <v>46164</v>
      </c>
      <c r="I429" s="125">
        <f>H429</f>
        <v>46164</v>
      </c>
      <c r="J429" s="110"/>
      <c r="K429" s="110"/>
      <c r="L429" s="126"/>
      <c r="M429" s="68" t="s">
        <v>4453</v>
      </c>
      <c r="N429" s="68"/>
      <c r="O429" s="112" t="str">
        <f t="shared" si="34"/>
        <v/>
      </c>
      <c r="P429" s="126"/>
    </row>
    <row r="430" spans="1:16" ht="19.5" customHeight="1" x14ac:dyDescent="0.25">
      <c r="A430" s="120" t="s">
        <v>4424</v>
      </c>
      <c r="B430" s="68" t="s">
        <v>3283</v>
      </c>
      <c r="C430" s="68" t="s">
        <v>1489</v>
      </c>
      <c r="D430" s="121" t="s">
        <v>4451</v>
      </c>
      <c r="E430" s="122" t="s">
        <v>161</v>
      </c>
      <c r="F430" s="123" t="s">
        <v>4877</v>
      </c>
      <c r="G430" s="124">
        <v>1</v>
      </c>
      <c r="H430" s="125">
        <f>WORKDAY(MAX(I420,I427),1)</f>
        <v>46164</v>
      </c>
      <c r="I430" s="125">
        <f>H430</f>
        <v>46164</v>
      </c>
      <c r="J430" s="110"/>
      <c r="K430" s="110"/>
      <c r="L430" s="126"/>
      <c r="M430" s="68" t="s">
        <v>4453</v>
      </c>
      <c r="N430" s="68"/>
      <c r="O430" s="112" t="str">
        <f t="shared" si="34"/>
        <v/>
      </c>
      <c r="P430" s="126"/>
    </row>
    <row r="431" spans="1:16" ht="19.5" customHeight="1" x14ac:dyDescent="0.25">
      <c r="A431" s="120" t="s">
        <v>4424</v>
      </c>
      <c r="B431" s="68" t="s">
        <v>3380</v>
      </c>
      <c r="C431" s="68" t="s">
        <v>157</v>
      </c>
      <c r="D431" s="121" t="s">
        <v>4451</v>
      </c>
      <c r="E431" s="122" t="s">
        <v>161</v>
      </c>
      <c r="F431" s="123" t="s">
        <v>4878</v>
      </c>
      <c r="G431" s="124">
        <v>1</v>
      </c>
      <c r="H431" s="125">
        <f>WORKDAY(MAX(I420,I427),1)</f>
        <v>46164</v>
      </c>
      <c r="I431" s="125">
        <f>H431</f>
        <v>46164</v>
      </c>
      <c r="J431" s="110"/>
      <c r="K431" s="110"/>
      <c r="L431" s="126"/>
      <c r="M431" s="68" t="s">
        <v>4453</v>
      </c>
      <c r="N431" s="68"/>
      <c r="O431" s="112" t="str">
        <f t="shared" si="34"/>
        <v/>
      </c>
      <c r="P431" s="126"/>
    </row>
    <row r="432" spans="1:16" ht="19.5" customHeight="1" x14ac:dyDescent="0.25">
      <c r="A432" s="120" t="s">
        <v>4424</v>
      </c>
      <c r="B432" s="68" t="s">
        <v>3380</v>
      </c>
      <c r="C432" s="68" t="s">
        <v>166</v>
      </c>
      <c r="D432" s="121" t="s">
        <v>4451</v>
      </c>
      <c r="E432" s="122" t="s">
        <v>161</v>
      </c>
      <c r="F432" s="123" t="s">
        <v>4879</v>
      </c>
      <c r="G432" s="124">
        <v>1</v>
      </c>
      <c r="H432" s="125">
        <f>WORKDAY(MAX(I420,I427),1)</f>
        <v>46164</v>
      </c>
      <c r="I432" s="125">
        <f>H432</f>
        <v>46164</v>
      </c>
      <c r="J432" s="110"/>
      <c r="K432" s="110"/>
      <c r="L432" s="126"/>
      <c r="M432" s="68" t="s">
        <v>4453</v>
      </c>
      <c r="N432" s="68"/>
      <c r="O432" s="112" t="str">
        <f t="shared" si="34"/>
        <v/>
      </c>
      <c r="P432" s="126"/>
    </row>
    <row r="433" spans="1:16" ht="19.5" customHeight="1" x14ac:dyDescent="0.25">
      <c r="A433" s="120" t="s">
        <v>4424</v>
      </c>
      <c r="B433" s="68" t="s">
        <v>3380</v>
      </c>
      <c r="C433" s="68" t="s">
        <v>1489</v>
      </c>
      <c r="D433" s="121" t="s">
        <v>4451</v>
      </c>
      <c r="E433" s="122" t="s">
        <v>161</v>
      </c>
      <c r="F433" s="123" t="s">
        <v>4880</v>
      </c>
      <c r="G433" s="124">
        <v>1.75</v>
      </c>
      <c r="H433" s="125">
        <f>WORKDAY(MAX(I420,I427),1)</f>
        <v>46164</v>
      </c>
      <c r="I433" s="125">
        <f>WORKDAY(H433,1)</f>
        <v>46167</v>
      </c>
      <c r="J433" s="110"/>
      <c r="K433" s="110"/>
      <c r="L433" s="126"/>
      <c r="M433" s="68" t="s">
        <v>4453</v>
      </c>
      <c r="N433" s="68"/>
      <c r="O433" s="112" t="str">
        <f t="shared" si="34"/>
        <v/>
      </c>
      <c r="P433" s="126"/>
    </row>
    <row r="434" spans="1:16" ht="19.5" customHeight="1" x14ac:dyDescent="0.25">
      <c r="A434" s="120" t="s">
        <v>4424</v>
      </c>
      <c r="B434" s="68" t="s">
        <v>3380</v>
      </c>
      <c r="C434" s="68" t="s">
        <v>1496</v>
      </c>
      <c r="D434" s="121" t="s">
        <v>4451</v>
      </c>
      <c r="E434" s="122" t="s">
        <v>161</v>
      </c>
      <c r="F434" s="123" t="s">
        <v>4881</v>
      </c>
      <c r="G434" s="124">
        <v>1.25</v>
      </c>
      <c r="H434" s="125">
        <f>WORKDAY(MAX(I420,I427),1)</f>
        <v>46164</v>
      </c>
      <c r="I434" s="125">
        <f>H434</f>
        <v>46164</v>
      </c>
      <c r="J434" s="110"/>
      <c r="K434" s="110"/>
      <c r="L434" s="126"/>
      <c r="M434" s="68" t="s">
        <v>4453</v>
      </c>
      <c r="N434" s="68"/>
      <c r="O434" s="112" t="str">
        <f t="shared" si="34"/>
        <v/>
      </c>
      <c r="P434" s="126"/>
    </row>
    <row r="435" spans="1:16" ht="19.5" customHeight="1" x14ac:dyDescent="0.25">
      <c r="A435" s="138" t="s">
        <v>4882</v>
      </c>
      <c r="J435" s="130"/>
      <c r="K435" s="130"/>
    </row>
    <row r="436" spans="1:16" ht="19.5" customHeight="1" x14ac:dyDescent="0.25">
      <c r="A436" s="104" t="s">
        <v>4426</v>
      </c>
      <c r="B436" s="66" t="s">
        <v>3503</v>
      </c>
      <c r="C436" s="66" t="s">
        <v>26</v>
      </c>
      <c r="D436" s="105" t="s">
        <v>4451</v>
      </c>
      <c r="E436" s="106" t="s">
        <v>30</v>
      </c>
      <c r="F436" s="107" t="s">
        <v>4883</v>
      </c>
      <c r="G436" s="108">
        <v>3</v>
      </c>
      <c r="H436" s="109">
        <f>WORKDAY(I434,1)</f>
        <v>46167</v>
      </c>
      <c r="I436" s="109">
        <f>WORKDAY(H436,2)</f>
        <v>46169</v>
      </c>
      <c r="J436" s="110"/>
      <c r="K436" s="110"/>
      <c r="L436" s="111"/>
      <c r="M436" s="66" t="s">
        <v>4453</v>
      </c>
      <c r="N436" s="66"/>
      <c r="O436" s="112" t="str">
        <f t="shared" ref="O436:O467" si="36">IF(AND(J436&lt;&gt;"",K436&lt;&gt;""),NETWORKDAYS(J436,K436)-1-G436,"")</f>
        <v/>
      </c>
      <c r="P436" s="111"/>
    </row>
    <row r="437" spans="1:16" ht="19.5" customHeight="1" x14ac:dyDescent="0.25">
      <c r="A437" s="104" t="s">
        <v>4426</v>
      </c>
      <c r="B437" s="66" t="s">
        <v>3503</v>
      </c>
      <c r="C437" s="66" t="s">
        <v>38</v>
      </c>
      <c r="D437" s="105" t="s">
        <v>4451</v>
      </c>
      <c r="E437" s="106" t="s">
        <v>30</v>
      </c>
      <c r="F437" s="107" t="s">
        <v>4884</v>
      </c>
      <c r="G437" s="108">
        <v>2.5</v>
      </c>
      <c r="H437" s="109">
        <f>WORKDAY(I434,1)</f>
        <v>46167</v>
      </c>
      <c r="I437" s="109">
        <f>WORKDAY(H437,1)</f>
        <v>46168</v>
      </c>
      <c r="J437" s="110"/>
      <c r="K437" s="110"/>
      <c r="L437" s="111"/>
      <c r="M437" s="66" t="s">
        <v>4453</v>
      </c>
      <c r="N437" s="66"/>
      <c r="O437" s="112" t="str">
        <f t="shared" si="36"/>
        <v/>
      </c>
      <c r="P437" s="111"/>
    </row>
    <row r="438" spans="1:16" ht="19.5" customHeight="1" x14ac:dyDescent="0.25">
      <c r="A438" s="104" t="s">
        <v>4426</v>
      </c>
      <c r="B438" s="66" t="s">
        <v>3503</v>
      </c>
      <c r="C438" s="66" t="s">
        <v>46</v>
      </c>
      <c r="D438" s="105" t="s">
        <v>4451</v>
      </c>
      <c r="E438" s="106" t="s">
        <v>30</v>
      </c>
      <c r="F438" s="107" t="s">
        <v>4885</v>
      </c>
      <c r="G438" s="108">
        <v>1.75</v>
      </c>
      <c r="H438" s="109">
        <f>WORKDAY(I434,1)</f>
        <v>46167</v>
      </c>
      <c r="I438" s="109">
        <f>WORKDAY(H438,1)</f>
        <v>46168</v>
      </c>
      <c r="J438" s="110"/>
      <c r="K438" s="110"/>
      <c r="L438" s="111"/>
      <c r="M438" s="66" t="s">
        <v>4453</v>
      </c>
      <c r="N438" s="66"/>
      <c r="O438" s="112" t="str">
        <f t="shared" si="36"/>
        <v/>
      </c>
      <c r="P438" s="111"/>
    </row>
    <row r="439" spans="1:16" ht="19.5" customHeight="1" x14ac:dyDescent="0.25">
      <c r="A439" s="104" t="s">
        <v>4426</v>
      </c>
      <c r="B439" s="66" t="s">
        <v>3503</v>
      </c>
      <c r="C439" s="66" t="s">
        <v>53</v>
      </c>
      <c r="D439" s="105" t="s">
        <v>4451</v>
      </c>
      <c r="E439" s="106" t="s">
        <v>30</v>
      </c>
      <c r="F439" s="107" t="s">
        <v>4886</v>
      </c>
      <c r="G439" s="108">
        <v>2.5</v>
      </c>
      <c r="H439" s="109">
        <f>WORKDAY(I434,1)</f>
        <v>46167</v>
      </c>
      <c r="I439" s="109">
        <f>WORKDAY(H439,1)</f>
        <v>46168</v>
      </c>
      <c r="J439" s="110"/>
      <c r="K439" s="110"/>
      <c r="L439" s="111"/>
      <c r="M439" s="66" t="s">
        <v>4453</v>
      </c>
      <c r="N439" s="66"/>
      <c r="O439" s="112" t="str">
        <f t="shared" si="36"/>
        <v/>
      </c>
      <c r="P439" s="111"/>
    </row>
    <row r="440" spans="1:16" ht="19.5" customHeight="1" x14ac:dyDescent="0.25">
      <c r="A440" s="104" t="s">
        <v>4426</v>
      </c>
      <c r="B440" s="66" t="s">
        <v>3503</v>
      </c>
      <c r="C440" s="66" t="s">
        <v>64</v>
      </c>
      <c r="D440" s="105" t="s">
        <v>4451</v>
      </c>
      <c r="E440" s="106" t="s">
        <v>30</v>
      </c>
      <c r="F440" s="107" t="s">
        <v>4887</v>
      </c>
      <c r="G440" s="108">
        <v>1.75</v>
      </c>
      <c r="H440" s="109">
        <f>WORKDAY(I434,1)</f>
        <v>46167</v>
      </c>
      <c r="I440" s="109">
        <f>WORKDAY(H440,1)</f>
        <v>46168</v>
      </c>
      <c r="J440" s="110"/>
      <c r="K440" s="110"/>
      <c r="L440" s="111"/>
      <c r="M440" s="66" t="s">
        <v>4453</v>
      </c>
      <c r="N440" s="66"/>
      <c r="O440" s="112" t="str">
        <f t="shared" si="36"/>
        <v/>
      </c>
      <c r="P440" s="111"/>
    </row>
    <row r="441" spans="1:16" ht="19.5" customHeight="1" x14ac:dyDescent="0.25">
      <c r="A441" s="104" t="s">
        <v>4426</v>
      </c>
      <c r="B441" s="66" t="s">
        <v>3503</v>
      </c>
      <c r="C441" s="66" t="s">
        <v>72</v>
      </c>
      <c r="D441" s="105" t="s">
        <v>4451</v>
      </c>
      <c r="E441" s="106" t="s">
        <v>30</v>
      </c>
      <c r="F441" s="107" t="s">
        <v>4888</v>
      </c>
      <c r="G441" s="108">
        <v>1.25</v>
      </c>
      <c r="H441" s="109">
        <f>WORKDAY(I434,1)</f>
        <v>46167</v>
      </c>
      <c r="I441" s="109">
        <f>H441</f>
        <v>46167</v>
      </c>
      <c r="J441" s="110"/>
      <c r="K441" s="110"/>
      <c r="L441" s="111"/>
      <c r="M441" s="66" t="s">
        <v>4453</v>
      </c>
      <c r="N441" s="66"/>
      <c r="O441" s="112" t="str">
        <f t="shared" si="36"/>
        <v/>
      </c>
      <c r="P441" s="111"/>
    </row>
    <row r="442" spans="1:16" ht="19.5" customHeight="1" x14ac:dyDescent="0.25">
      <c r="A442" s="104" t="s">
        <v>4426</v>
      </c>
      <c r="B442" s="66" t="s">
        <v>3503</v>
      </c>
      <c r="C442" s="66" t="s">
        <v>80</v>
      </c>
      <c r="D442" s="105" t="s">
        <v>4451</v>
      </c>
      <c r="E442" s="106" t="s">
        <v>30</v>
      </c>
      <c r="F442" s="107" t="s">
        <v>4889</v>
      </c>
      <c r="G442" s="108">
        <v>1.75</v>
      </c>
      <c r="H442" s="109">
        <f>WORKDAY(I434,1)</f>
        <v>46167</v>
      </c>
      <c r="I442" s="109">
        <f>WORKDAY(H442,1)</f>
        <v>46168</v>
      </c>
      <c r="J442" s="110"/>
      <c r="K442" s="110"/>
      <c r="L442" s="111"/>
      <c r="M442" s="66" t="s">
        <v>4453</v>
      </c>
      <c r="N442" s="66"/>
      <c r="O442" s="112" t="str">
        <f t="shared" si="36"/>
        <v/>
      </c>
      <c r="P442" s="111"/>
    </row>
    <row r="443" spans="1:16" ht="19.5" customHeight="1" x14ac:dyDescent="0.25">
      <c r="A443" s="104" t="s">
        <v>4426</v>
      </c>
      <c r="B443" s="66" t="s">
        <v>3503</v>
      </c>
      <c r="C443" s="66" t="s">
        <v>88</v>
      </c>
      <c r="D443" s="105" t="s">
        <v>4451</v>
      </c>
      <c r="E443" s="106" t="s">
        <v>30</v>
      </c>
      <c r="F443" s="107" t="s">
        <v>4890</v>
      </c>
      <c r="G443" s="108">
        <v>1.25</v>
      </c>
      <c r="H443" s="109">
        <f>WORKDAY(I434,1)</f>
        <v>46167</v>
      </c>
      <c r="I443" s="109">
        <f>H443</f>
        <v>46167</v>
      </c>
      <c r="J443" s="110"/>
      <c r="K443" s="110"/>
      <c r="L443" s="111"/>
      <c r="M443" s="66" t="s">
        <v>4453</v>
      </c>
      <c r="N443" s="66"/>
      <c r="O443" s="112" t="str">
        <f t="shared" si="36"/>
        <v/>
      </c>
      <c r="P443" s="111"/>
    </row>
    <row r="444" spans="1:16" ht="19.5" customHeight="1" x14ac:dyDescent="0.25">
      <c r="A444" s="104" t="s">
        <v>4426</v>
      </c>
      <c r="B444" s="66" t="s">
        <v>3503</v>
      </c>
      <c r="C444" s="66" t="s">
        <v>95</v>
      </c>
      <c r="D444" s="105" t="s">
        <v>4451</v>
      </c>
      <c r="E444" s="106" t="s">
        <v>30</v>
      </c>
      <c r="F444" s="107" t="s">
        <v>4891</v>
      </c>
      <c r="G444" s="108">
        <v>2.5</v>
      </c>
      <c r="H444" s="109">
        <f>WORKDAY(I434,1)</f>
        <v>46167</v>
      </c>
      <c r="I444" s="109">
        <f>WORKDAY(H444,1)</f>
        <v>46168</v>
      </c>
      <c r="J444" s="110"/>
      <c r="K444" s="110"/>
      <c r="L444" s="111"/>
      <c r="M444" s="66" t="s">
        <v>4453</v>
      </c>
      <c r="N444" s="66"/>
      <c r="O444" s="112" t="str">
        <f t="shared" si="36"/>
        <v/>
      </c>
      <c r="P444" s="111"/>
    </row>
    <row r="445" spans="1:16" ht="19.5" customHeight="1" x14ac:dyDescent="0.25">
      <c r="A445" s="104" t="s">
        <v>4426</v>
      </c>
      <c r="B445" s="66" t="s">
        <v>3503</v>
      </c>
      <c r="C445" s="66" t="s">
        <v>103</v>
      </c>
      <c r="D445" s="105" t="s">
        <v>4451</v>
      </c>
      <c r="E445" s="106" t="s">
        <v>30</v>
      </c>
      <c r="F445" s="107" t="s">
        <v>4892</v>
      </c>
      <c r="G445" s="108">
        <v>2.5</v>
      </c>
      <c r="H445" s="109">
        <f>WORKDAY(I434,1)</f>
        <v>46167</v>
      </c>
      <c r="I445" s="109">
        <f>WORKDAY(H445,1)</f>
        <v>46168</v>
      </c>
      <c r="J445" s="110"/>
      <c r="K445" s="110"/>
      <c r="L445" s="111"/>
      <c r="M445" s="66" t="s">
        <v>4453</v>
      </c>
      <c r="N445" s="66"/>
      <c r="O445" s="112" t="str">
        <f t="shared" si="36"/>
        <v/>
      </c>
      <c r="P445" s="111"/>
    </row>
    <row r="446" spans="1:16" ht="19.5" customHeight="1" x14ac:dyDescent="0.25">
      <c r="A446" s="104" t="s">
        <v>4426</v>
      </c>
      <c r="B446" s="66" t="s">
        <v>3503</v>
      </c>
      <c r="C446" s="66" t="s">
        <v>1240</v>
      </c>
      <c r="D446" s="105" t="s">
        <v>4451</v>
      </c>
      <c r="E446" s="106" t="s">
        <v>30</v>
      </c>
      <c r="F446" s="107" t="s">
        <v>4893</v>
      </c>
      <c r="G446" s="108">
        <v>1.25</v>
      </c>
      <c r="H446" s="109">
        <f>WORKDAY(I434,1)</f>
        <v>46167</v>
      </c>
      <c r="I446" s="109">
        <f>H446</f>
        <v>46167</v>
      </c>
      <c r="J446" s="110"/>
      <c r="K446" s="110"/>
      <c r="L446" s="111"/>
      <c r="M446" s="66" t="s">
        <v>4453</v>
      </c>
      <c r="N446" s="66"/>
      <c r="O446" s="112" t="str">
        <f t="shared" si="36"/>
        <v/>
      </c>
      <c r="P446" s="111"/>
    </row>
    <row r="447" spans="1:16" ht="19.5" customHeight="1" x14ac:dyDescent="0.25">
      <c r="A447" s="104" t="s">
        <v>4426</v>
      </c>
      <c r="B447" s="66" t="s">
        <v>3631</v>
      </c>
      <c r="C447" s="66" t="s">
        <v>26</v>
      </c>
      <c r="D447" s="105" t="s">
        <v>4451</v>
      </c>
      <c r="E447" s="106" t="s">
        <v>30</v>
      </c>
      <c r="F447" s="107" t="s">
        <v>4894</v>
      </c>
      <c r="G447" s="108">
        <v>1.75</v>
      </c>
      <c r="H447" s="109">
        <f>WORKDAY(I434,1)</f>
        <v>46167</v>
      </c>
      <c r="I447" s="109">
        <f>WORKDAY(H447,1)</f>
        <v>46168</v>
      </c>
      <c r="J447" s="110"/>
      <c r="K447" s="110"/>
      <c r="L447" s="111"/>
      <c r="M447" s="66" t="s">
        <v>4453</v>
      </c>
      <c r="N447" s="66"/>
      <c r="O447" s="112" t="str">
        <f t="shared" si="36"/>
        <v/>
      </c>
      <c r="P447" s="111"/>
    </row>
    <row r="448" spans="1:16" ht="19.5" customHeight="1" x14ac:dyDescent="0.25">
      <c r="A448" s="104" t="s">
        <v>4426</v>
      </c>
      <c r="B448" s="66" t="s">
        <v>3631</v>
      </c>
      <c r="C448" s="66" t="s">
        <v>38</v>
      </c>
      <c r="D448" s="105" t="s">
        <v>4451</v>
      </c>
      <c r="E448" s="106" t="s">
        <v>30</v>
      </c>
      <c r="F448" s="107" t="s">
        <v>4895</v>
      </c>
      <c r="G448" s="108">
        <v>1.25</v>
      </c>
      <c r="H448" s="109">
        <f>WORKDAY(I434,1)</f>
        <v>46167</v>
      </c>
      <c r="I448" s="109">
        <f>H448</f>
        <v>46167</v>
      </c>
      <c r="J448" s="110"/>
      <c r="K448" s="110"/>
      <c r="L448" s="111"/>
      <c r="M448" s="66" t="s">
        <v>4453</v>
      </c>
      <c r="N448" s="66"/>
      <c r="O448" s="112" t="str">
        <f t="shared" si="36"/>
        <v/>
      </c>
      <c r="P448" s="111"/>
    </row>
    <row r="449" spans="1:16" ht="19.5" customHeight="1" x14ac:dyDescent="0.25">
      <c r="A449" s="104" t="s">
        <v>4426</v>
      </c>
      <c r="B449" s="66" t="s">
        <v>3631</v>
      </c>
      <c r="C449" s="66" t="s">
        <v>46</v>
      </c>
      <c r="D449" s="105" t="s">
        <v>4451</v>
      </c>
      <c r="E449" s="106" t="s">
        <v>30</v>
      </c>
      <c r="F449" s="107" t="s">
        <v>4896</v>
      </c>
      <c r="G449" s="108">
        <v>0.5</v>
      </c>
      <c r="H449" s="109">
        <f>WORKDAY(I434,1)</f>
        <v>46167</v>
      </c>
      <c r="I449" s="109">
        <f>H449</f>
        <v>46167</v>
      </c>
      <c r="J449" s="110"/>
      <c r="K449" s="110"/>
      <c r="L449" s="111"/>
      <c r="M449" s="66" t="s">
        <v>4453</v>
      </c>
      <c r="N449" s="66"/>
      <c r="O449" s="112" t="str">
        <f t="shared" si="36"/>
        <v/>
      </c>
      <c r="P449" s="111"/>
    </row>
    <row r="450" spans="1:16" ht="19.5" customHeight="1" x14ac:dyDescent="0.25">
      <c r="A450" s="104" t="s">
        <v>4426</v>
      </c>
      <c r="B450" s="66" t="s">
        <v>3631</v>
      </c>
      <c r="C450" s="66" t="s">
        <v>53</v>
      </c>
      <c r="D450" s="105" t="s">
        <v>4451</v>
      </c>
      <c r="E450" s="106" t="s">
        <v>30</v>
      </c>
      <c r="F450" s="107" t="s">
        <v>4897</v>
      </c>
      <c r="G450" s="108">
        <v>2.5</v>
      </c>
      <c r="H450" s="109">
        <f>WORKDAY(I434,1)</f>
        <v>46167</v>
      </c>
      <c r="I450" s="109">
        <f>WORKDAY(H450,1)</f>
        <v>46168</v>
      </c>
      <c r="J450" s="110"/>
      <c r="K450" s="110"/>
      <c r="L450" s="111"/>
      <c r="M450" s="66" t="s">
        <v>4453</v>
      </c>
      <c r="N450" s="66"/>
      <c r="O450" s="112" t="str">
        <f t="shared" si="36"/>
        <v/>
      </c>
      <c r="P450" s="111"/>
    </row>
    <row r="451" spans="1:16" ht="19.5" customHeight="1" x14ac:dyDescent="0.25">
      <c r="A451" s="104" t="s">
        <v>4426</v>
      </c>
      <c r="B451" s="66" t="s">
        <v>3631</v>
      </c>
      <c r="C451" s="66" t="s">
        <v>64</v>
      </c>
      <c r="D451" s="105" t="s">
        <v>4451</v>
      </c>
      <c r="E451" s="106" t="s">
        <v>30</v>
      </c>
      <c r="F451" s="107" t="s">
        <v>4898</v>
      </c>
      <c r="G451" s="108">
        <v>1.75</v>
      </c>
      <c r="H451" s="109">
        <f>WORKDAY(I434,1)</f>
        <v>46167</v>
      </c>
      <c r="I451" s="109">
        <f>WORKDAY(H451,1)</f>
        <v>46168</v>
      </c>
      <c r="J451" s="110"/>
      <c r="K451" s="110"/>
      <c r="L451" s="111"/>
      <c r="M451" s="66" t="s">
        <v>4453</v>
      </c>
      <c r="N451" s="66"/>
      <c r="O451" s="112" t="str">
        <f t="shared" si="36"/>
        <v/>
      </c>
      <c r="P451" s="111"/>
    </row>
    <row r="452" spans="1:16" ht="19.5" customHeight="1" x14ac:dyDescent="0.25">
      <c r="A452" s="104" t="s">
        <v>4426</v>
      </c>
      <c r="B452" s="66" t="s">
        <v>3631</v>
      </c>
      <c r="C452" s="66" t="s">
        <v>72</v>
      </c>
      <c r="D452" s="105" t="s">
        <v>4451</v>
      </c>
      <c r="E452" s="106" t="s">
        <v>30</v>
      </c>
      <c r="F452" s="107" t="s">
        <v>4899</v>
      </c>
      <c r="G452" s="108">
        <v>1.25</v>
      </c>
      <c r="H452" s="109">
        <f>WORKDAY(I434,1)</f>
        <v>46167</v>
      </c>
      <c r="I452" s="109">
        <f>H452</f>
        <v>46167</v>
      </c>
      <c r="J452" s="110"/>
      <c r="K452" s="110"/>
      <c r="L452" s="111"/>
      <c r="M452" s="66" t="s">
        <v>4453</v>
      </c>
      <c r="N452" s="66"/>
      <c r="O452" s="112" t="str">
        <f t="shared" si="36"/>
        <v/>
      </c>
      <c r="P452" s="111"/>
    </row>
    <row r="453" spans="1:16" ht="19.5" customHeight="1" x14ac:dyDescent="0.25">
      <c r="A453" s="104" t="s">
        <v>4426</v>
      </c>
      <c r="B453" s="66" t="s">
        <v>3694</v>
      </c>
      <c r="C453" s="66" t="s">
        <v>26</v>
      </c>
      <c r="D453" s="105" t="s">
        <v>4451</v>
      </c>
      <c r="E453" s="106" t="s">
        <v>30</v>
      </c>
      <c r="F453" s="107" t="s">
        <v>4900</v>
      </c>
      <c r="G453" s="108">
        <v>1.25</v>
      </c>
      <c r="H453" s="109">
        <f>WORKDAY(I434,1)</f>
        <v>46167</v>
      </c>
      <c r="I453" s="109">
        <f>H453</f>
        <v>46167</v>
      </c>
      <c r="J453" s="110"/>
      <c r="K453" s="110"/>
      <c r="L453" s="111"/>
      <c r="M453" s="66" t="s">
        <v>4453</v>
      </c>
      <c r="N453" s="66"/>
      <c r="O453" s="112" t="str">
        <f t="shared" si="36"/>
        <v/>
      </c>
      <c r="P453" s="111"/>
    </row>
    <row r="454" spans="1:16" ht="19.5" customHeight="1" x14ac:dyDescent="0.25">
      <c r="A454" s="104" t="s">
        <v>4426</v>
      </c>
      <c r="B454" s="66" t="s">
        <v>3694</v>
      </c>
      <c r="C454" s="66" t="s">
        <v>38</v>
      </c>
      <c r="D454" s="105" t="s">
        <v>4451</v>
      </c>
      <c r="E454" s="106" t="s">
        <v>30</v>
      </c>
      <c r="F454" s="107" t="s">
        <v>4901</v>
      </c>
      <c r="G454" s="108">
        <v>1.75</v>
      </c>
      <c r="H454" s="109">
        <f>WORKDAY(I434,1)</f>
        <v>46167</v>
      </c>
      <c r="I454" s="109">
        <f>WORKDAY(H454,1)</f>
        <v>46168</v>
      </c>
      <c r="J454" s="110"/>
      <c r="K454" s="110"/>
      <c r="L454" s="111"/>
      <c r="M454" s="66" t="s">
        <v>4453</v>
      </c>
      <c r="N454" s="66"/>
      <c r="O454" s="112" t="str">
        <f t="shared" si="36"/>
        <v/>
      </c>
      <c r="P454" s="111"/>
    </row>
    <row r="455" spans="1:16" ht="19.5" customHeight="1" x14ac:dyDescent="0.25">
      <c r="A455" s="104" t="s">
        <v>4426</v>
      </c>
      <c r="B455" s="66" t="s">
        <v>3694</v>
      </c>
      <c r="C455" s="66" t="s">
        <v>46</v>
      </c>
      <c r="D455" s="105" t="s">
        <v>4451</v>
      </c>
      <c r="E455" s="106" t="s">
        <v>30</v>
      </c>
      <c r="F455" s="107" t="s">
        <v>4902</v>
      </c>
      <c r="G455" s="108">
        <v>0.5</v>
      </c>
      <c r="H455" s="109">
        <f>WORKDAY(I434,1)</f>
        <v>46167</v>
      </c>
      <c r="I455" s="109">
        <f>H455</f>
        <v>46167</v>
      </c>
      <c r="J455" s="110"/>
      <c r="K455" s="110"/>
      <c r="L455" s="111"/>
      <c r="M455" s="66" t="s">
        <v>4453</v>
      </c>
      <c r="N455" s="66"/>
      <c r="O455" s="112" t="str">
        <f t="shared" si="36"/>
        <v/>
      </c>
      <c r="P455" s="111"/>
    </row>
    <row r="456" spans="1:16" ht="19.5" customHeight="1" x14ac:dyDescent="0.25">
      <c r="A456" s="104" t="s">
        <v>4426</v>
      </c>
      <c r="B456" s="66" t="s">
        <v>3694</v>
      </c>
      <c r="C456" s="66" t="s">
        <v>53</v>
      </c>
      <c r="D456" s="105" t="s">
        <v>4451</v>
      </c>
      <c r="E456" s="106" t="s">
        <v>30</v>
      </c>
      <c r="F456" s="107" t="s">
        <v>4903</v>
      </c>
      <c r="G456" s="108">
        <v>1.25</v>
      </c>
      <c r="H456" s="109">
        <f>WORKDAY(I434,1)</f>
        <v>46167</v>
      </c>
      <c r="I456" s="109">
        <f>H456</f>
        <v>46167</v>
      </c>
      <c r="J456" s="110"/>
      <c r="K456" s="110"/>
      <c r="L456" s="111"/>
      <c r="M456" s="66" t="s">
        <v>4453</v>
      </c>
      <c r="N456" s="66"/>
      <c r="O456" s="112" t="str">
        <f t="shared" si="36"/>
        <v/>
      </c>
      <c r="P456" s="111"/>
    </row>
    <row r="457" spans="1:16" ht="19.5" customHeight="1" x14ac:dyDescent="0.25">
      <c r="A457" s="104" t="s">
        <v>4426</v>
      </c>
      <c r="B457" s="66" t="s">
        <v>3694</v>
      </c>
      <c r="C457" s="66" t="s">
        <v>64</v>
      </c>
      <c r="D457" s="105" t="s">
        <v>4451</v>
      </c>
      <c r="E457" s="106" t="s">
        <v>30</v>
      </c>
      <c r="F457" s="107" t="s">
        <v>4904</v>
      </c>
      <c r="G457" s="108">
        <v>1.75</v>
      </c>
      <c r="H457" s="109">
        <f>WORKDAY(I434,1)</f>
        <v>46167</v>
      </c>
      <c r="I457" s="109">
        <f>WORKDAY(H457,1)</f>
        <v>46168</v>
      </c>
      <c r="J457" s="110"/>
      <c r="K457" s="110"/>
      <c r="L457" s="111"/>
      <c r="M457" s="66" t="s">
        <v>4453</v>
      </c>
      <c r="N457" s="66"/>
      <c r="O457" s="112" t="str">
        <f t="shared" si="36"/>
        <v/>
      </c>
      <c r="P457" s="111"/>
    </row>
    <row r="458" spans="1:16" ht="19.5" customHeight="1" x14ac:dyDescent="0.25">
      <c r="A458" s="104" t="s">
        <v>4426</v>
      </c>
      <c r="B458" s="66" t="s">
        <v>3694</v>
      </c>
      <c r="C458" s="66" t="s">
        <v>72</v>
      </c>
      <c r="D458" s="105" t="s">
        <v>4451</v>
      </c>
      <c r="E458" s="106" t="s">
        <v>30</v>
      </c>
      <c r="F458" s="107" t="s">
        <v>4905</v>
      </c>
      <c r="G458" s="108">
        <v>1.75</v>
      </c>
      <c r="H458" s="109">
        <f>WORKDAY(I434,1)</f>
        <v>46167</v>
      </c>
      <c r="I458" s="109">
        <f>WORKDAY(H458,1)</f>
        <v>46168</v>
      </c>
      <c r="J458" s="110"/>
      <c r="K458" s="110"/>
      <c r="L458" s="111"/>
      <c r="M458" s="66" t="s">
        <v>4453</v>
      </c>
      <c r="N458" s="66"/>
      <c r="O458" s="112" t="str">
        <f t="shared" si="36"/>
        <v/>
      </c>
      <c r="P458" s="111"/>
    </row>
    <row r="459" spans="1:16" ht="19.5" customHeight="1" x14ac:dyDescent="0.25">
      <c r="A459" s="104" t="s">
        <v>4426</v>
      </c>
      <c r="B459" s="66" t="s">
        <v>3763</v>
      </c>
      <c r="C459" s="66" t="s">
        <v>26</v>
      </c>
      <c r="D459" s="105" t="s">
        <v>4451</v>
      </c>
      <c r="E459" s="106" t="s">
        <v>30</v>
      </c>
      <c r="F459" s="107" t="s">
        <v>4906</v>
      </c>
      <c r="G459" s="108">
        <v>2.5</v>
      </c>
      <c r="H459" s="109">
        <f>WORKDAY(I434,1)</f>
        <v>46167</v>
      </c>
      <c r="I459" s="109">
        <f>WORKDAY(H459,1)</f>
        <v>46168</v>
      </c>
      <c r="J459" s="110"/>
      <c r="K459" s="110"/>
      <c r="L459" s="111"/>
      <c r="M459" s="66" t="s">
        <v>4453</v>
      </c>
      <c r="N459" s="66"/>
      <c r="O459" s="112" t="str">
        <f t="shared" si="36"/>
        <v/>
      </c>
      <c r="P459" s="111"/>
    </row>
    <row r="460" spans="1:16" ht="19.5" customHeight="1" x14ac:dyDescent="0.25">
      <c r="A460" s="104" t="s">
        <v>4426</v>
      </c>
      <c r="B460" s="66" t="s">
        <v>3763</v>
      </c>
      <c r="C460" s="66" t="s">
        <v>38</v>
      </c>
      <c r="D460" s="105" t="s">
        <v>4451</v>
      </c>
      <c r="E460" s="106" t="s">
        <v>30</v>
      </c>
      <c r="F460" s="107" t="s">
        <v>4907</v>
      </c>
      <c r="G460" s="108">
        <v>1</v>
      </c>
      <c r="H460" s="109">
        <f>WORKDAY(I434,1)</f>
        <v>46167</v>
      </c>
      <c r="I460" s="109">
        <f>H460</f>
        <v>46167</v>
      </c>
      <c r="J460" s="110"/>
      <c r="K460" s="110"/>
      <c r="L460" s="111"/>
      <c r="M460" s="66" t="s">
        <v>4453</v>
      </c>
      <c r="N460" s="66"/>
      <c r="O460" s="112" t="str">
        <f t="shared" si="36"/>
        <v/>
      </c>
      <c r="P460" s="111"/>
    </row>
    <row r="461" spans="1:16" ht="19.5" customHeight="1" x14ac:dyDescent="0.25">
      <c r="A461" s="104" t="s">
        <v>4426</v>
      </c>
      <c r="B461" s="66" t="s">
        <v>3763</v>
      </c>
      <c r="C461" s="66" t="s">
        <v>46</v>
      </c>
      <c r="D461" s="105" t="s">
        <v>4451</v>
      </c>
      <c r="E461" s="106" t="s">
        <v>30</v>
      </c>
      <c r="F461" s="107" t="s">
        <v>4908</v>
      </c>
      <c r="G461" s="108">
        <v>0.5</v>
      </c>
      <c r="H461" s="109">
        <f>WORKDAY(I434,1)</f>
        <v>46167</v>
      </c>
      <c r="I461" s="109">
        <f>H461</f>
        <v>46167</v>
      </c>
      <c r="J461" s="110"/>
      <c r="K461" s="110"/>
      <c r="L461" s="111"/>
      <c r="M461" s="66" t="s">
        <v>4453</v>
      </c>
      <c r="N461" s="66"/>
      <c r="O461" s="112" t="str">
        <f t="shared" si="36"/>
        <v/>
      </c>
      <c r="P461" s="111"/>
    </row>
    <row r="462" spans="1:16" ht="19.5" customHeight="1" x14ac:dyDescent="0.25">
      <c r="A462" s="104" t="s">
        <v>4426</v>
      </c>
      <c r="B462" s="66" t="s">
        <v>3763</v>
      </c>
      <c r="C462" s="66" t="s">
        <v>53</v>
      </c>
      <c r="D462" s="105" t="s">
        <v>4451</v>
      </c>
      <c r="E462" s="106" t="s">
        <v>30</v>
      </c>
      <c r="F462" s="107" t="s">
        <v>4909</v>
      </c>
      <c r="G462" s="108">
        <v>1.25</v>
      </c>
      <c r="H462" s="109">
        <f>WORKDAY(I434,1)</f>
        <v>46167</v>
      </c>
      <c r="I462" s="109">
        <f>H462</f>
        <v>46167</v>
      </c>
      <c r="J462" s="110"/>
      <c r="K462" s="110"/>
      <c r="L462" s="111"/>
      <c r="M462" s="66" t="s">
        <v>4453</v>
      </c>
      <c r="N462" s="66"/>
      <c r="O462" s="112" t="str">
        <f t="shared" si="36"/>
        <v/>
      </c>
      <c r="P462" s="111"/>
    </row>
    <row r="463" spans="1:16" ht="19.5" customHeight="1" x14ac:dyDescent="0.25">
      <c r="A463" s="104" t="s">
        <v>4426</v>
      </c>
      <c r="B463" s="66" t="s">
        <v>3763</v>
      </c>
      <c r="C463" s="66" t="s">
        <v>64</v>
      </c>
      <c r="D463" s="105" t="s">
        <v>4451</v>
      </c>
      <c r="E463" s="106" t="s">
        <v>30</v>
      </c>
      <c r="F463" s="107" t="s">
        <v>4910</v>
      </c>
      <c r="G463" s="108">
        <v>2.5</v>
      </c>
      <c r="H463" s="109">
        <f>WORKDAY(I434,1)</f>
        <v>46167</v>
      </c>
      <c r="I463" s="109">
        <f>WORKDAY(H463,1)</f>
        <v>46168</v>
      </c>
      <c r="J463" s="110"/>
      <c r="K463" s="110"/>
      <c r="L463" s="111"/>
      <c r="M463" s="66" t="s">
        <v>4453</v>
      </c>
      <c r="N463" s="66"/>
      <c r="O463" s="112" t="str">
        <f t="shared" si="36"/>
        <v/>
      </c>
      <c r="P463" s="111"/>
    </row>
    <row r="464" spans="1:16" ht="19.5" customHeight="1" x14ac:dyDescent="0.25">
      <c r="A464" s="104" t="s">
        <v>4426</v>
      </c>
      <c r="B464" s="66" t="s">
        <v>3763</v>
      </c>
      <c r="C464" s="66" t="s">
        <v>72</v>
      </c>
      <c r="D464" s="105" t="s">
        <v>4451</v>
      </c>
      <c r="E464" s="106" t="s">
        <v>30</v>
      </c>
      <c r="F464" s="107" t="s">
        <v>4911</v>
      </c>
      <c r="G464" s="108">
        <v>1.75</v>
      </c>
      <c r="H464" s="109">
        <f>WORKDAY(I434,1)</f>
        <v>46167</v>
      </c>
      <c r="I464" s="109">
        <f>WORKDAY(H464,1)</f>
        <v>46168</v>
      </c>
      <c r="J464" s="110"/>
      <c r="K464" s="110"/>
      <c r="L464" s="111"/>
      <c r="M464" s="66" t="s">
        <v>4453</v>
      </c>
      <c r="N464" s="66"/>
      <c r="O464" s="112" t="str">
        <f t="shared" si="36"/>
        <v/>
      </c>
      <c r="P464" s="111"/>
    </row>
    <row r="465" spans="1:16" ht="19.5" customHeight="1" x14ac:dyDescent="0.25">
      <c r="A465" s="104" t="s">
        <v>4426</v>
      </c>
      <c r="B465" s="66" t="s">
        <v>3827</v>
      </c>
      <c r="C465" s="66" t="s">
        <v>26</v>
      </c>
      <c r="D465" s="105" t="s">
        <v>4451</v>
      </c>
      <c r="E465" s="106" t="s">
        <v>30</v>
      </c>
      <c r="F465" s="107" t="s">
        <v>4912</v>
      </c>
      <c r="G465" s="108">
        <v>1.25</v>
      </c>
      <c r="H465" s="109">
        <f>WORKDAY(I434,1)</f>
        <v>46167</v>
      </c>
      <c r="I465" s="109">
        <f>H465</f>
        <v>46167</v>
      </c>
      <c r="J465" s="110"/>
      <c r="K465" s="110"/>
      <c r="L465" s="111"/>
      <c r="M465" s="66" t="s">
        <v>4453</v>
      </c>
      <c r="N465" s="66"/>
      <c r="O465" s="112" t="str">
        <f t="shared" si="36"/>
        <v/>
      </c>
      <c r="P465" s="111"/>
    </row>
    <row r="466" spans="1:16" ht="19.5" customHeight="1" x14ac:dyDescent="0.25">
      <c r="A466" s="104" t="s">
        <v>4426</v>
      </c>
      <c r="B466" s="66" t="s">
        <v>3827</v>
      </c>
      <c r="C466" s="66" t="s">
        <v>38</v>
      </c>
      <c r="D466" s="105" t="s">
        <v>4451</v>
      </c>
      <c r="E466" s="106" t="s">
        <v>30</v>
      </c>
      <c r="F466" s="107" t="s">
        <v>4913</v>
      </c>
      <c r="G466" s="108">
        <v>2.5</v>
      </c>
      <c r="H466" s="109">
        <f>WORKDAY(I434,1)</f>
        <v>46167</v>
      </c>
      <c r="I466" s="109">
        <f>WORKDAY(H466,1)</f>
        <v>46168</v>
      </c>
      <c r="J466" s="110"/>
      <c r="K466" s="110"/>
      <c r="L466" s="111"/>
      <c r="M466" s="66" t="s">
        <v>4453</v>
      </c>
      <c r="N466" s="66"/>
      <c r="O466" s="112" t="str">
        <f t="shared" si="36"/>
        <v/>
      </c>
      <c r="P466" s="111"/>
    </row>
    <row r="467" spans="1:16" ht="19.5" customHeight="1" x14ac:dyDescent="0.25">
      <c r="A467" s="104" t="s">
        <v>4426</v>
      </c>
      <c r="B467" s="66" t="s">
        <v>3827</v>
      </c>
      <c r="C467" s="66" t="s">
        <v>46</v>
      </c>
      <c r="D467" s="105" t="s">
        <v>4451</v>
      </c>
      <c r="E467" s="106" t="s">
        <v>30</v>
      </c>
      <c r="F467" s="107" t="s">
        <v>4914</v>
      </c>
      <c r="G467" s="108">
        <v>3</v>
      </c>
      <c r="H467" s="109">
        <f>WORKDAY(I434,1)</f>
        <v>46167</v>
      </c>
      <c r="I467" s="109">
        <f>WORKDAY(H467,2)</f>
        <v>46169</v>
      </c>
      <c r="J467" s="110"/>
      <c r="K467" s="110"/>
      <c r="L467" s="111"/>
      <c r="M467" s="66" t="s">
        <v>4453</v>
      </c>
      <c r="N467" s="66"/>
      <c r="O467" s="112" t="str">
        <f t="shared" si="36"/>
        <v/>
      </c>
      <c r="P467" s="111"/>
    </row>
    <row r="468" spans="1:16" ht="19.5" customHeight="1" x14ac:dyDescent="0.25">
      <c r="A468" s="104" t="s">
        <v>4426</v>
      </c>
      <c r="B468" s="66" t="s">
        <v>3827</v>
      </c>
      <c r="C468" s="66" t="s">
        <v>53</v>
      </c>
      <c r="D468" s="105" t="s">
        <v>4451</v>
      </c>
      <c r="E468" s="106" t="s">
        <v>30</v>
      </c>
      <c r="F468" s="107" t="s">
        <v>4915</v>
      </c>
      <c r="G468" s="108">
        <v>1.75</v>
      </c>
      <c r="H468" s="109">
        <f>WORKDAY(I434,1)</f>
        <v>46167</v>
      </c>
      <c r="I468" s="109">
        <f>WORKDAY(H468,1)</f>
        <v>46168</v>
      </c>
      <c r="J468" s="110"/>
      <c r="K468" s="110"/>
      <c r="L468" s="111"/>
      <c r="M468" s="66" t="s">
        <v>4453</v>
      </c>
      <c r="N468" s="66"/>
      <c r="O468" s="112" t="str">
        <f t="shared" ref="O468:O485" si="37">IF(AND(J468&lt;&gt;"",K468&lt;&gt;""),NETWORKDAYS(J468,K468)-1-G468,"")</f>
        <v/>
      </c>
      <c r="P468" s="111"/>
    </row>
    <row r="469" spans="1:16" ht="19.5" customHeight="1" x14ac:dyDescent="0.25">
      <c r="A469" s="104" t="s">
        <v>4426</v>
      </c>
      <c r="B469" s="66" t="s">
        <v>3827</v>
      </c>
      <c r="C469" s="66" t="s">
        <v>64</v>
      </c>
      <c r="D469" s="105" t="s">
        <v>4451</v>
      </c>
      <c r="E469" s="106" t="s">
        <v>30</v>
      </c>
      <c r="F469" s="107" t="s">
        <v>4916</v>
      </c>
      <c r="G469" s="108">
        <v>1.75</v>
      </c>
      <c r="H469" s="109">
        <f>WORKDAY(I434,1)</f>
        <v>46167</v>
      </c>
      <c r="I469" s="109">
        <f>WORKDAY(H469,1)</f>
        <v>46168</v>
      </c>
      <c r="J469" s="110"/>
      <c r="K469" s="110"/>
      <c r="L469" s="111"/>
      <c r="M469" s="66" t="s">
        <v>4453</v>
      </c>
      <c r="N469" s="66"/>
      <c r="O469" s="112" t="str">
        <f t="shared" si="37"/>
        <v/>
      </c>
      <c r="P469" s="111"/>
    </row>
    <row r="470" spans="1:16" ht="19.5" customHeight="1" x14ac:dyDescent="0.25">
      <c r="A470" s="104" t="s">
        <v>4426</v>
      </c>
      <c r="B470" s="66" t="s">
        <v>3827</v>
      </c>
      <c r="C470" s="66" t="s">
        <v>72</v>
      </c>
      <c r="D470" s="105" t="s">
        <v>4451</v>
      </c>
      <c r="E470" s="106" t="s">
        <v>30</v>
      </c>
      <c r="F470" s="107" t="s">
        <v>4917</v>
      </c>
      <c r="G470" s="108">
        <v>3</v>
      </c>
      <c r="H470" s="109">
        <f>WORKDAY(I434,1)</f>
        <v>46167</v>
      </c>
      <c r="I470" s="109">
        <f>WORKDAY(H470,2)</f>
        <v>46169</v>
      </c>
      <c r="J470" s="110"/>
      <c r="K470" s="110"/>
      <c r="L470" s="111"/>
      <c r="M470" s="66" t="s">
        <v>4453</v>
      </c>
      <c r="N470" s="66"/>
      <c r="O470" s="112" t="str">
        <f t="shared" si="37"/>
        <v/>
      </c>
      <c r="P470" s="111"/>
    </row>
    <row r="471" spans="1:16" ht="19.5" customHeight="1" x14ac:dyDescent="0.25">
      <c r="A471" s="104" t="s">
        <v>4426</v>
      </c>
      <c r="B471" s="66" t="s">
        <v>3827</v>
      </c>
      <c r="C471" s="66" t="s">
        <v>80</v>
      </c>
      <c r="D471" s="105" t="s">
        <v>4451</v>
      </c>
      <c r="E471" s="106" t="s">
        <v>30</v>
      </c>
      <c r="F471" s="107" t="s">
        <v>4918</v>
      </c>
      <c r="G471" s="108">
        <v>3</v>
      </c>
      <c r="H471" s="109">
        <f>WORKDAY(I434,1)</f>
        <v>46167</v>
      </c>
      <c r="I471" s="109">
        <f>WORKDAY(H471,2)</f>
        <v>46169</v>
      </c>
      <c r="J471" s="110"/>
      <c r="K471" s="110"/>
      <c r="L471" s="111"/>
      <c r="M471" s="66" t="s">
        <v>4453</v>
      </c>
      <c r="N471" s="66"/>
      <c r="O471" s="112" t="str">
        <f t="shared" si="37"/>
        <v/>
      </c>
      <c r="P471" s="111"/>
    </row>
    <row r="472" spans="1:16" ht="19.5" customHeight="1" x14ac:dyDescent="0.25">
      <c r="A472" s="104" t="s">
        <v>4426</v>
      </c>
      <c r="B472" s="66" t="s">
        <v>3827</v>
      </c>
      <c r="C472" s="66" t="s">
        <v>88</v>
      </c>
      <c r="D472" s="105" t="s">
        <v>4451</v>
      </c>
      <c r="E472" s="106" t="s">
        <v>30</v>
      </c>
      <c r="F472" s="107" t="s">
        <v>4919</v>
      </c>
      <c r="G472" s="108">
        <v>0.5</v>
      </c>
      <c r="H472" s="109">
        <f>WORKDAY(I434,1)</f>
        <v>46167</v>
      </c>
      <c r="I472" s="109">
        <f>H472</f>
        <v>46167</v>
      </c>
      <c r="J472" s="110"/>
      <c r="K472" s="110"/>
      <c r="L472" s="111"/>
      <c r="M472" s="66" t="s">
        <v>4453</v>
      </c>
      <c r="N472" s="66"/>
      <c r="O472" s="112" t="str">
        <f t="shared" si="37"/>
        <v/>
      </c>
      <c r="P472" s="111"/>
    </row>
    <row r="473" spans="1:16" ht="19.5" customHeight="1" x14ac:dyDescent="0.25">
      <c r="A473" s="104" t="s">
        <v>4426</v>
      </c>
      <c r="B473" s="66" t="s">
        <v>3827</v>
      </c>
      <c r="C473" s="66" t="s">
        <v>95</v>
      </c>
      <c r="D473" s="105" t="s">
        <v>4451</v>
      </c>
      <c r="E473" s="106" t="s">
        <v>30</v>
      </c>
      <c r="F473" s="107" t="s">
        <v>4920</v>
      </c>
      <c r="G473" s="108">
        <v>1.75</v>
      </c>
      <c r="H473" s="109">
        <f>WORKDAY(I434,1)</f>
        <v>46167</v>
      </c>
      <c r="I473" s="109">
        <f>WORKDAY(H473,1)</f>
        <v>46168</v>
      </c>
      <c r="J473" s="110"/>
      <c r="K473" s="110"/>
      <c r="L473" s="111"/>
      <c r="M473" s="66" t="s">
        <v>4453</v>
      </c>
      <c r="N473" s="66"/>
      <c r="O473" s="112" t="str">
        <f t="shared" si="37"/>
        <v/>
      </c>
      <c r="P473" s="111"/>
    </row>
    <row r="474" spans="1:16" ht="19.5" customHeight="1" x14ac:dyDescent="0.25">
      <c r="A474" s="113" t="s">
        <v>4426</v>
      </c>
      <c r="B474" s="67" t="s">
        <v>3694</v>
      </c>
      <c r="C474" s="67" t="s">
        <v>120</v>
      </c>
      <c r="D474" s="114" t="s">
        <v>4451</v>
      </c>
      <c r="E474" s="115" t="s">
        <v>116</v>
      </c>
      <c r="F474" s="116" t="s">
        <v>4921</v>
      </c>
      <c r="G474" s="117">
        <v>1.25</v>
      </c>
      <c r="H474" s="118">
        <f>WORKDAY(I434,1)</f>
        <v>46167</v>
      </c>
      <c r="I474" s="118">
        <f t="shared" ref="I474:I479" si="38">H474</f>
        <v>46167</v>
      </c>
      <c r="J474" s="110"/>
      <c r="K474" s="110"/>
      <c r="L474" s="119"/>
      <c r="M474" s="67" t="s">
        <v>4453</v>
      </c>
      <c r="N474" s="67"/>
      <c r="O474" s="112" t="str">
        <f t="shared" si="37"/>
        <v/>
      </c>
      <c r="P474" s="119"/>
    </row>
    <row r="475" spans="1:16" ht="19.5" customHeight="1" x14ac:dyDescent="0.25">
      <c r="A475" s="113" t="s">
        <v>4426</v>
      </c>
      <c r="B475" s="67" t="s">
        <v>3763</v>
      </c>
      <c r="C475" s="67" t="s">
        <v>112</v>
      </c>
      <c r="D475" s="114" t="s">
        <v>4451</v>
      </c>
      <c r="E475" s="115" t="s">
        <v>116</v>
      </c>
      <c r="F475" s="116" t="s">
        <v>4922</v>
      </c>
      <c r="G475" s="117">
        <v>1.25</v>
      </c>
      <c r="H475" s="118">
        <f>WORKDAY(I434,1)</f>
        <v>46167</v>
      </c>
      <c r="I475" s="118">
        <f t="shared" si="38"/>
        <v>46167</v>
      </c>
      <c r="J475" s="110"/>
      <c r="K475" s="110"/>
      <c r="L475" s="119"/>
      <c r="M475" s="67" t="s">
        <v>4453</v>
      </c>
      <c r="N475" s="67"/>
      <c r="O475" s="112" t="str">
        <f t="shared" si="37"/>
        <v/>
      </c>
      <c r="P475" s="119"/>
    </row>
    <row r="476" spans="1:16" ht="19.5" customHeight="1" x14ac:dyDescent="0.25">
      <c r="A476" s="113" t="s">
        <v>4426</v>
      </c>
      <c r="B476" s="67" t="s">
        <v>3827</v>
      </c>
      <c r="C476" s="67" t="s">
        <v>112</v>
      </c>
      <c r="D476" s="114" t="s">
        <v>4451</v>
      </c>
      <c r="E476" s="115" t="s">
        <v>116</v>
      </c>
      <c r="F476" s="116" t="s">
        <v>4923</v>
      </c>
      <c r="G476" s="117">
        <v>1</v>
      </c>
      <c r="H476" s="118">
        <f>WORKDAY(I434,1)</f>
        <v>46167</v>
      </c>
      <c r="I476" s="118">
        <f t="shared" si="38"/>
        <v>46167</v>
      </c>
      <c r="J476" s="110"/>
      <c r="K476" s="110"/>
      <c r="L476" s="119"/>
      <c r="M476" s="67" t="s">
        <v>4453</v>
      </c>
      <c r="N476" s="67"/>
      <c r="O476" s="112" t="str">
        <f t="shared" si="37"/>
        <v/>
      </c>
      <c r="P476" s="119"/>
    </row>
    <row r="477" spans="1:16" ht="19.5" customHeight="1" x14ac:dyDescent="0.25">
      <c r="A477" s="120" t="s">
        <v>4426</v>
      </c>
      <c r="B477" s="68" t="s">
        <v>3503</v>
      </c>
      <c r="C477" s="68" t="s">
        <v>157</v>
      </c>
      <c r="D477" s="121" t="s">
        <v>4451</v>
      </c>
      <c r="E477" s="122" t="s">
        <v>161</v>
      </c>
      <c r="F477" s="123" t="s">
        <v>4924</v>
      </c>
      <c r="G477" s="124">
        <v>1.25</v>
      </c>
      <c r="H477" s="125">
        <f>WORKDAY(MAX(I473,I476),1)</f>
        <v>46169</v>
      </c>
      <c r="I477" s="125">
        <f t="shared" si="38"/>
        <v>46169</v>
      </c>
      <c r="J477" s="110"/>
      <c r="K477" s="110"/>
      <c r="L477" s="126"/>
      <c r="M477" s="68" t="s">
        <v>4453</v>
      </c>
      <c r="N477" s="68"/>
      <c r="O477" s="112" t="str">
        <f t="shared" si="37"/>
        <v/>
      </c>
      <c r="P477" s="126"/>
    </row>
    <row r="478" spans="1:16" ht="19.5" customHeight="1" x14ac:dyDescent="0.25">
      <c r="A478" s="120" t="s">
        <v>4426</v>
      </c>
      <c r="B478" s="68" t="s">
        <v>3503</v>
      </c>
      <c r="C478" s="68" t="s">
        <v>166</v>
      </c>
      <c r="D478" s="121" t="s">
        <v>4451</v>
      </c>
      <c r="E478" s="122" t="s">
        <v>161</v>
      </c>
      <c r="F478" s="123" t="s">
        <v>4925</v>
      </c>
      <c r="G478" s="124">
        <v>1.25</v>
      </c>
      <c r="H478" s="125">
        <f>WORKDAY(MAX(I473,I476),1)</f>
        <v>46169</v>
      </c>
      <c r="I478" s="125">
        <f t="shared" si="38"/>
        <v>46169</v>
      </c>
      <c r="J478" s="110"/>
      <c r="K478" s="110"/>
      <c r="L478" s="126"/>
      <c r="M478" s="68" t="s">
        <v>4453</v>
      </c>
      <c r="N478" s="68"/>
      <c r="O478" s="112" t="str">
        <f t="shared" si="37"/>
        <v/>
      </c>
      <c r="P478" s="126"/>
    </row>
    <row r="479" spans="1:16" ht="19.5" customHeight="1" x14ac:dyDescent="0.25">
      <c r="A479" s="120" t="s">
        <v>4426</v>
      </c>
      <c r="B479" s="68" t="s">
        <v>3503</v>
      </c>
      <c r="C479" s="68" t="s">
        <v>1489</v>
      </c>
      <c r="D479" s="121" t="s">
        <v>4451</v>
      </c>
      <c r="E479" s="122" t="s">
        <v>161</v>
      </c>
      <c r="F479" s="123" t="s">
        <v>4926</v>
      </c>
      <c r="G479" s="124">
        <v>0.5</v>
      </c>
      <c r="H479" s="125">
        <f>WORKDAY(MAX(I473,I476),1)</f>
        <v>46169</v>
      </c>
      <c r="I479" s="125">
        <f t="shared" si="38"/>
        <v>46169</v>
      </c>
      <c r="J479" s="110"/>
      <c r="K479" s="110"/>
      <c r="L479" s="126"/>
      <c r="M479" s="68" t="s">
        <v>4453</v>
      </c>
      <c r="N479" s="68"/>
      <c r="O479" s="112" t="str">
        <f t="shared" si="37"/>
        <v/>
      </c>
      <c r="P479" s="126"/>
    </row>
    <row r="480" spans="1:16" ht="19.5" customHeight="1" x14ac:dyDescent="0.25">
      <c r="A480" s="120" t="s">
        <v>4426</v>
      </c>
      <c r="B480" s="68" t="s">
        <v>3631</v>
      </c>
      <c r="C480" s="68" t="s">
        <v>157</v>
      </c>
      <c r="D480" s="121" t="s">
        <v>4451</v>
      </c>
      <c r="E480" s="122" t="s">
        <v>161</v>
      </c>
      <c r="F480" s="123" t="s">
        <v>4927</v>
      </c>
      <c r="G480" s="124">
        <v>2.5</v>
      </c>
      <c r="H480" s="125">
        <f>WORKDAY(MAX(I473,I476),1)</f>
        <v>46169</v>
      </c>
      <c r="I480" s="125">
        <f>WORKDAY(H480,1)</f>
        <v>46170</v>
      </c>
      <c r="J480" s="110"/>
      <c r="K480" s="110"/>
      <c r="L480" s="126"/>
      <c r="M480" s="68" t="s">
        <v>4453</v>
      </c>
      <c r="N480" s="68"/>
      <c r="O480" s="112" t="str">
        <f t="shared" si="37"/>
        <v/>
      </c>
      <c r="P480" s="126"/>
    </row>
    <row r="481" spans="1:16" ht="19.5" customHeight="1" x14ac:dyDescent="0.25">
      <c r="A481" s="120" t="s">
        <v>4426</v>
      </c>
      <c r="B481" s="68" t="s">
        <v>3694</v>
      </c>
      <c r="C481" s="68" t="s">
        <v>157</v>
      </c>
      <c r="D481" s="121" t="s">
        <v>4451</v>
      </c>
      <c r="E481" s="122" t="s">
        <v>161</v>
      </c>
      <c r="F481" s="123" t="s">
        <v>4928</v>
      </c>
      <c r="G481" s="124">
        <v>1.75</v>
      </c>
      <c r="H481" s="125">
        <f>WORKDAY(MAX(I473,I476),1)</f>
        <v>46169</v>
      </c>
      <c r="I481" s="125">
        <f>WORKDAY(H481,1)</f>
        <v>46170</v>
      </c>
      <c r="J481" s="110"/>
      <c r="K481" s="110"/>
      <c r="L481" s="126"/>
      <c r="M481" s="68" t="s">
        <v>4453</v>
      </c>
      <c r="N481" s="68"/>
      <c r="O481" s="112" t="str">
        <f t="shared" si="37"/>
        <v/>
      </c>
      <c r="P481" s="126"/>
    </row>
    <row r="482" spans="1:16" ht="19.5" customHeight="1" x14ac:dyDescent="0.25">
      <c r="A482" s="120" t="s">
        <v>4426</v>
      </c>
      <c r="B482" s="68" t="s">
        <v>3694</v>
      </c>
      <c r="C482" s="68" t="s">
        <v>166</v>
      </c>
      <c r="D482" s="121" t="s">
        <v>4451</v>
      </c>
      <c r="E482" s="122" t="s">
        <v>161</v>
      </c>
      <c r="F482" s="123" t="s">
        <v>4929</v>
      </c>
      <c r="G482" s="124">
        <v>1.25</v>
      </c>
      <c r="H482" s="125">
        <f>WORKDAY(MAX(I473,I476),1)</f>
        <v>46169</v>
      </c>
      <c r="I482" s="125">
        <f>H482</f>
        <v>46169</v>
      </c>
      <c r="J482" s="110"/>
      <c r="K482" s="110"/>
      <c r="L482" s="126"/>
      <c r="M482" s="68" t="s">
        <v>4453</v>
      </c>
      <c r="N482" s="68"/>
      <c r="O482" s="112" t="str">
        <f t="shared" si="37"/>
        <v/>
      </c>
      <c r="P482" s="126"/>
    </row>
    <row r="483" spans="1:16" ht="19.5" customHeight="1" x14ac:dyDescent="0.25">
      <c r="A483" s="120" t="s">
        <v>4426</v>
      </c>
      <c r="B483" s="68" t="s">
        <v>3763</v>
      </c>
      <c r="C483" s="68" t="s">
        <v>157</v>
      </c>
      <c r="D483" s="121" t="s">
        <v>4451</v>
      </c>
      <c r="E483" s="122" t="s">
        <v>161</v>
      </c>
      <c r="F483" s="123" t="s">
        <v>4930</v>
      </c>
      <c r="G483" s="124">
        <v>2.5</v>
      </c>
      <c r="H483" s="125">
        <f>WORKDAY(MAX(I473,I476),1)</f>
        <v>46169</v>
      </c>
      <c r="I483" s="125">
        <f>WORKDAY(H483,1)</f>
        <v>46170</v>
      </c>
      <c r="J483" s="110"/>
      <c r="K483" s="110"/>
      <c r="L483" s="126"/>
      <c r="M483" s="68" t="s">
        <v>4453</v>
      </c>
      <c r="N483" s="68"/>
      <c r="O483" s="112" t="str">
        <f t="shared" si="37"/>
        <v/>
      </c>
      <c r="P483" s="126"/>
    </row>
    <row r="484" spans="1:16" ht="19.5" customHeight="1" x14ac:dyDescent="0.25">
      <c r="A484" s="120" t="s">
        <v>4426</v>
      </c>
      <c r="B484" s="68" t="s">
        <v>3827</v>
      </c>
      <c r="C484" s="68" t="s">
        <v>157</v>
      </c>
      <c r="D484" s="121" t="s">
        <v>4451</v>
      </c>
      <c r="E484" s="122" t="s">
        <v>161</v>
      </c>
      <c r="F484" s="123" t="s">
        <v>4931</v>
      </c>
      <c r="G484" s="124">
        <v>2.5</v>
      </c>
      <c r="H484" s="125">
        <f>WORKDAY(MAX(I473,I476),1)</f>
        <v>46169</v>
      </c>
      <c r="I484" s="125">
        <f>WORKDAY(H484,1)</f>
        <v>46170</v>
      </c>
      <c r="J484" s="110"/>
      <c r="K484" s="110"/>
      <c r="L484" s="126"/>
      <c r="M484" s="68" t="s">
        <v>4453</v>
      </c>
      <c r="N484" s="68"/>
      <c r="O484" s="112" t="str">
        <f t="shared" si="37"/>
        <v/>
      </c>
      <c r="P484" s="126"/>
    </row>
    <row r="485" spans="1:16" ht="19.5" customHeight="1" x14ac:dyDescent="0.25">
      <c r="A485" s="120" t="s">
        <v>4426</v>
      </c>
      <c r="B485" s="68" t="s">
        <v>3827</v>
      </c>
      <c r="C485" s="68" t="s">
        <v>166</v>
      </c>
      <c r="D485" s="121" t="s">
        <v>4451</v>
      </c>
      <c r="E485" s="122" t="s">
        <v>161</v>
      </c>
      <c r="F485" s="123" t="s">
        <v>4932</v>
      </c>
      <c r="G485" s="124">
        <v>2.5</v>
      </c>
      <c r="H485" s="125">
        <f>WORKDAY(MAX(I473,I476),1)</f>
        <v>46169</v>
      </c>
      <c r="I485" s="125">
        <f>WORKDAY(H485,1)</f>
        <v>46170</v>
      </c>
      <c r="J485" s="110"/>
      <c r="K485" s="110"/>
      <c r="L485" s="126"/>
      <c r="M485" s="68" t="s">
        <v>4453</v>
      </c>
      <c r="N485" s="68"/>
      <c r="O485" s="112" t="str">
        <f t="shared" si="37"/>
        <v/>
      </c>
      <c r="P485" s="126"/>
    </row>
    <row r="486" spans="1:16" ht="19.5" customHeight="1" x14ac:dyDescent="0.25">
      <c r="A486" s="131" t="s">
        <v>4933</v>
      </c>
      <c r="J486" s="132"/>
      <c r="K486" s="132"/>
    </row>
    <row r="487" spans="1:16" ht="19.5" customHeight="1" x14ac:dyDescent="0.25">
      <c r="A487" s="104" t="s">
        <v>4428</v>
      </c>
      <c r="B487" s="66" t="s">
        <v>2691</v>
      </c>
      <c r="C487" s="66" t="s">
        <v>26</v>
      </c>
      <c r="D487" s="105" t="s">
        <v>4451</v>
      </c>
      <c r="E487" s="106" t="s">
        <v>30</v>
      </c>
      <c r="F487" s="107" t="s">
        <v>4934</v>
      </c>
      <c r="G487" s="108">
        <v>1</v>
      </c>
      <c r="H487" s="109">
        <f>WORKDAY(I485,1)</f>
        <v>46171</v>
      </c>
      <c r="I487" s="109">
        <f>H487</f>
        <v>46171</v>
      </c>
      <c r="J487" s="110"/>
      <c r="K487" s="110"/>
      <c r="L487" s="111"/>
      <c r="M487" s="66" t="s">
        <v>4453</v>
      </c>
      <c r="N487" s="66"/>
      <c r="O487" s="112" t="str">
        <f t="shared" ref="O487:O518" si="39">IF(AND(J487&lt;&gt;"",K487&lt;&gt;""),NETWORKDAYS(J487,K487)-1-G487,"")</f>
        <v/>
      </c>
      <c r="P487" s="111"/>
    </row>
    <row r="488" spans="1:16" ht="19.5" customHeight="1" x14ac:dyDescent="0.25">
      <c r="A488" s="104" t="s">
        <v>4428</v>
      </c>
      <c r="B488" s="66" t="s">
        <v>2691</v>
      </c>
      <c r="C488" s="66" t="s">
        <v>38</v>
      </c>
      <c r="D488" s="105" t="s">
        <v>4451</v>
      </c>
      <c r="E488" s="106" t="s">
        <v>30</v>
      </c>
      <c r="F488" s="107" t="s">
        <v>4935</v>
      </c>
      <c r="G488" s="108">
        <v>1</v>
      </c>
      <c r="H488" s="109">
        <f>WORKDAY(I485,1)</f>
        <v>46171</v>
      </c>
      <c r="I488" s="109">
        <f>H488</f>
        <v>46171</v>
      </c>
      <c r="J488" s="110"/>
      <c r="K488" s="110"/>
      <c r="L488" s="111"/>
      <c r="M488" s="66" t="s">
        <v>4453</v>
      </c>
      <c r="N488" s="66"/>
      <c r="O488" s="112" t="str">
        <f t="shared" si="39"/>
        <v/>
      </c>
      <c r="P488" s="111"/>
    </row>
    <row r="489" spans="1:16" ht="19.5" customHeight="1" x14ac:dyDescent="0.25">
      <c r="A489" s="104" t="s">
        <v>4428</v>
      </c>
      <c r="B489" s="66" t="s">
        <v>2691</v>
      </c>
      <c r="C489" s="66" t="s">
        <v>46</v>
      </c>
      <c r="D489" s="105" t="s">
        <v>4451</v>
      </c>
      <c r="E489" s="106" t="s">
        <v>30</v>
      </c>
      <c r="F489" s="107" t="s">
        <v>4936</v>
      </c>
      <c r="G489" s="108">
        <v>1</v>
      </c>
      <c r="H489" s="109">
        <f>WORKDAY(I485,1)</f>
        <v>46171</v>
      </c>
      <c r="I489" s="109">
        <f>H489</f>
        <v>46171</v>
      </c>
      <c r="J489" s="110"/>
      <c r="K489" s="110"/>
      <c r="L489" s="111"/>
      <c r="M489" s="66" t="s">
        <v>4453</v>
      </c>
      <c r="N489" s="66"/>
      <c r="O489" s="112" t="str">
        <f t="shared" si="39"/>
        <v/>
      </c>
      <c r="P489" s="111"/>
    </row>
    <row r="490" spans="1:16" ht="19.5" customHeight="1" x14ac:dyDescent="0.25">
      <c r="A490" s="104" t="s">
        <v>4428</v>
      </c>
      <c r="B490" s="66" t="s">
        <v>2757</v>
      </c>
      <c r="C490" s="66" t="s">
        <v>26</v>
      </c>
      <c r="D490" s="105" t="s">
        <v>4451</v>
      </c>
      <c r="E490" s="106" t="s">
        <v>30</v>
      </c>
      <c r="F490" s="107" t="s">
        <v>4937</v>
      </c>
      <c r="G490" s="108">
        <v>1.25</v>
      </c>
      <c r="H490" s="109">
        <f>WORKDAY(I485,1)</f>
        <v>46171</v>
      </c>
      <c r="I490" s="109">
        <f>H490</f>
        <v>46171</v>
      </c>
      <c r="J490" s="110"/>
      <c r="K490" s="110"/>
      <c r="L490" s="111"/>
      <c r="M490" s="66" t="s">
        <v>4453</v>
      </c>
      <c r="N490" s="66"/>
      <c r="O490" s="112" t="str">
        <f t="shared" si="39"/>
        <v/>
      </c>
      <c r="P490" s="111"/>
    </row>
    <row r="491" spans="1:16" ht="19.5" customHeight="1" x14ac:dyDescent="0.25">
      <c r="A491" s="104" t="s">
        <v>4428</v>
      </c>
      <c r="B491" s="66" t="s">
        <v>2757</v>
      </c>
      <c r="C491" s="66" t="s">
        <v>38</v>
      </c>
      <c r="D491" s="105" t="s">
        <v>4451</v>
      </c>
      <c r="E491" s="106" t="s">
        <v>30</v>
      </c>
      <c r="F491" s="107" t="s">
        <v>4938</v>
      </c>
      <c r="G491" s="108">
        <v>1.75</v>
      </c>
      <c r="H491" s="109">
        <f>WORKDAY(I485,1)</f>
        <v>46171</v>
      </c>
      <c r="I491" s="109">
        <f t="shared" ref="I491:I498" si="40">WORKDAY(H491,1)</f>
        <v>46174</v>
      </c>
      <c r="J491" s="110"/>
      <c r="K491" s="110"/>
      <c r="L491" s="111"/>
      <c r="M491" s="66" t="s">
        <v>4453</v>
      </c>
      <c r="N491" s="66"/>
      <c r="O491" s="112" t="str">
        <f t="shared" si="39"/>
        <v/>
      </c>
      <c r="P491" s="111"/>
    </row>
    <row r="492" spans="1:16" ht="19.5" customHeight="1" x14ac:dyDescent="0.25">
      <c r="A492" s="104" t="s">
        <v>4428</v>
      </c>
      <c r="B492" s="66" t="s">
        <v>2757</v>
      </c>
      <c r="C492" s="66" t="s">
        <v>46</v>
      </c>
      <c r="D492" s="105" t="s">
        <v>4451</v>
      </c>
      <c r="E492" s="106" t="s">
        <v>30</v>
      </c>
      <c r="F492" s="107" t="s">
        <v>4939</v>
      </c>
      <c r="G492" s="108">
        <v>1.75</v>
      </c>
      <c r="H492" s="109">
        <f>WORKDAY(I485,1)</f>
        <v>46171</v>
      </c>
      <c r="I492" s="109">
        <f t="shared" si="40"/>
        <v>46174</v>
      </c>
      <c r="J492" s="110"/>
      <c r="K492" s="110"/>
      <c r="L492" s="111"/>
      <c r="M492" s="66" t="s">
        <v>4453</v>
      </c>
      <c r="N492" s="66"/>
      <c r="O492" s="112" t="str">
        <f t="shared" si="39"/>
        <v/>
      </c>
      <c r="P492" s="111"/>
    </row>
    <row r="493" spans="1:16" ht="19.5" customHeight="1" x14ac:dyDescent="0.25">
      <c r="A493" s="104" t="s">
        <v>4428</v>
      </c>
      <c r="B493" s="66" t="s">
        <v>2757</v>
      </c>
      <c r="C493" s="66" t="s">
        <v>53</v>
      </c>
      <c r="D493" s="105" t="s">
        <v>4451</v>
      </c>
      <c r="E493" s="106" t="s">
        <v>30</v>
      </c>
      <c r="F493" s="107" t="s">
        <v>4940</v>
      </c>
      <c r="G493" s="108">
        <v>1.75</v>
      </c>
      <c r="H493" s="109">
        <f>WORKDAY(I485,1)</f>
        <v>46171</v>
      </c>
      <c r="I493" s="109">
        <f t="shared" si="40"/>
        <v>46174</v>
      </c>
      <c r="J493" s="110"/>
      <c r="K493" s="110"/>
      <c r="L493" s="111"/>
      <c r="M493" s="66" t="s">
        <v>4453</v>
      </c>
      <c r="N493" s="66"/>
      <c r="O493" s="112" t="str">
        <f t="shared" si="39"/>
        <v/>
      </c>
      <c r="P493" s="111"/>
    </row>
    <row r="494" spans="1:16" ht="19.5" customHeight="1" x14ac:dyDescent="0.25">
      <c r="A494" s="104" t="s">
        <v>4428</v>
      </c>
      <c r="B494" s="66" t="s">
        <v>2757</v>
      </c>
      <c r="C494" s="66" t="s">
        <v>64</v>
      </c>
      <c r="D494" s="105" t="s">
        <v>4451</v>
      </c>
      <c r="E494" s="106" t="s">
        <v>30</v>
      </c>
      <c r="F494" s="107" t="s">
        <v>4941</v>
      </c>
      <c r="G494" s="108">
        <v>1.75</v>
      </c>
      <c r="H494" s="109">
        <f>WORKDAY(I485,1)</f>
        <v>46171</v>
      </c>
      <c r="I494" s="109">
        <f t="shared" si="40"/>
        <v>46174</v>
      </c>
      <c r="J494" s="110"/>
      <c r="K494" s="110"/>
      <c r="L494" s="111"/>
      <c r="M494" s="66" t="s">
        <v>4453</v>
      </c>
      <c r="N494" s="66"/>
      <c r="O494" s="112" t="str">
        <f t="shared" si="39"/>
        <v/>
      </c>
      <c r="P494" s="111"/>
    </row>
    <row r="495" spans="1:16" ht="19.5" customHeight="1" x14ac:dyDescent="0.25">
      <c r="A495" s="104" t="s">
        <v>4428</v>
      </c>
      <c r="B495" s="66" t="s">
        <v>2868</v>
      </c>
      <c r="C495" s="66" t="s">
        <v>26</v>
      </c>
      <c r="D495" s="105" t="s">
        <v>4451</v>
      </c>
      <c r="E495" s="106" t="s">
        <v>30</v>
      </c>
      <c r="F495" s="107" t="s">
        <v>4942</v>
      </c>
      <c r="G495" s="108">
        <v>1.75</v>
      </c>
      <c r="H495" s="109">
        <f>WORKDAY(I485,1)</f>
        <v>46171</v>
      </c>
      <c r="I495" s="109">
        <f t="shared" si="40"/>
        <v>46174</v>
      </c>
      <c r="J495" s="110"/>
      <c r="K495" s="110"/>
      <c r="L495" s="111"/>
      <c r="M495" s="66" t="s">
        <v>4453</v>
      </c>
      <c r="N495" s="66"/>
      <c r="O495" s="112" t="str">
        <f t="shared" si="39"/>
        <v/>
      </c>
      <c r="P495" s="111"/>
    </row>
    <row r="496" spans="1:16" ht="19.5" customHeight="1" x14ac:dyDescent="0.25">
      <c r="A496" s="104" t="s">
        <v>4428</v>
      </c>
      <c r="B496" s="66" t="s">
        <v>2868</v>
      </c>
      <c r="C496" s="66" t="s">
        <v>38</v>
      </c>
      <c r="D496" s="105" t="s">
        <v>4451</v>
      </c>
      <c r="E496" s="106" t="s">
        <v>30</v>
      </c>
      <c r="F496" s="107" t="s">
        <v>4943</v>
      </c>
      <c r="G496" s="108">
        <v>2.5</v>
      </c>
      <c r="H496" s="109">
        <f>WORKDAY(I485,1)</f>
        <v>46171</v>
      </c>
      <c r="I496" s="109">
        <f t="shared" si="40"/>
        <v>46174</v>
      </c>
      <c r="J496" s="110"/>
      <c r="K496" s="110"/>
      <c r="L496" s="111"/>
      <c r="M496" s="66" t="s">
        <v>4453</v>
      </c>
      <c r="N496" s="66"/>
      <c r="O496" s="112" t="str">
        <f t="shared" si="39"/>
        <v/>
      </c>
      <c r="P496" s="111"/>
    </row>
    <row r="497" spans="1:16" ht="19.5" customHeight="1" x14ac:dyDescent="0.25">
      <c r="A497" s="104" t="s">
        <v>4428</v>
      </c>
      <c r="B497" s="66" t="s">
        <v>2868</v>
      </c>
      <c r="C497" s="66" t="s">
        <v>46</v>
      </c>
      <c r="D497" s="105" t="s">
        <v>4451</v>
      </c>
      <c r="E497" s="106" t="s">
        <v>30</v>
      </c>
      <c r="F497" s="107" t="s">
        <v>4944</v>
      </c>
      <c r="G497" s="108">
        <v>1.75</v>
      </c>
      <c r="H497" s="109">
        <f>WORKDAY(I485,1)</f>
        <v>46171</v>
      </c>
      <c r="I497" s="109">
        <f t="shared" si="40"/>
        <v>46174</v>
      </c>
      <c r="J497" s="110"/>
      <c r="K497" s="110"/>
      <c r="L497" s="111"/>
      <c r="M497" s="66" t="s">
        <v>4453</v>
      </c>
      <c r="N497" s="66"/>
      <c r="O497" s="112" t="str">
        <f t="shared" si="39"/>
        <v/>
      </c>
      <c r="P497" s="111"/>
    </row>
    <row r="498" spans="1:16" ht="19.5" customHeight="1" x14ac:dyDescent="0.25">
      <c r="A498" s="104" t="s">
        <v>4428</v>
      </c>
      <c r="B498" s="66" t="s">
        <v>2868</v>
      </c>
      <c r="C498" s="66" t="s">
        <v>53</v>
      </c>
      <c r="D498" s="105" t="s">
        <v>4451</v>
      </c>
      <c r="E498" s="106" t="s">
        <v>30</v>
      </c>
      <c r="F498" s="107" t="s">
        <v>4945</v>
      </c>
      <c r="G498" s="108">
        <v>1.75</v>
      </c>
      <c r="H498" s="109">
        <f>WORKDAY(I485,1)</f>
        <v>46171</v>
      </c>
      <c r="I498" s="109">
        <f t="shared" si="40"/>
        <v>46174</v>
      </c>
      <c r="J498" s="110"/>
      <c r="K498" s="110"/>
      <c r="L498" s="111"/>
      <c r="M498" s="66" t="s">
        <v>4453</v>
      </c>
      <c r="N498" s="66"/>
      <c r="O498" s="112" t="str">
        <f t="shared" si="39"/>
        <v/>
      </c>
      <c r="P498" s="111"/>
    </row>
    <row r="499" spans="1:16" ht="19.5" customHeight="1" x14ac:dyDescent="0.25">
      <c r="A499" s="104" t="s">
        <v>4428</v>
      </c>
      <c r="B499" s="66" t="s">
        <v>2966</v>
      </c>
      <c r="C499" s="66" t="s">
        <v>26</v>
      </c>
      <c r="D499" s="105" t="s">
        <v>4451</v>
      </c>
      <c r="E499" s="106" t="s">
        <v>30</v>
      </c>
      <c r="F499" s="107" t="s">
        <v>4946</v>
      </c>
      <c r="G499" s="108">
        <v>1</v>
      </c>
      <c r="H499" s="109">
        <f>WORKDAY(I485,1)</f>
        <v>46171</v>
      </c>
      <c r="I499" s="109">
        <f>H499</f>
        <v>46171</v>
      </c>
      <c r="J499" s="110"/>
      <c r="K499" s="110"/>
      <c r="L499" s="111"/>
      <c r="M499" s="66" t="s">
        <v>4453</v>
      </c>
      <c r="N499" s="66"/>
      <c r="O499" s="112" t="str">
        <f t="shared" si="39"/>
        <v/>
      </c>
      <c r="P499" s="111"/>
    </row>
    <row r="500" spans="1:16" ht="19.5" customHeight="1" x14ac:dyDescent="0.25">
      <c r="A500" s="104" t="s">
        <v>4428</v>
      </c>
      <c r="B500" s="66" t="s">
        <v>3918</v>
      </c>
      <c r="C500" s="66" t="s">
        <v>26</v>
      </c>
      <c r="D500" s="105" t="s">
        <v>4451</v>
      </c>
      <c r="E500" s="106" t="s">
        <v>30</v>
      </c>
      <c r="F500" s="107" t="s">
        <v>4947</v>
      </c>
      <c r="G500" s="108">
        <v>0.5</v>
      </c>
      <c r="H500" s="109">
        <f>WORKDAY(I485,1)</f>
        <v>46171</v>
      </c>
      <c r="I500" s="109">
        <f>H500</f>
        <v>46171</v>
      </c>
      <c r="J500" s="110"/>
      <c r="K500" s="110"/>
      <c r="L500" s="111"/>
      <c r="M500" s="66" t="s">
        <v>4453</v>
      </c>
      <c r="N500" s="66"/>
      <c r="O500" s="112" t="str">
        <f t="shared" si="39"/>
        <v/>
      </c>
      <c r="P500" s="111"/>
    </row>
    <row r="501" spans="1:16" ht="19.5" customHeight="1" x14ac:dyDescent="0.25">
      <c r="A501" s="104" t="s">
        <v>4428</v>
      </c>
      <c r="B501" s="66" t="s">
        <v>3918</v>
      </c>
      <c r="C501" s="66" t="s">
        <v>38</v>
      </c>
      <c r="D501" s="105" t="s">
        <v>4451</v>
      </c>
      <c r="E501" s="106" t="s">
        <v>30</v>
      </c>
      <c r="F501" s="107" t="s">
        <v>4948</v>
      </c>
      <c r="G501" s="108">
        <v>1.75</v>
      </c>
      <c r="H501" s="109">
        <f>WORKDAY(I485,1)</f>
        <v>46171</v>
      </c>
      <c r="I501" s="109">
        <f>WORKDAY(H501,1)</f>
        <v>46174</v>
      </c>
      <c r="J501" s="110"/>
      <c r="K501" s="110"/>
      <c r="L501" s="111"/>
      <c r="M501" s="66" t="s">
        <v>4453</v>
      </c>
      <c r="N501" s="66"/>
      <c r="O501" s="112" t="str">
        <f t="shared" si="39"/>
        <v/>
      </c>
      <c r="P501" s="111"/>
    </row>
    <row r="502" spans="1:16" ht="19.5" customHeight="1" x14ac:dyDescent="0.25">
      <c r="A502" s="104" t="s">
        <v>4428</v>
      </c>
      <c r="B502" s="66" t="s">
        <v>3918</v>
      </c>
      <c r="C502" s="66" t="s">
        <v>46</v>
      </c>
      <c r="D502" s="105" t="s">
        <v>4451</v>
      </c>
      <c r="E502" s="106" t="s">
        <v>30</v>
      </c>
      <c r="F502" s="107" t="s">
        <v>4949</v>
      </c>
      <c r="G502" s="108">
        <v>1.25</v>
      </c>
      <c r="H502" s="109">
        <f>WORKDAY(I485,1)</f>
        <v>46171</v>
      </c>
      <c r="I502" s="109">
        <f>H502</f>
        <v>46171</v>
      </c>
      <c r="J502" s="110"/>
      <c r="K502" s="110"/>
      <c r="L502" s="111"/>
      <c r="M502" s="66" t="s">
        <v>4453</v>
      </c>
      <c r="N502" s="66"/>
      <c r="O502" s="112" t="str">
        <f t="shared" si="39"/>
        <v/>
      </c>
      <c r="P502" s="111"/>
    </row>
    <row r="503" spans="1:16" ht="19.5" customHeight="1" x14ac:dyDescent="0.25">
      <c r="A503" s="104" t="s">
        <v>4428</v>
      </c>
      <c r="B503" s="66" t="s">
        <v>3918</v>
      </c>
      <c r="C503" s="66" t="s">
        <v>53</v>
      </c>
      <c r="D503" s="105" t="s">
        <v>4451</v>
      </c>
      <c r="E503" s="106" t="s">
        <v>30</v>
      </c>
      <c r="F503" s="107" t="s">
        <v>4950</v>
      </c>
      <c r="G503" s="108">
        <v>1.25</v>
      </c>
      <c r="H503" s="109">
        <f>WORKDAY(I485,1)</f>
        <v>46171</v>
      </c>
      <c r="I503" s="109">
        <f>H503</f>
        <v>46171</v>
      </c>
      <c r="J503" s="110"/>
      <c r="K503" s="110"/>
      <c r="L503" s="111"/>
      <c r="M503" s="66" t="s">
        <v>4453</v>
      </c>
      <c r="N503" s="66"/>
      <c r="O503" s="112" t="str">
        <f t="shared" si="39"/>
        <v/>
      </c>
      <c r="P503" s="111"/>
    </row>
    <row r="504" spans="1:16" ht="19.5" customHeight="1" x14ac:dyDescent="0.25">
      <c r="A504" s="104" t="s">
        <v>4428</v>
      </c>
      <c r="B504" s="66" t="s">
        <v>3918</v>
      </c>
      <c r="C504" s="66" t="s">
        <v>64</v>
      </c>
      <c r="D504" s="105" t="s">
        <v>4451</v>
      </c>
      <c r="E504" s="106" t="s">
        <v>30</v>
      </c>
      <c r="F504" s="107" t="s">
        <v>4951</v>
      </c>
      <c r="G504" s="108">
        <v>1.25</v>
      </c>
      <c r="H504" s="109">
        <f>WORKDAY(I485,1)</f>
        <v>46171</v>
      </c>
      <c r="I504" s="109">
        <f>H504</f>
        <v>46171</v>
      </c>
      <c r="J504" s="110"/>
      <c r="K504" s="110"/>
      <c r="L504" s="111"/>
      <c r="M504" s="66" t="s">
        <v>4453</v>
      </c>
      <c r="N504" s="66"/>
      <c r="O504" s="112" t="str">
        <f t="shared" si="39"/>
        <v/>
      </c>
      <c r="P504" s="111"/>
    </row>
    <row r="505" spans="1:16" ht="19.5" customHeight="1" x14ac:dyDescent="0.25">
      <c r="A505" s="104" t="s">
        <v>4428</v>
      </c>
      <c r="B505" s="66" t="s">
        <v>3918</v>
      </c>
      <c r="C505" s="66" t="s">
        <v>72</v>
      </c>
      <c r="D505" s="105" t="s">
        <v>4451</v>
      </c>
      <c r="E505" s="106" t="s">
        <v>30</v>
      </c>
      <c r="F505" s="107" t="s">
        <v>4952</v>
      </c>
      <c r="G505" s="108">
        <v>1.25</v>
      </c>
      <c r="H505" s="109">
        <f>WORKDAY(I485,1)</f>
        <v>46171</v>
      </c>
      <c r="I505" s="109">
        <f>H505</f>
        <v>46171</v>
      </c>
      <c r="J505" s="110"/>
      <c r="K505" s="110"/>
      <c r="L505" s="111"/>
      <c r="M505" s="66" t="s">
        <v>4453</v>
      </c>
      <c r="N505" s="66"/>
      <c r="O505" s="112" t="str">
        <f t="shared" si="39"/>
        <v/>
      </c>
      <c r="P505" s="111"/>
    </row>
    <row r="506" spans="1:16" ht="19.5" customHeight="1" x14ac:dyDescent="0.25">
      <c r="A506" s="104" t="s">
        <v>4428</v>
      </c>
      <c r="B506" s="66" t="s">
        <v>3994</v>
      </c>
      <c r="C506" s="66" t="s">
        <v>26</v>
      </c>
      <c r="D506" s="105" t="s">
        <v>4451</v>
      </c>
      <c r="E506" s="106" t="s">
        <v>30</v>
      </c>
      <c r="F506" s="107" t="s">
        <v>4953</v>
      </c>
      <c r="G506" s="108">
        <v>1.25</v>
      </c>
      <c r="H506" s="109">
        <f>WORKDAY(I485,1)</f>
        <v>46171</v>
      </c>
      <c r="I506" s="109">
        <f>H506</f>
        <v>46171</v>
      </c>
      <c r="J506" s="110"/>
      <c r="K506" s="110"/>
      <c r="L506" s="111"/>
      <c r="M506" s="66" t="s">
        <v>4453</v>
      </c>
      <c r="N506" s="66"/>
      <c r="O506" s="112" t="str">
        <f t="shared" si="39"/>
        <v/>
      </c>
      <c r="P506" s="111"/>
    </row>
    <row r="507" spans="1:16" ht="19.5" customHeight="1" x14ac:dyDescent="0.25">
      <c r="A507" s="104" t="s">
        <v>4428</v>
      </c>
      <c r="B507" s="66" t="s">
        <v>3994</v>
      </c>
      <c r="C507" s="66" t="s">
        <v>38</v>
      </c>
      <c r="D507" s="105" t="s">
        <v>4451</v>
      </c>
      <c r="E507" s="106" t="s">
        <v>30</v>
      </c>
      <c r="F507" s="107" t="s">
        <v>4954</v>
      </c>
      <c r="G507" s="108">
        <v>3</v>
      </c>
      <c r="H507" s="109">
        <f>WORKDAY(I485,1)</f>
        <v>46171</v>
      </c>
      <c r="I507" s="109">
        <f>WORKDAY(H507,2)</f>
        <v>46175</v>
      </c>
      <c r="J507" s="110"/>
      <c r="K507" s="110"/>
      <c r="L507" s="111"/>
      <c r="M507" s="66" t="s">
        <v>4453</v>
      </c>
      <c r="N507" s="66"/>
      <c r="O507" s="112" t="str">
        <f t="shared" si="39"/>
        <v/>
      </c>
      <c r="P507" s="111"/>
    </row>
    <row r="508" spans="1:16" ht="19.5" customHeight="1" x14ac:dyDescent="0.25">
      <c r="A508" s="104" t="s">
        <v>4428</v>
      </c>
      <c r="B508" s="66" t="s">
        <v>3994</v>
      </c>
      <c r="C508" s="66" t="s">
        <v>46</v>
      </c>
      <c r="D508" s="105" t="s">
        <v>4451</v>
      </c>
      <c r="E508" s="106" t="s">
        <v>30</v>
      </c>
      <c r="F508" s="107" t="s">
        <v>4955</v>
      </c>
      <c r="G508" s="108">
        <v>1.75</v>
      </c>
      <c r="H508" s="109">
        <f>WORKDAY(I485,1)</f>
        <v>46171</v>
      </c>
      <c r="I508" s="109">
        <f>WORKDAY(H508,1)</f>
        <v>46174</v>
      </c>
      <c r="J508" s="110"/>
      <c r="K508" s="110"/>
      <c r="L508" s="111"/>
      <c r="M508" s="66" t="s">
        <v>4453</v>
      </c>
      <c r="N508" s="66"/>
      <c r="O508" s="112" t="str">
        <f t="shared" si="39"/>
        <v/>
      </c>
      <c r="P508" s="111"/>
    </row>
    <row r="509" spans="1:16" ht="19.5" customHeight="1" x14ac:dyDescent="0.25">
      <c r="A509" s="104" t="s">
        <v>4428</v>
      </c>
      <c r="B509" s="66" t="s">
        <v>3994</v>
      </c>
      <c r="C509" s="66" t="s">
        <v>53</v>
      </c>
      <c r="D509" s="105" t="s">
        <v>4451</v>
      </c>
      <c r="E509" s="106" t="s">
        <v>30</v>
      </c>
      <c r="F509" s="107" t="s">
        <v>4956</v>
      </c>
      <c r="G509" s="108">
        <v>2.5</v>
      </c>
      <c r="H509" s="109">
        <f>WORKDAY(I485,1)</f>
        <v>46171</v>
      </c>
      <c r="I509" s="109">
        <f>WORKDAY(H509,1)</f>
        <v>46174</v>
      </c>
      <c r="J509" s="110"/>
      <c r="K509" s="110"/>
      <c r="L509" s="111"/>
      <c r="M509" s="66" t="s">
        <v>4453</v>
      </c>
      <c r="N509" s="66"/>
      <c r="O509" s="112" t="str">
        <f t="shared" si="39"/>
        <v/>
      </c>
      <c r="P509" s="111"/>
    </row>
    <row r="510" spans="1:16" ht="19.5" customHeight="1" x14ac:dyDescent="0.25">
      <c r="A510" s="104" t="s">
        <v>4428</v>
      </c>
      <c r="B510" s="66" t="s">
        <v>3994</v>
      </c>
      <c r="C510" s="66" t="s">
        <v>64</v>
      </c>
      <c r="D510" s="105" t="s">
        <v>4451</v>
      </c>
      <c r="E510" s="106" t="s">
        <v>30</v>
      </c>
      <c r="F510" s="107" t="s">
        <v>4957</v>
      </c>
      <c r="G510" s="108">
        <v>1.75</v>
      </c>
      <c r="H510" s="109">
        <f>WORKDAY(I485,1)</f>
        <v>46171</v>
      </c>
      <c r="I510" s="109">
        <f>WORKDAY(H510,1)</f>
        <v>46174</v>
      </c>
      <c r="J510" s="110"/>
      <c r="K510" s="110"/>
      <c r="L510" s="111"/>
      <c r="M510" s="66" t="s">
        <v>4453</v>
      </c>
      <c r="N510" s="66"/>
      <c r="O510" s="112" t="str">
        <f t="shared" si="39"/>
        <v/>
      </c>
      <c r="P510" s="111"/>
    </row>
    <row r="511" spans="1:16" ht="19.5" customHeight="1" x14ac:dyDescent="0.25">
      <c r="A511" s="104" t="s">
        <v>4428</v>
      </c>
      <c r="B511" s="66" t="s">
        <v>3994</v>
      </c>
      <c r="C511" s="66" t="s">
        <v>72</v>
      </c>
      <c r="D511" s="105" t="s">
        <v>4451</v>
      </c>
      <c r="E511" s="106" t="s">
        <v>30</v>
      </c>
      <c r="F511" s="107" t="s">
        <v>4958</v>
      </c>
      <c r="G511" s="108">
        <v>2.5</v>
      </c>
      <c r="H511" s="109">
        <f>WORKDAY(I485,1)</f>
        <v>46171</v>
      </c>
      <c r="I511" s="109">
        <f>WORKDAY(H511,1)</f>
        <v>46174</v>
      </c>
      <c r="J511" s="110"/>
      <c r="K511" s="110"/>
      <c r="L511" s="111"/>
      <c r="M511" s="66" t="s">
        <v>4453</v>
      </c>
      <c r="N511" s="66"/>
      <c r="O511" s="112" t="str">
        <f t="shared" si="39"/>
        <v/>
      </c>
      <c r="P511" s="111"/>
    </row>
    <row r="512" spans="1:16" ht="19.5" customHeight="1" x14ac:dyDescent="0.25">
      <c r="A512" s="104" t="s">
        <v>4428</v>
      </c>
      <c r="B512" s="66" t="s">
        <v>3994</v>
      </c>
      <c r="C512" s="66" t="s">
        <v>80</v>
      </c>
      <c r="D512" s="105" t="s">
        <v>4451</v>
      </c>
      <c r="E512" s="106" t="s">
        <v>30</v>
      </c>
      <c r="F512" s="107" t="s">
        <v>4959</v>
      </c>
      <c r="G512" s="108">
        <v>1.25</v>
      </c>
      <c r="H512" s="109">
        <f>WORKDAY(I485,1)</f>
        <v>46171</v>
      </c>
      <c r="I512" s="109">
        <f t="shared" ref="I512:I534" si="41">H512</f>
        <v>46171</v>
      </c>
      <c r="J512" s="110"/>
      <c r="K512" s="110"/>
      <c r="L512" s="111"/>
      <c r="M512" s="66" t="s">
        <v>4453</v>
      </c>
      <c r="N512" s="66"/>
      <c r="O512" s="112" t="str">
        <f t="shared" si="39"/>
        <v/>
      </c>
      <c r="P512" s="111"/>
    </row>
    <row r="513" spans="1:16" ht="19.5" customHeight="1" x14ac:dyDescent="0.25">
      <c r="A513" s="113" t="s">
        <v>4428</v>
      </c>
      <c r="B513" s="67" t="s">
        <v>2691</v>
      </c>
      <c r="C513" s="67" t="s">
        <v>112</v>
      </c>
      <c r="D513" s="114" t="s">
        <v>4451</v>
      </c>
      <c r="E513" s="115" t="s">
        <v>116</v>
      </c>
      <c r="F513" s="116" t="s">
        <v>4960</v>
      </c>
      <c r="G513" s="117">
        <v>1.25</v>
      </c>
      <c r="H513" s="118">
        <f>WORKDAY(I485,1)</f>
        <v>46171</v>
      </c>
      <c r="I513" s="118">
        <f t="shared" si="41"/>
        <v>46171</v>
      </c>
      <c r="J513" s="110"/>
      <c r="K513" s="110"/>
      <c r="L513" s="119"/>
      <c r="M513" s="67" t="s">
        <v>4453</v>
      </c>
      <c r="N513" s="67"/>
      <c r="O513" s="112" t="str">
        <f t="shared" si="39"/>
        <v/>
      </c>
      <c r="P513" s="119"/>
    </row>
    <row r="514" spans="1:16" ht="19.5" customHeight="1" x14ac:dyDescent="0.25">
      <c r="A514" s="113" t="s">
        <v>4428</v>
      </c>
      <c r="B514" s="67" t="s">
        <v>2691</v>
      </c>
      <c r="C514" s="67" t="s">
        <v>120</v>
      </c>
      <c r="D514" s="114" t="s">
        <v>4451</v>
      </c>
      <c r="E514" s="115" t="s">
        <v>116</v>
      </c>
      <c r="F514" s="116" t="s">
        <v>4961</v>
      </c>
      <c r="G514" s="117">
        <v>0.25</v>
      </c>
      <c r="H514" s="118">
        <f>WORKDAY(I485,1)</f>
        <v>46171</v>
      </c>
      <c r="I514" s="118">
        <f t="shared" si="41"/>
        <v>46171</v>
      </c>
      <c r="J514" s="110"/>
      <c r="K514" s="110"/>
      <c r="L514" s="119"/>
      <c r="M514" s="67" t="s">
        <v>4453</v>
      </c>
      <c r="N514" s="67"/>
      <c r="O514" s="112" t="str">
        <f t="shared" si="39"/>
        <v/>
      </c>
      <c r="P514" s="119"/>
    </row>
    <row r="515" spans="1:16" ht="19.5" customHeight="1" x14ac:dyDescent="0.25">
      <c r="A515" s="113" t="s">
        <v>4428</v>
      </c>
      <c r="B515" s="67" t="s">
        <v>2691</v>
      </c>
      <c r="C515" s="67" t="s">
        <v>127</v>
      </c>
      <c r="D515" s="114" t="s">
        <v>4451</v>
      </c>
      <c r="E515" s="115" t="s">
        <v>116</v>
      </c>
      <c r="F515" s="116" t="s">
        <v>4962</v>
      </c>
      <c r="G515" s="117">
        <v>0.5</v>
      </c>
      <c r="H515" s="118">
        <f>WORKDAY(I485,1)</f>
        <v>46171</v>
      </c>
      <c r="I515" s="118">
        <f t="shared" si="41"/>
        <v>46171</v>
      </c>
      <c r="J515" s="110"/>
      <c r="K515" s="110"/>
      <c r="L515" s="119"/>
      <c r="M515" s="67" t="s">
        <v>4453</v>
      </c>
      <c r="N515" s="67"/>
      <c r="O515" s="112" t="str">
        <f t="shared" si="39"/>
        <v/>
      </c>
      <c r="P515" s="119"/>
    </row>
    <row r="516" spans="1:16" ht="19.5" customHeight="1" x14ac:dyDescent="0.25">
      <c r="A516" s="113" t="s">
        <v>4428</v>
      </c>
      <c r="B516" s="67" t="s">
        <v>2691</v>
      </c>
      <c r="C516" s="67" t="s">
        <v>134</v>
      </c>
      <c r="D516" s="114" t="s">
        <v>4451</v>
      </c>
      <c r="E516" s="115" t="s">
        <v>116</v>
      </c>
      <c r="F516" s="116" t="s">
        <v>4963</v>
      </c>
      <c r="G516" s="117">
        <v>0.25</v>
      </c>
      <c r="H516" s="118">
        <f>WORKDAY(I485,1)</f>
        <v>46171</v>
      </c>
      <c r="I516" s="118">
        <f t="shared" si="41"/>
        <v>46171</v>
      </c>
      <c r="J516" s="110"/>
      <c r="K516" s="110"/>
      <c r="L516" s="119"/>
      <c r="M516" s="67" t="s">
        <v>4453</v>
      </c>
      <c r="N516" s="67"/>
      <c r="O516" s="112" t="str">
        <f t="shared" si="39"/>
        <v/>
      </c>
      <c r="P516" s="119"/>
    </row>
    <row r="517" spans="1:16" ht="19.5" customHeight="1" x14ac:dyDescent="0.25">
      <c r="A517" s="113" t="s">
        <v>4428</v>
      </c>
      <c r="B517" s="67" t="s">
        <v>2691</v>
      </c>
      <c r="C517" s="67" t="s">
        <v>142</v>
      </c>
      <c r="D517" s="114" t="s">
        <v>4451</v>
      </c>
      <c r="E517" s="115" t="s">
        <v>116</v>
      </c>
      <c r="F517" s="116" t="s">
        <v>4964</v>
      </c>
      <c r="G517" s="117">
        <v>0.25</v>
      </c>
      <c r="H517" s="118">
        <f>WORKDAY(I485,1)</f>
        <v>46171</v>
      </c>
      <c r="I517" s="118">
        <f t="shared" si="41"/>
        <v>46171</v>
      </c>
      <c r="J517" s="110"/>
      <c r="K517" s="110"/>
      <c r="L517" s="119"/>
      <c r="M517" s="67" t="s">
        <v>4453</v>
      </c>
      <c r="N517" s="67"/>
      <c r="O517" s="112" t="str">
        <f t="shared" si="39"/>
        <v/>
      </c>
      <c r="P517" s="119"/>
    </row>
    <row r="518" spans="1:16" ht="19.5" customHeight="1" x14ac:dyDescent="0.25">
      <c r="A518" s="113" t="s">
        <v>4428</v>
      </c>
      <c r="B518" s="67" t="s">
        <v>2691</v>
      </c>
      <c r="C518" s="67" t="s">
        <v>150</v>
      </c>
      <c r="D518" s="114" t="s">
        <v>4451</v>
      </c>
      <c r="E518" s="115" t="s">
        <v>116</v>
      </c>
      <c r="F518" s="116" t="s">
        <v>4965</v>
      </c>
      <c r="G518" s="117">
        <v>0.5</v>
      </c>
      <c r="H518" s="118">
        <f>WORKDAY(I485,1)</f>
        <v>46171</v>
      </c>
      <c r="I518" s="118">
        <f t="shared" si="41"/>
        <v>46171</v>
      </c>
      <c r="J518" s="110"/>
      <c r="K518" s="110"/>
      <c r="L518" s="119"/>
      <c r="M518" s="67" t="s">
        <v>4453</v>
      </c>
      <c r="N518" s="67"/>
      <c r="O518" s="112" t="str">
        <f t="shared" si="39"/>
        <v/>
      </c>
      <c r="P518" s="119"/>
    </row>
    <row r="519" spans="1:16" ht="19.5" customHeight="1" x14ac:dyDescent="0.25">
      <c r="A519" s="113" t="s">
        <v>4428</v>
      </c>
      <c r="B519" s="67" t="s">
        <v>2691</v>
      </c>
      <c r="C519" s="67" t="s">
        <v>478</v>
      </c>
      <c r="D519" s="114" t="s">
        <v>4451</v>
      </c>
      <c r="E519" s="115" t="s">
        <v>116</v>
      </c>
      <c r="F519" s="116" t="s">
        <v>4966</v>
      </c>
      <c r="G519" s="117">
        <v>0.25</v>
      </c>
      <c r="H519" s="118">
        <f>WORKDAY(I485,1)</f>
        <v>46171</v>
      </c>
      <c r="I519" s="118">
        <f t="shared" si="41"/>
        <v>46171</v>
      </c>
      <c r="J519" s="110"/>
      <c r="K519" s="110"/>
      <c r="L519" s="119"/>
      <c r="M519" s="67" t="s">
        <v>4453</v>
      </c>
      <c r="N519" s="67"/>
      <c r="O519" s="112" t="str">
        <f t="shared" ref="O519:O550" si="42">IF(AND(J519&lt;&gt;"",K519&lt;&gt;""),NETWORKDAYS(J519,K519)-1-G519,"")</f>
        <v/>
      </c>
      <c r="P519" s="119"/>
    </row>
    <row r="520" spans="1:16" ht="19.5" customHeight="1" x14ac:dyDescent="0.25">
      <c r="A520" s="113" t="s">
        <v>4428</v>
      </c>
      <c r="B520" s="67" t="s">
        <v>2757</v>
      </c>
      <c r="C520" s="67" t="s">
        <v>112</v>
      </c>
      <c r="D520" s="114" t="s">
        <v>4451</v>
      </c>
      <c r="E520" s="115" t="s">
        <v>116</v>
      </c>
      <c r="F520" s="116" t="s">
        <v>4967</v>
      </c>
      <c r="G520" s="117">
        <v>0.5</v>
      </c>
      <c r="H520" s="118">
        <f>WORKDAY(I485,1)</f>
        <v>46171</v>
      </c>
      <c r="I520" s="118">
        <f t="shared" si="41"/>
        <v>46171</v>
      </c>
      <c r="J520" s="110"/>
      <c r="K520" s="110"/>
      <c r="L520" s="119"/>
      <c r="M520" s="67" t="s">
        <v>4453</v>
      </c>
      <c r="N520" s="67"/>
      <c r="O520" s="112" t="str">
        <f t="shared" si="42"/>
        <v/>
      </c>
      <c r="P520" s="119"/>
    </row>
    <row r="521" spans="1:16" ht="19.5" customHeight="1" x14ac:dyDescent="0.25">
      <c r="A521" s="113" t="s">
        <v>4428</v>
      </c>
      <c r="B521" s="67" t="s">
        <v>2757</v>
      </c>
      <c r="C521" s="67" t="s">
        <v>120</v>
      </c>
      <c r="D521" s="114" t="s">
        <v>4451</v>
      </c>
      <c r="E521" s="115" t="s">
        <v>116</v>
      </c>
      <c r="F521" s="116" t="s">
        <v>4968</v>
      </c>
      <c r="G521" s="117">
        <v>0.5</v>
      </c>
      <c r="H521" s="118">
        <f>WORKDAY(I485,1)</f>
        <v>46171</v>
      </c>
      <c r="I521" s="118">
        <f t="shared" si="41"/>
        <v>46171</v>
      </c>
      <c r="J521" s="110"/>
      <c r="K521" s="110"/>
      <c r="L521" s="119"/>
      <c r="M521" s="67" t="s">
        <v>4453</v>
      </c>
      <c r="N521" s="67"/>
      <c r="O521" s="112" t="str">
        <f t="shared" si="42"/>
        <v/>
      </c>
      <c r="P521" s="119"/>
    </row>
    <row r="522" spans="1:16" ht="19.5" customHeight="1" x14ac:dyDescent="0.25">
      <c r="A522" s="113" t="s">
        <v>4428</v>
      </c>
      <c r="B522" s="67" t="s">
        <v>2757</v>
      </c>
      <c r="C522" s="67" t="s">
        <v>127</v>
      </c>
      <c r="D522" s="114" t="s">
        <v>4451</v>
      </c>
      <c r="E522" s="115" t="s">
        <v>116</v>
      </c>
      <c r="F522" s="116" t="s">
        <v>4969</v>
      </c>
      <c r="G522" s="117">
        <v>0.25</v>
      </c>
      <c r="H522" s="118">
        <f>WORKDAY(I485,1)</f>
        <v>46171</v>
      </c>
      <c r="I522" s="118">
        <f t="shared" si="41"/>
        <v>46171</v>
      </c>
      <c r="J522" s="110"/>
      <c r="K522" s="110"/>
      <c r="L522" s="119"/>
      <c r="M522" s="67" t="s">
        <v>4453</v>
      </c>
      <c r="N522" s="67"/>
      <c r="O522" s="112" t="str">
        <f t="shared" si="42"/>
        <v/>
      </c>
      <c r="P522" s="119"/>
    </row>
    <row r="523" spans="1:16" ht="19.5" customHeight="1" x14ac:dyDescent="0.25">
      <c r="A523" s="113" t="s">
        <v>4428</v>
      </c>
      <c r="B523" s="67" t="s">
        <v>2757</v>
      </c>
      <c r="C523" s="67" t="s">
        <v>134</v>
      </c>
      <c r="D523" s="114" t="s">
        <v>4451</v>
      </c>
      <c r="E523" s="115" t="s">
        <v>116</v>
      </c>
      <c r="F523" s="116" t="s">
        <v>4970</v>
      </c>
      <c r="G523" s="117">
        <v>0.25</v>
      </c>
      <c r="H523" s="118">
        <f>WORKDAY(I485,1)</f>
        <v>46171</v>
      </c>
      <c r="I523" s="118">
        <f t="shared" si="41"/>
        <v>46171</v>
      </c>
      <c r="J523" s="110"/>
      <c r="K523" s="110"/>
      <c r="L523" s="119"/>
      <c r="M523" s="67" t="s">
        <v>4453</v>
      </c>
      <c r="N523" s="67"/>
      <c r="O523" s="112" t="str">
        <f t="shared" si="42"/>
        <v/>
      </c>
      <c r="P523" s="119"/>
    </row>
    <row r="524" spans="1:16" ht="19.5" customHeight="1" x14ac:dyDescent="0.25">
      <c r="A524" s="113" t="s">
        <v>4428</v>
      </c>
      <c r="B524" s="67" t="s">
        <v>2757</v>
      </c>
      <c r="C524" s="67" t="s">
        <v>142</v>
      </c>
      <c r="D524" s="114" t="s">
        <v>4451</v>
      </c>
      <c r="E524" s="115" t="s">
        <v>116</v>
      </c>
      <c r="F524" s="116" t="s">
        <v>4971</v>
      </c>
      <c r="G524" s="117">
        <v>0.25</v>
      </c>
      <c r="H524" s="118">
        <f>WORKDAY(I485,1)</f>
        <v>46171</v>
      </c>
      <c r="I524" s="118">
        <f t="shared" si="41"/>
        <v>46171</v>
      </c>
      <c r="J524" s="110"/>
      <c r="K524" s="110"/>
      <c r="L524" s="119"/>
      <c r="M524" s="67" t="s">
        <v>4453</v>
      </c>
      <c r="N524" s="67"/>
      <c r="O524" s="112" t="str">
        <f t="shared" si="42"/>
        <v/>
      </c>
      <c r="P524" s="119"/>
    </row>
    <row r="525" spans="1:16" ht="19.5" customHeight="1" x14ac:dyDescent="0.25">
      <c r="A525" s="113" t="s">
        <v>4428</v>
      </c>
      <c r="B525" s="67" t="s">
        <v>2757</v>
      </c>
      <c r="C525" s="67" t="s">
        <v>150</v>
      </c>
      <c r="D525" s="114" t="s">
        <v>4451</v>
      </c>
      <c r="E525" s="115" t="s">
        <v>116</v>
      </c>
      <c r="F525" s="116" t="s">
        <v>4972</v>
      </c>
      <c r="G525" s="117">
        <v>0.25</v>
      </c>
      <c r="H525" s="118">
        <f>WORKDAY(I485,1)</f>
        <v>46171</v>
      </c>
      <c r="I525" s="118">
        <f t="shared" si="41"/>
        <v>46171</v>
      </c>
      <c r="J525" s="110"/>
      <c r="K525" s="110"/>
      <c r="L525" s="119"/>
      <c r="M525" s="67" t="s">
        <v>4453</v>
      </c>
      <c r="N525" s="67"/>
      <c r="O525" s="112" t="str">
        <f t="shared" si="42"/>
        <v/>
      </c>
      <c r="P525" s="119"/>
    </row>
    <row r="526" spans="1:16" ht="19.5" customHeight="1" x14ac:dyDescent="0.25">
      <c r="A526" s="113" t="s">
        <v>4428</v>
      </c>
      <c r="B526" s="67" t="s">
        <v>2757</v>
      </c>
      <c r="C526" s="67" t="s">
        <v>478</v>
      </c>
      <c r="D526" s="114" t="s">
        <v>4451</v>
      </c>
      <c r="E526" s="115" t="s">
        <v>116</v>
      </c>
      <c r="F526" s="116" t="s">
        <v>4973</v>
      </c>
      <c r="G526" s="117">
        <v>0.25</v>
      </c>
      <c r="H526" s="118">
        <f>WORKDAY(I485,1)</f>
        <v>46171</v>
      </c>
      <c r="I526" s="118">
        <f t="shared" si="41"/>
        <v>46171</v>
      </c>
      <c r="J526" s="110"/>
      <c r="K526" s="110"/>
      <c r="L526" s="119"/>
      <c r="M526" s="67" t="s">
        <v>4453</v>
      </c>
      <c r="N526" s="67"/>
      <c r="O526" s="112" t="str">
        <f t="shared" si="42"/>
        <v/>
      </c>
      <c r="P526" s="119"/>
    </row>
    <row r="527" spans="1:16" ht="19.5" customHeight="1" x14ac:dyDescent="0.25">
      <c r="A527" s="113" t="s">
        <v>4428</v>
      </c>
      <c r="B527" s="67" t="s">
        <v>2757</v>
      </c>
      <c r="C527" s="67" t="s">
        <v>487</v>
      </c>
      <c r="D527" s="114" t="s">
        <v>4451</v>
      </c>
      <c r="E527" s="115" t="s">
        <v>116</v>
      </c>
      <c r="F527" s="116" t="s">
        <v>4974</v>
      </c>
      <c r="G527" s="117">
        <v>0.25</v>
      </c>
      <c r="H527" s="118">
        <f>WORKDAY(I485,1)</f>
        <v>46171</v>
      </c>
      <c r="I527" s="118">
        <f t="shared" si="41"/>
        <v>46171</v>
      </c>
      <c r="J527" s="110"/>
      <c r="K527" s="110"/>
      <c r="L527" s="119"/>
      <c r="M527" s="67" t="s">
        <v>4453</v>
      </c>
      <c r="N527" s="67"/>
      <c r="O527" s="112" t="str">
        <f t="shared" si="42"/>
        <v/>
      </c>
      <c r="P527" s="119"/>
    </row>
    <row r="528" spans="1:16" ht="19.5" customHeight="1" x14ac:dyDescent="0.25">
      <c r="A528" s="113" t="s">
        <v>4428</v>
      </c>
      <c r="B528" s="67" t="s">
        <v>2757</v>
      </c>
      <c r="C528" s="67" t="s">
        <v>497</v>
      </c>
      <c r="D528" s="114" t="s">
        <v>4451</v>
      </c>
      <c r="E528" s="115" t="s">
        <v>116</v>
      </c>
      <c r="F528" s="116" t="s">
        <v>4975</v>
      </c>
      <c r="G528" s="117">
        <v>0.25</v>
      </c>
      <c r="H528" s="118">
        <f>WORKDAY(I485,1)</f>
        <v>46171</v>
      </c>
      <c r="I528" s="118">
        <f t="shared" si="41"/>
        <v>46171</v>
      </c>
      <c r="J528" s="110"/>
      <c r="K528" s="110"/>
      <c r="L528" s="119"/>
      <c r="M528" s="67" t="s">
        <v>4453</v>
      </c>
      <c r="N528" s="67"/>
      <c r="O528" s="112" t="str">
        <f t="shared" si="42"/>
        <v/>
      </c>
      <c r="P528" s="119"/>
    </row>
    <row r="529" spans="1:16" ht="19.5" customHeight="1" x14ac:dyDescent="0.25">
      <c r="A529" s="113" t="s">
        <v>4428</v>
      </c>
      <c r="B529" s="67" t="s">
        <v>2868</v>
      </c>
      <c r="C529" s="67" t="s">
        <v>112</v>
      </c>
      <c r="D529" s="114" t="s">
        <v>4451</v>
      </c>
      <c r="E529" s="115" t="s">
        <v>116</v>
      </c>
      <c r="F529" s="116" t="s">
        <v>4976</v>
      </c>
      <c r="G529" s="117">
        <v>1</v>
      </c>
      <c r="H529" s="118">
        <f>WORKDAY(I485,1)</f>
        <v>46171</v>
      </c>
      <c r="I529" s="118">
        <f t="shared" si="41"/>
        <v>46171</v>
      </c>
      <c r="J529" s="110"/>
      <c r="K529" s="110"/>
      <c r="L529" s="119"/>
      <c r="M529" s="67" t="s">
        <v>4453</v>
      </c>
      <c r="N529" s="67"/>
      <c r="O529" s="112" t="str">
        <f t="shared" si="42"/>
        <v/>
      </c>
      <c r="P529" s="119"/>
    </row>
    <row r="530" spans="1:16" ht="19.5" customHeight="1" x14ac:dyDescent="0.25">
      <c r="A530" s="113" t="s">
        <v>4428</v>
      </c>
      <c r="B530" s="67" t="s">
        <v>2868</v>
      </c>
      <c r="C530" s="67" t="s">
        <v>120</v>
      </c>
      <c r="D530" s="114" t="s">
        <v>4451</v>
      </c>
      <c r="E530" s="115" t="s">
        <v>116</v>
      </c>
      <c r="F530" s="116" t="s">
        <v>4977</v>
      </c>
      <c r="G530" s="117">
        <v>0.5</v>
      </c>
      <c r="H530" s="118">
        <f>WORKDAY(I485,1)</f>
        <v>46171</v>
      </c>
      <c r="I530" s="118">
        <f t="shared" si="41"/>
        <v>46171</v>
      </c>
      <c r="J530" s="110"/>
      <c r="K530" s="110"/>
      <c r="L530" s="119"/>
      <c r="M530" s="67" t="s">
        <v>4453</v>
      </c>
      <c r="N530" s="67"/>
      <c r="O530" s="112" t="str">
        <f t="shared" si="42"/>
        <v/>
      </c>
      <c r="P530" s="119"/>
    </row>
    <row r="531" spans="1:16" ht="19.5" customHeight="1" x14ac:dyDescent="0.25">
      <c r="A531" s="113" t="s">
        <v>4428</v>
      </c>
      <c r="B531" s="67" t="s">
        <v>2868</v>
      </c>
      <c r="C531" s="67" t="s">
        <v>127</v>
      </c>
      <c r="D531" s="114" t="s">
        <v>4451</v>
      </c>
      <c r="E531" s="115" t="s">
        <v>116</v>
      </c>
      <c r="F531" s="116" t="s">
        <v>4978</v>
      </c>
      <c r="G531" s="117">
        <v>0.5</v>
      </c>
      <c r="H531" s="118">
        <f>WORKDAY(I485,1)</f>
        <v>46171</v>
      </c>
      <c r="I531" s="118">
        <f t="shared" si="41"/>
        <v>46171</v>
      </c>
      <c r="J531" s="110"/>
      <c r="K531" s="110"/>
      <c r="L531" s="119"/>
      <c r="M531" s="67" t="s">
        <v>4453</v>
      </c>
      <c r="N531" s="67"/>
      <c r="O531" s="112" t="str">
        <f t="shared" si="42"/>
        <v/>
      </c>
      <c r="P531" s="119"/>
    </row>
    <row r="532" spans="1:16" ht="19.5" customHeight="1" x14ac:dyDescent="0.25">
      <c r="A532" s="113" t="s">
        <v>4428</v>
      </c>
      <c r="B532" s="67" t="s">
        <v>2868</v>
      </c>
      <c r="C532" s="67" t="s">
        <v>134</v>
      </c>
      <c r="D532" s="114" t="s">
        <v>4451</v>
      </c>
      <c r="E532" s="115" t="s">
        <v>116</v>
      </c>
      <c r="F532" s="116" t="s">
        <v>4979</v>
      </c>
      <c r="G532" s="117">
        <v>0.5</v>
      </c>
      <c r="H532" s="118">
        <f>WORKDAY(I485,1)</f>
        <v>46171</v>
      </c>
      <c r="I532" s="118">
        <f t="shared" si="41"/>
        <v>46171</v>
      </c>
      <c r="J532" s="110"/>
      <c r="K532" s="110"/>
      <c r="L532" s="119"/>
      <c r="M532" s="67" t="s">
        <v>4453</v>
      </c>
      <c r="N532" s="67"/>
      <c r="O532" s="112" t="str">
        <f t="shared" si="42"/>
        <v/>
      </c>
      <c r="P532" s="119"/>
    </row>
    <row r="533" spans="1:16" ht="19.5" customHeight="1" x14ac:dyDescent="0.25">
      <c r="A533" s="113" t="s">
        <v>4428</v>
      </c>
      <c r="B533" s="67" t="s">
        <v>2868</v>
      </c>
      <c r="C533" s="67" t="s">
        <v>142</v>
      </c>
      <c r="D533" s="114" t="s">
        <v>4451</v>
      </c>
      <c r="E533" s="115" t="s">
        <v>116</v>
      </c>
      <c r="F533" s="116" t="s">
        <v>4980</v>
      </c>
      <c r="G533" s="117">
        <v>0.5</v>
      </c>
      <c r="H533" s="118">
        <f>WORKDAY(I485,1)</f>
        <v>46171</v>
      </c>
      <c r="I533" s="118">
        <f t="shared" si="41"/>
        <v>46171</v>
      </c>
      <c r="J533" s="110"/>
      <c r="K533" s="110"/>
      <c r="L533" s="119"/>
      <c r="M533" s="67" t="s">
        <v>4453</v>
      </c>
      <c r="N533" s="67"/>
      <c r="O533" s="112" t="str">
        <f t="shared" si="42"/>
        <v/>
      </c>
      <c r="P533" s="119"/>
    </row>
    <row r="534" spans="1:16" ht="19.5" customHeight="1" x14ac:dyDescent="0.25">
      <c r="A534" s="113" t="s">
        <v>4428</v>
      </c>
      <c r="B534" s="67" t="s">
        <v>2868</v>
      </c>
      <c r="C534" s="67" t="s">
        <v>150</v>
      </c>
      <c r="D534" s="114" t="s">
        <v>4451</v>
      </c>
      <c r="E534" s="115" t="s">
        <v>116</v>
      </c>
      <c r="F534" s="116" t="s">
        <v>4981</v>
      </c>
      <c r="G534" s="117">
        <v>1</v>
      </c>
      <c r="H534" s="118">
        <f>WORKDAY(I485,1)</f>
        <v>46171</v>
      </c>
      <c r="I534" s="118">
        <f t="shared" si="41"/>
        <v>46171</v>
      </c>
      <c r="J534" s="110"/>
      <c r="K534" s="110"/>
      <c r="L534" s="119"/>
      <c r="M534" s="67" t="s">
        <v>4453</v>
      </c>
      <c r="N534" s="67"/>
      <c r="O534" s="112" t="str">
        <f t="shared" si="42"/>
        <v/>
      </c>
      <c r="P534" s="119"/>
    </row>
    <row r="535" spans="1:16" ht="19.5" customHeight="1" x14ac:dyDescent="0.25">
      <c r="A535" s="113" t="s">
        <v>4428</v>
      </c>
      <c r="B535" s="67" t="s">
        <v>2868</v>
      </c>
      <c r="C535" s="67" t="s">
        <v>478</v>
      </c>
      <c r="D535" s="114" t="s">
        <v>4451</v>
      </c>
      <c r="E535" s="115" t="s">
        <v>116</v>
      </c>
      <c r="F535" s="116" t="s">
        <v>4982</v>
      </c>
      <c r="G535" s="117">
        <v>2.5</v>
      </c>
      <c r="H535" s="118">
        <f>WORKDAY(I485,1)</f>
        <v>46171</v>
      </c>
      <c r="I535" s="118">
        <f>WORKDAY(H535,1)</f>
        <v>46174</v>
      </c>
      <c r="J535" s="110"/>
      <c r="K535" s="110"/>
      <c r="L535" s="119"/>
      <c r="M535" s="67" t="s">
        <v>4453</v>
      </c>
      <c r="N535" s="67"/>
      <c r="O535" s="112" t="str">
        <f t="shared" si="42"/>
        <v/>
      </c>
      <c r="P535" s="119"/>
    </row>
    <row r="536" spans="1:16" ht="19.5" customHeight="1" x14ac:dyDescent="0.25">
      <c r="A536" s="113" t="s">
        <v>4428</v>
      </c>
      <c r="B536" s="67" t="s">
        <v>2868</v>
      </c>
      <c r="C536" s="67" t="s">
        <v>487</v>
      </c>
      <c r="D536" s="114" t="s">
        <v>4451</v>
      </c>
      <c r="E536" s="115" t="s">
        <v>116</v>
      </c>
      <c r="F536" s="116" t="s">
        <v>4983</v>
      </c>
      <c r="G536" s="117">
        <v>1</v>
      </c>
      <c r="H536" s="118">
        <f>WORKDAY(I485,1)</f>
        <v>46171</v>
      </c>
      <c r="I536" s="118">
        <f t="shared" ref="I536:I545" si="43">H536</f>
        <v>46171</v>
      </c>
      <c r="J536" s="110"/>
      <c r="K536" s="110"/>
      <c r="L536" s="119"/>
      <c r="M536" s="67" t="s">
        <v>4453</v>
      </c>
      <c r="N536" s="67"/>
      <c r="O536" s="112" t="str">
        <f t="shared" si="42"/>
        <v/>
      </c>
      <c r="P536" s="119"/>
    </row>
    <row r="537" spans="1:16" ht="19.5" customHeight="1" x14ac:dyDescent="0.25">
      <c r="A537" s="113" t="s">
        <v>4428</v>
      </c>
      <c r="B537" s="67" t="s">
        <v>2868</v>
      </c>
      <c r="C537" s="67" t="s">
        <v>497</v>
      </c>
      <c r="D537" s="114" t="s">
        <v>4451</v>
      </c>
      <c r="E537" s="115" t="s">
        <v>116</v>
      </c>
      <c r="F537" s="116" t="s">
        <v>4984</v>
      </c>
      <c r="G537" s="117">
        <v>0.25</v>
      </c>
      <c r="H537" s="118">
        <f>WORKDAY(I485,1)</f>
        <v>46171</v>
      </c>
      <c r="I537" s="118">
        <f t="shared" si="43"/>
        <v>46171</v>
      </c>
      <c r="J537" s="110"/>
      <c r="K537" s="110"/>
      <c r="L537" s="119"/>
      <c r="M537" s="67" t="s">
        <v>4453</v>
      </c>
      <c r="N537" s="67"/>
      <c r="O537" s="112" t="str">
        <f t="shared" si="42"/>
        <v/>
      </c>
      <c r="P537" s="119"/>
    </row>
    <row r="538" spans="1:16" ht="19.5" customHeight="1" x14ac:dyDescent="0.25">
      <c r="A538" s="113" t="s">
        <v>4428</v>
      </c>
      <c r="B538" s="67" t="s">
        <v>2966</v>
      </c>
      <c r="C538" s="67" t="s">
        <v>112</v>
      </c>
      <c r="D538" s="114" t="s">
        <v>4451</v>
      </c>
      <c r="E538" s="115" t="s">
        <v>116</v>
      </c>
      <c r="F538" s="116" t="s">
        <v>4985</v>
      </c>
      <c r="G538" s="117">
        <v>0.5</v>
      </c>
      <c r="H538" s="118">
        <f>WORKDAY(I485,1)</f>
        <v>46171</v>
      </c>
      <c r="I538" s="118">
        <f t="shared" si="43"/>
        <v>46171</v>
      </c>
      <c r="J538" s="110"/>
      <c r="K538" s="110"/>
      <c r="L538" s="119"/>
      <c r="M538" s="67" t="s">
        <v>4453</v>
      </c>
      <c r="N538" s="67"/>
      <c r="O538" s="112" t="str">
        <f t="shared" si="42"/>
        <v/>
      </c>
      <c r="P538" s="119"/>
    </row>
    <row r="539" spans="1:16" ht="19.5" customHeight="1" x14ac:dyDescent="0.25">
      <c r="A539" s="113" t="s">
        <v>4428</v>
      </c>
      <c r="B539" s="67" t="s">
        <v>2966</v>
      </c>
      <c r="C539" s="67" t="s">
        <v>120</v>
      </c>
      <c r="D539" s="114" t="s">
        <v>4451</v>
      </c>
      <c r="E539" s="115" t="s">
        <v>116</v>
      </c>
      <c r="F539" s="116" t="s">
        <v>4986</v>
      </c>
      <c r="G539" s="117">
        <v>0.25</v>
      </c>
      <c r="H539" s="118">
        <f>WORKDAY(I485,1)</f>
        <v>46171</v>
      </c>
      <c r="I539" s="118">
        <f t="shared" si="43"/>
        <v>46171</v>
      </c>
      <c r="J539" s="110"/>
      <c r="K539" s="110"/>
      <c r="L539" s="119"/>
      <c r="M539" s="67" t="s">
        <v>4453</v>
      </c>
      <c r="N539" s="67"/>
      <c r="O539" s="112" t="str">
        <f t="shared" si="42"/>
        <v/>
      </c>
      <c r="P539" s="119"/>
    </row>
    <row r="540" spans="1:16" ht="19.5" customHeight="1" x14ac:dyDescent="0.25">
      <c r="A540" s="113" t="s">
        <v>4428</v>
      </c>
      <c r="B540" s="67" t="s">
        <v>2966</v>
      </c>
      <c r="C540" s="67" t="s">
        <v>127</v>
      </c>
      <c r="D540" s="114" t="s">
        <v>4451</v>
      </c>
      <c r="E540" s="115" t="s">
        <v>116</v>
      </c>
      <c r="F540" s="116" t="s">
        <v>4987</v>
      </c>
      <c r="G540" s="117">
        <v>0.25</v>
      </c>
      <c r="H540" s="118">
        <f>WORKDAY(I485,1)</f>
        <v>46171</v>
      </c>
      <c r="I540" s="118">
        <f t="shared" si="43"/>
        <v>46171</v>
      </c>
      <c r="J540" s="110"/>
      <c r="K540" s="110"/>
      <c r="L540" s="119"/>
      <c r="M540" s="67" t="s">
        <v>4453</v>
      </c>
      <c r="N540" s="67"/>
      <c r="O540" s="112" t="str">
        <f t="shared" si="42"/>
        <v/>
      </c>
      <c r="P540" s="119"/>
    </row>
    <row r="541" spans="1:16" ht="19.5" customHeight="1" x14ac:dyDescent="0.25">
      <c r="A541" s="113" t="s">
        <v>4428</v>
      </c>
      <c r="B541" s="67" t="s">
        <v>2966</v>
      </c>
      <c r="C541" s="67" t="s">
        <v>134</v>
      </c>
      <c r="D541" s="114" t="s">
        <v>4451</v>
      </c>
      <c r="E541" s="115" t="s">
        <v>116</v>
      </c>
      <c r="F541" s="116" t="s">
        <v>4988</v>
      </c>
      <c r="G541" s="117">
        <v>0.25</v>
      </c>
      <c r="H541" s="118">
        <f>WORKDAY(I485,1)</f>
        <v>46171</v>
      </c>
      <c r="I541" s="118">
        <f t="shared" si="43"/>
        <v>46171</v>
      </c>
      <c r="J541" s="110"/>
      <c r="K541" s="110"/>
      <c r="L541" s="119"/>
      <c r="M541" s="67" t="s">
        <v>4453</v>
      </c>
      <c r="N541" s="67"/>
      <c r="O541" s="112" t="str">
        <f t="shared" si="42"/>
        <v/>
      </c>
      <c r="P541" s="119"/>
    </row>
    <row r="542" spans="1:16" ht="19.5" customHeight="1" x14ac:dyDescent="0.25">
      <c r="A542" s="113" t="s">
        <v>4428</v>
      </c>
      <c r="B542" s="67" t="s">
        <v>2966</v>
      </c>
      <c r="C542" s="67" t="s">
        <v>142</v>
      </c>
      <c r="D542" s="114" t="s">
        <v>4451</v>
      </c>
      <c r="E542" s="115" t="s">
        <v>116</v>
      </c>
      <c r="F542" s="116" t="s">
        <v>4989</v>
      </c>
      <c r="G542" s="117">
        <v>0.25</v>
      </c>
      <c r="H542" s="118">
        <f>WORKDAY(I485,1)</f>
        <v>46171</v>
      </c>
      <c r="I542" s="118">
        <f t="shared" si="43"/>
        <v>46171</v>
      </c>
      <c r="J542" s="110"/>
      <c r="K542" s="110"/>
      <c r="L542" s="119"/>
      <c r="M542" s="67" t="s">
        <v>4453</v>
      </c>
      <c r="N542" s="67"/>
      <c r="O542" s="112" t="str">
        <f t="shared" si="42"/>
        <v/>
      </c>
      <c r="P542" s="119"/>
    </row>
    <row r="543" spans="1:16" ht="19.5" customHeight="1" x14ac:dyDescent="0.25">
      <c r="A543" s="113" t="s">
        <v>4428</v>
      </c>
      <c r="B543" s="67" t="s">
        <v>2966</v>
      </c>
      <c r="C543" s="67" t="s">
        <v>150</v>
      </c>
      <c r="D543" s="114" t="s">
        <v>4451</v>
      </c>
      <c r="E543" s="115" t="s">
        <v>116</v>
      </c>
      <c r="F543" s="116" t="s">
        <v>4990</v>
      </c>
      <c r="G543" s="117">
        <v>0.25</v>
      </c>
      <c r="H543" s="118">
        <f>WORKDAY(I485,1)</f>
        <v>46171</v>
      </c>
      <c r="I543" s="118">
        <f t="shared" si="43"/>
        <v>46171</v>
      </c>
      <c r="J543" s="110"/>
      <c r="K543" s="110"/>
      <c r="L543" s="119"/>
      <c r="M543" s="67" t="s">
        <v>4453</v>
      </c>
      <c r="N543" s="67"/>
      <c r="O543" s="112" t="str">
        <f t="shared" si="42"/>
        <v/>
      </c>
      <c r="P543" s="119"/>
    </row>
    <row r="544" spans="1:16" ht="19.5" customHeight="1" x14ac:dyDescent="0.25">
      <c r="A544" s="113" t="s">
        <v>4428</v>
      </c>
      <c r="B544" s="67" t="s">
        <v>2966</v>
      </c>
      <c r="C544" s="67" t="s">
        <v>478</v>
      </c>
      <c r="D544" s="114" t="s">
        <v>4451</v>
      </c>
      <c r="E544" s="115" t="s">
        <v>116</v>
      </c>
      <c r="F544" s="116" t="s">
        <v>4991</v>
      </c>
      <c r="G544" s="117">
        <v>0.25</v>
      </c>
      <c r="H544" s="118">
        <f>WORKDAY(I485,1)</f>
        <v>46171</v>
      </c>
      <c r="I544" s="118">
        <f t="shared" si="43"/>
        <v>46171</v>
      </c>
      <c r="J544" s="110"/>
      <c r="K544" s="110"/>
      <c r="L544" s="119"/>
      <c r="M544" s="67" t="s">
        <v>4453</v>
      </c>
      <c r="N544" s="67"/>
      <c r="O544" s="112" t="str">
        <f t="shared" si="42"/>
        <v/>
      </c>
      <c r="P544" s="119"/>
    </row>
    <row r="545" spans="1:16" ht="19.5" customHeight="1" x14ac:dyDescent="0.25">
      <c r="A545" s="113" t="s">
        <v>4428</v>
      </c>
      <c r="B545" s="67" t="s">
        <v>2966</v>
      </c>
      <c r="C545" s="67" t="s">
        <v>487</v>
      </c>
      <c r="D545" s="114" t="s">
        <v>4451</v>
      </c>
      <c r="E545" s="115" t="s">
        <v>116</v>
      </c>
      <c r="F545" s="116" t="s">
        <v>4992</v>
      </c>
      <c r="G545" s="117">
        <v>0.25</v>
      </c>
      <c r="H545" s="118">
        <f>WORKDAY(I485,1)</f>
        <v>46171</v>
      </c>
      <c r="I545" s="118">
        <f t="shared" si="43"/>
        <v>46171</v>
      </c>
      <c r="J545" s="110"/>
      <c r="K545" s="110"/>
      <c r="L545" s="119"/>
      <c r="M545" s="67" t="s">
        <v>4453</v>
      </c>
      <c r="N545" s="67"/>
      <c r="O545" s="112" t="str">
        <f t="shared" si="42"/>
        <v/>
      </c>
      <c r="P545" s="119"/>
    </row>
    <row r="546" spans="1:16" ht="19.5" customHeight="1" x14ac:dyDescent="0.25">
      <c r="A546" s="113" t="s">
        <v>4428</v>
      </c>
      <c r="B546" s="67" t="s">
        <v>3918</v>
      </c>
      <c r="C546" s="67" t="s">
        <v>112</v>
      </c>
      <c r="D546" s="114" t="s">
        <v>4451</v>
      </c>
      <c r="E546" s="115" t="s">
        <v>116</v>
      </c>
      <c r="F546" s="116" t="s">
        <v>4993</v>
      </c>
      <c r="G546" s="117">
        <v>1.75</v>
      </c>
      <c r="H546" s="118">
        <f>WORKDAY(I485,1)</f>
        <v>46171</v>
      </c>
      <c r="I546" s="118">
        <f>WORKDAY(H546,1)</f>
        <v>46174</v>
      </c>
      <c r="J546" s="110"/>
      <c r="K546" s="110"/>
      <c r="L546" s="119"/>
      <c r="M546" s="67" t="s">
        <v>4453</v>
      </c>
      <c r="N546" s="67"/>
      <c r="O546" s="112" t="str">
        <f t="shared" si="42"/>
        <v/>
      </c>
      <c r="P546" s="119"/>
    </row>
    <row r="547" spans="1:16" ht="19.5" customHeight="1" x14ac:dyDescent="0.25">
      <c r="A547" s="113" t="s">
        <v>4428</v>
      </c>
      <c r="B547" s="67" t="s">
        <v>3918</v>
      </c>
      <c r="C547" s="67" t="s">
        <v>120</v>
      </c>
      <c r="D547" s="114" t="s">
        <v>4451</v>
      </c>
      <c r="E547" s="115" t="s">
        <v>116</v>
      </c>
      <c r="F547" s="116" t="s">
        <v>4994</v>
      </c>
      <c r="G547" s="117">
        <v>1.25</v>
      </c>
      <c r="H547" s="118">
        <f>WORKDAY(I485,1)</f>
        <v>46171</v>
      </c>
      <c r="I547" s="118">
        <f>H547</f>
        <v>46171</v>
      </c>
      <c r="J547" s="110"/>
      <c r="K547" s="110"/>
      <c r="L547" s="119"/>
      <c r="M547" s="67" t="s">
        <v>4453</v>
      </c>
      <c r="N547" s="67"/>
      <c r="O547" s="112" t="str">
        <f t="shared" si="42"/>
        <v/>
      </c>
      <c r="P547" s="119"/>
    </row>
    <row r="548" spans="1:16" ht="19.5" customHeight="1" x14ac:dyDescent="0.25">
      <c r="A548" s="113" t="s">
        <v>4428</v>
      </c>
      <c r="B548" s="67" t="s">
        <v>3994</v>
      </c>
      <c r="C548" s="67" t="s">
        <v>112</v>
      </c>
      <c r="D548" s="114" t="s">
        <v>4451</v>
      </c>
      <c r="E548" s="115" t="s">
        <v>116</v>
      </c>
      <c r="F548" s="116" t="s">
        <v>4995</v>
      </c>
      <c r="G548" s="117">
        <v>1.75</v>
      </c>
      <c r="H548" s="118">
        <f>WORKDAY(I485,1)</f>
        <v>46171</v>
      </c>
      <c r="I548" s="118">
        <f>WORKDAY(H548,1)</f>
        <v>46174</v>
      </c>
      <c r="J548" s="110"/>
      <c r="K548" s="110"/>
      <c r="L548" s="119"/>
      <c r="M548" s="67" t="s">
        <v>4453</v>
      </c>
      <c r="N548" s="67"/>
      <c r="O548" s="112" t="str">
        <f t="shared" si="42"/>
        <v/>
      </c>
      <c r="P548" s="119"/>
    </row>
    <row r="549" spans="1:16" ht="19.5" customHeight="1" x14ac:dyDescent="0.25">
      <c r="A549" s="113" t="s">
        <v>4428</v>
      </c>
      <c r="B549" s="67" t="s">
        <v>3994</v>
      </c>
      <c r="C549" s="67" t="s">
        <v>120</v>
      </c>
      <c r="D549" s="114" t="s">
        <v>4451</v>
      </c>
      <c r="E549" s="115" t="s">
        <v>116</v>
      </c>
      <c r="F549" s="116" t="s">
        <v>4996</v>
      </c>
      <c r="G549" s="117">
        <v>1.75</v>
      </c>
      <c r="H549" s="118">
        <f>WORKDAY(I485,1)</f>
        <v>46171</v>
      </c>
      <c r="I549" s="118">
        <f>WORKDAY(H549,1)</f>
        <v>46174</v>
      </c>
      <c r="J549" s="110"/>
      <c r="K549" s="110"/>
      <c r="L549" s="119"/>
      <c r="M549" s="67" t="s">
        <v>4453</v>
      </c>
      <c r="N549" s="67"/>
      <c r="O549" s="112" t="str">
        <f t="shared" si="42"/>
        <v/>
      </c>
      <c r="P549" s="119"/>
    </row>
    <row r="550" spans="1:16" ht="19.5" customHeight="1" x14ac:dyDescent="0.25">
      <c r="A550" s="120" t="s">
        <v>4428</v>
      </c>
      <c r="B550" s="68" t="s">
        <v>2691</v>
      </c>
      <c r="C550" s="68" t="s">
        <v>157</v>
      </c>
      <c r="D550" s="121" t="s">
        <v>4451</v>
      </c>
      <c r="E550" s="122" t="s">
        <v>161</v>
      </c>
      <c r="F550" s="123" t="s">
        <v>4997</v>
      </c>
      <c r="G550" s="124">
        <v>1.25</v>
      </c>
      <c r="H550" s="125">
        <f>WORKDAY(MAX(I512,I549),1)</f>
        <v>46175</v>
      </c>
      <c r="I550" s="125">
        <f t="shared" ref="I550:I555" si="44">H550</f>
        <v>46175</v>
      </c>
      <c r="J550" s="110"/>
      <c r="K550" s="110"/>
      <c r="L550" s="126"/>
      <c r="M550" s="68" t="s">
        <v>4453</v>
      </c>
      <c r="N550" s="68"/>
      <c r="O550" s="112" t="str">
        <f t="shared" si="42"/>
        <v/>
      </c>
      <c r="P550" s="126"/>
    </row>
    <row r="551" spans="1:16" ht="19.5" customHeight="1" x14ac:dyDescent="0.25">
      <c r="A551" s="120" t="s">
        <v>4428</v>
      </c>
      <c r="B551" s="68" t="s">
        <v>2757</v>
      </c>
      <c r="C551" s="68" t="s">
        <v>166</v>
      </c>
      <c r="D551" s="121" t="s">
        <v>4451</v>
      </c>
      <c r="E551" s="122" t="s">
        <v>161</v>
      </c>
      <c r="F551" s="123" t="s">
        <v>4998</v>
      </c>
      <c r="G551" s="124">
        <v>1.25</v>
      </c>
      <c r="H551" s="125">
        <f>WORKDAY(MAX(I512,I549),1)</f>
        <v>46175</v>
      </c>
      <c r="I551" s="125">
        <f t="shared" si="44"/>
        <v>46175</v>
      </c>
      <c r="J551" s="110"/>
      <c r="K551" s="110"/>
      <c r="L551" s="126"/>
      <c r="M551" s="68" t="s">
        <v>4453</v>
      </c>
      <c r="N551" s="68"/>
      <c r="O551" s="112" t="str">
        <f t="shared" ref="O551:O560" si="45">IF(AND(J551&lt;&gt;"",K551&lt;&gt;""),NETWORKDAYS(J551,K551)-1-G551,"")</f>
        <v/>
      </c>
      <c r="P551" s="126"/>
    </row>
    <row r="552" spans="1:16" ht="19.5" customHeight="1" x14ac:dyDescent="0.25">
      <c r="A552" s="120" t="s">
        <v>4428</v>
      </c>
      <c r="B552" s="68" t="s">
        <v>2757</v>
      </c>
      <c r="C552" s="68" t="s">
        <v>1489</v>
      </c>
      <c r="D552" s="121" t="s">
        <v>4451</v>
      </c>
      <c r="E552" s="122" t="s">
        <v>161</v>
      </c>
      <c r="F552" s="123" t="s">
        <v>4999</v>
      </c>
      <c r="G552" s="124">
        <v>1.25</v>
      </c>
      <c r="H552" s="125">
        <f>WORKDAY(MAX(I512,I549),1)</f>
        <v>46175</v>
      </c>
      <c r="I552" s="125">
        <f t="shared" si="44"/>
        <v>46175</v>
      </c>
      <c r="J552" s="110"/>
      <c r="K552" s="110"/>
      <c r="L552" s="126"/>
      <c r="M552" s="68" t="s">
        <v>4453</v>
      </c>
      <c r="N552" s="68"/>
      <c r="O552" s="112" t="str">
        <f t="shared" si="45"/>
        <v/>
      </c>
      <c r="P552" s="126"/>
    </row>
    <row r="553" spans="1:16" ht="19.5" customHeight="1" x14ac:dyDescent="0.25">
      <c r="A553" s="120" t="s">
        <v>4428</v>
      </c>
      <c r="B553" s="68" t="s">
        <v>2868</v>
      </c>
      <c r="C553" s="68" t="s">
        <v>166</v>
      </c>
      <c r="D553" s="121" t="s">
        <v>4451</v>
      </c>
      <c r="E553" s="122" t="s">
        <v>161</v>
      </c>
      <c r="F553" s="123" t="s">
        <v>5000</v>
      </c>
      <c r="G553" s="124">
        <v>1.25</v>
      </c>
      <c r="H553" s="125">
        <f>WORKDAY(MAX(I512,I549),1)</f>
        <v>46175</v>
      </c>
      <c r="I553" s="125">
        <f t="shared" si="44"/>
        <v>46175</v>
      </c>
      <c r="J553" s="110"/>
      <c r="K553" s="110"/>
      <c r="L553" s="126"/>
      <c r="M553" s="68" t="s">
        <v>4453</v>
      </c>
      <c r="N553" s="68"/>
      <c r="O553" s="112" t="str">
        <f t="shared" si="45"/>
        <v/>
      </c>
      <c r="P553" s="126"/>
    </row>
    <row r="554" spans="1:16" ht="19.5" customHeight="1" x14ac:dyDescent="0.25">
      <c r="A554" s="120" t="s">
        <v>4428</v>
      </c>
      <c r="B554" s="68" t="s">
        <v>2868</v>
      </c>
      <c r="C554" s="68" t="s">
        <v>1489</v>
      </c>
      <c r="D554" s="121" t="s">
        <v>4451</v>
      </c>
      <c r="E554" s="122" t="s">
        <v>161</v>
      </c>
      <c r="F554" s="123" t="s">
        <v>5001</v>
      </c>
      <c r="G554" s="124">
        <v>1</v>
      </c>
      <c r="H554" s="125">
        <f>WORKDAY(MAX(I512,I549),1)</f>
        <v>46175</v>
      </c>
      <c r="I554" s="125">
        <f t="shared" si="44"/>
        <v>46175</v>
      </c>
      <c r="J554" s="110"/>
      <c r="K554" s="110"/>
      <c r="L554" s="126"/>
      <c r="M554" s="68" t="s">
        <v>4453</v>
      </c>
      <c r="N554" s="68"/>
      <c r="O554" s="112" t="str">
        <f t="shared" si="45"/>
        <v/>
      </c>
      <c r="P554" s="126"/>
    </row>
    <row r="555" spans="1:16" ht="19.5" customHeight="1" x14ac:dyDescent="0.25">
      <c r="A555" s="120" t="s">
        <v>4428</v>
      </c>
      <c r="B555" s="68" t="s">
        <v>2966</v>
      </c>
      <c r="C555" s="68" t="s">
        <v>157</v>
      </c>
      <c r="D555" s="121" t="s">
        <v>4451</v>
      </c>
      <c r="E555" s="122" t="s">
        <v>161</v>
      </c>
      <c r="F555" s="123" t="s">
        <v>5002</v>
      </c>
      <c r="G555" s="124">
        <v>1</v>
      </c>
      <c r="H555" s="125">
        <f>WORKDAY(MAX(I512,I549),1)</f>
        <v>46175</v>
      </c>
      <c r="I555" s="125">
        <f t="shared" si="44"/>
        <v>46175</v>
      </c>
      <c r="J555" s="110"/>
      <c r="K555" s="110"/>
      <c r="L555" s="126"/>
      <c r="M555" s="68" t="s">
        <v>4453</v>
      </c>
      <c r="N555" s="68"/>
      <c r="O555" s="112" t="str">
        <f t="shared" si="45"/>
        <v/>
      </c>
      <c r="P555" s="126"/>
    </row>
    <row r="556" spans="1:16" ht="19.5" customHeight="1" x14ac:dyDescent="0.25">
      <c r="A556" s="120" t="s">
        <v>4428</v>
      </c>
      <c r="B556" s="68" t="s">
        <v>3918</v>
      </c>
      <c r="C556" s="68" t="s">
        <v>157</v>
      </c>
      <c r="D556" s="121" t="s">
        <v>4451</v>
      </c>
      <c r="E556" s="122" t="s">
        <v>161</v>
      </c>
      <c r="F556" s="123" t="s">
        <v>5003</v>
      </c>
      <c r="G556" s="124">
        <v>2.5</v>
      </c>
      <c r="H556" s="125">
        <f>WORKDAY(MAX(I512,I549),1)</f>
        <v>46175</v>
      </c>
      <c r="I556" s="125">
        <f>WORKDAY(H556,1)</f>
        <v>46176</v>
      </c>
      <c r="J556" s="110"/>
      <c r="K556" s="110"/>
      <c r="L556" s="126"/>
      <c r="M556" s="68" t="s">
        <v>4453</v>
      </c>
      <c r="N556" s="68"/>
      <c r="O556" s="112" t="str">
        <f t="shared" si="45"/>
        <v/>
      </c>
      <c r="P556" s="126"/>
    </row>
    <row r="557" spans="1:16" ht="19.5" customHeight="1" x14ac:dyDescent="0.25">
      <c r="A557" s="120" t="s">
        <v>4428</v>
      </c>
      <c r="B557" s="68" t="s">
        <v>3918</v>
      </c>
      <c r="C557" s="68" t="s">
        <v>166</v>
      </c>
      <c r="D557" s="121" t="s">
        <v>4451</v>
      </c>
      <c r="E557" s="122" t="s">
        <v>161</v>
      </c>
      <c r="F557" s="123" t="s">
        <v>5004</v>
      </c>
      <c r="G557" s="124">
        <v>2.5</v>
      </c>
      <c r="H557" s="125">
        <f>WORKDAY(MAX(I512,I549),1)</f>
        <v>46175</v>
      </c>
      <c r="I557" s="125">
        <f>WORKDAY(H557,1)</f>
        <v>46176</v>
      </c>
      <c r="J557" s="110"/>
      <c r="K557" s="110"/>
      <c r="L557" s="126"/>
      <c r="M557" s="68" t="s">
        <v>4453</v>
      </c>
      <c r="N557" s="68"/>
      <c r="O557" s="112" t="str">
        <f t="shared" si="45"/>
        <v/>
      </c>
      <c r="P557" s="126"/>
    </row>
    <row r="558" spans="1:16" ht="19.5" customHeight="1" x14ac:dyDescent="0.25">
      <c r="A558" s="120" t="s">
        <v>4428</v>
      </c>
      <c r="B558" s="68" t="s">
        <v>3994</v>
      </c>
      <c r="C558" s="68" t="s">
        <v>157</v>
      </c>
      <c r="D558" s="121" t="s">
        <v>4451</v>
      </c>
      <c r="E558" s="122" t="s">
        <v>161</v>
      </c>
      <c r="F558" s="123" t="s">
        <v>5005</v>
      </c>
      <c r="G558" s="124">
        <v>3</v>
      </c>
      <c r="H558" s="125">
        <f>WORKDAY(MAX(I512,I549),1)</f>
        <v>46175</v>
      </c>
      <c r="I558" s="125">
        <f>WORKDAY(H558,2)</f>
        <v>46177</v>
      </c>
      <c r="J558" s="110"/>
      <c r="K558" s="110"/>
      <c r="L558" s="126"/>
      <c r="M558" s="68" t="s">
        <v>4453</v>
      </c>
      <c r="N558" s="68"/>
      <c r="O558" s="112" t="str">
        <f t="shared" si="45"/>
        <v/>
      </c>
      <c r="P558" s="126"/>
    </row>
    <row r="559" spans="1:16" ht="19.5" customHeight="1" x14ac:dyDescent="0.25">
      <c r="A559" s="120" t="s">
        <v>4428</v>
      </c>
      <c r="B559" s="68" t="s">
        <v>2757</v>
      </c>
      <c r="C559" s="68" t="s">
        <v>157</v>
      </c>
      <c r="D559" s="121" t="s">
        <v>4498</v>
      </c>
      <c r="E559" s="122" t="s">
        <v>161</v>
      </c>
      <c r="F559" s="123" t="s">
        <v>5006</v>
      </c>
      <c r="G559" s="124">
        <v>1</v>
      </c>
      <c r="H559" s="125">
        <f>WORKDAY(MAX(I512,I549),1)</f>
        <v>46175</v>
      </c>
      <c r="I559" s="125">
        <f>H559</f>
        <v>46175</v>
      </c>
      <c r="J559" s="110"/>
      <c r="K559" s="110"/>
      <c r="L559" s="126"/>
      <c r="M559" s="68" t="s">
        <v>4453</v>
      </c>
      <c r="N559" s="68"/>
      <c r="O559" s="112" t="str">
        <f t="shared" si="45"/>
        <v/>
      </c>
      <c r="P559" s="126"/>
    </row>
    <row r="560" spans="1:16" ht="19.5" customHeight="1" x14ac:dyDescent="0.25">
      <c r="A560" s="120" t="s">
        <v>4428</v>
      </c>
      <c r="B560" s="68" t="s">
        <v>2868</v>
      </c>
      <c r="C560" s="68" t="s">
        <v>157</v>
      </c>
      <c r="D560" s="121" t="s">
        <v>4498</v>
      </c>
      <c r="E560" s="122" t="s">
        <v>161</v>
      </c>
      <c r="F560" s="123" t="s">
        <v>5007</v>
      </c>
      <c r="G560" s="124">
        <v>1.25</v>
      </c>
      <c r="H560" s="125">
        <f>WORKDAY(MAX(I512,I549),1)</f>
        <v>46175</v>
      </c>
      <c r="I560" s="125">
        <f>H560</f>
        <v>46175</v>
      </c>
      <c r="J560" s="110"/>
      <c r="K560" s="110"/>
      <c r="L560" s="126"/>
      <c r="M560" s="68" t="s">
        <v>4453</v>
      </c>
      <c r="N560" s="68"/>
      <c r="O560" s="112" t="str">
        <f t="shared" si="45"/>
        <v/>
      </c>
      <c r="P560" s="126"/>
    </row>
    <row r="561" spans="1:16" ht="19.5" customHeight="1" x14ac:dyDescent="0.25">
      <c r="A561" s="139" t="s">
        <v>5008</v>
      </c>
      <c r="J561" s="137"/>
      <c r="K561" s="137"/>
    </row>
    <row r="562" spans="1:16" ht="19.5" customHeight="1" x14ac:dyDescent="0.25">
      <c r="A562" s="104" t="s">
        <v>4430</v>
      </c>
      <c r="B562" s="66" t="s">
        <v>3139</v>
      </c>
      <c r="C562" s="66" t="s">
        <v>26</v>
      </c>
      <c r="D562" s="105" t="s">
        <v>4451</v>
      </c>
      <c r="E562" s="106" t="s">
        <v>30</v>
      </c>
      <c r="F562" s="107" t="s">
        <v>5009</v>
      </c>
      <c r="G562" s="108">
        <v>1.25</v>
      </c>
      <c r="H562" s="109">
        <f>WORKDAY(I560,1)</f>
        <v>46176</v>
      </c>
      <c r="I562" s="109">
        <f>H562</f>
        <v>46176</v>
      </c>
      <c r="J562" s="110"/>
      <c r="K562" s="110"/>
      <c r="L562" s="111"/>
      <c r="M562" s="66" t="s">
        <v>4453</v>
      </c>
      <c r="N562" s="66"/>
      <c r="O562" s="112" t="str">
        <f t="shared" ref="O562:O608" si="46">IF(AND(J562&lt;&gt;"",K562&lt;&gt;""),NETWORKDAYS(J562,K562)-1-G562,"")</f>
        <v/>
      </c>
      <c r="P562" s="111"/>
    </row>
    <row r="563" spans="1:16" ht="19.5" customHeight="1" x14ac:dyDescent="0.25">
      <c r="A563" s="104" t="s">
        <v>4430</v>
      </c>
      <c r="B563" s="66" t="s">
        <v>3139</v>
      </c>
      <c r="C563" s="66" t="s">
        <v>38</v>
      </c>
      <c r="D563" s="105" t="s">
        <v>4451</v>
      </c>
      <c r="E563" s="106" t="s">
        <v>30</v>
      </c>
      <c r="F563" s="107" t="s">
        <v>5010</v>
      </c>
      <c r="G563" s="108">
        <v>1.75</v>
      </c>
      <c r="H563" s="109">
        <f>WORKDAY(I560,1)</f>
        <v>46176</v>
      </c>
      <c r="I563" s="109">
        <f>WORKDAY(H563,1)</f>
        <v>46177</v>
      </c>
      <c r="J563" s="110"/>
      <c r="K563" s="110"/>
      <c r="L563" s="111"/>
      <c r="M563" s="66" t="s">
        <v>4453</v>
      </c>
      <c r="N563" s="66"/>
      <c r="O563" s="112" t="str">
        <f t="shared" si="46"/>
        <v/>
      </c>
      <c r="P563" s="111"/>
    </row>
    <row r="564" spans="1:16" ht="19.5" customHeight="1" x14ac:dyDescent="0.25">
      <c r="A564" s="104" t="s">
        <v>4430</v>
      </c>
      <c r="B564" s="66" t="s">
        <v>3139</v>
      </c>
      <c r="C564" s="66" t="s">
        <v>46</v>
      </c>
      <c r="D564" s="105" t="s">
        <v>4451</v>
      </c>
      <c r="E564" s="106" t="s">
        <v>30</v>
      </c>
      <c r="F564" s="107" t="s">
        <v>5011</v>
      </c>
      <c r="G564" s="108">
        <v>1</v>
      </c>
      <c r="H564" s="109">
        <f>WORKDAY(I560,1)</f>
        <v>46176</v>
      </c>
      <c r="I564" s="109">
        <f>H564</f>
        <v>46176</v>
      </c>
      <c r="J564" s="110"/>
      <c r="K564" s="110"/>
      <c r="L564" s="111"/>
      <c r="M564" s="66" t="s">
        <v>4453</v>
      </c>
      <c r="N564" s="66"/>
      <c r="O564" s="112" t="str">
        <f t="shared" si="46"/>
        <v/>
      </c>
      <c r="P564" s="111"/>
    </row>
    <row r="565" spans="1:16" ht="19.5" customHeight="1" x14ac:dyDescent="0.25">
      <c r="A565" s="104" t="s">
        <v>4430</v>
      </c>
      <c r="B565" s="66" t="s">
        <v>3195</v>
      </c>
      <c r="C565" s="66" t="s">
        <v>26</v>
      </c>
      <c r="D565" s="105" t="s">
        <v>4451</v>
      </c>
      <c r="E565" s="106" t="s">
        <v>30</v>
      </c>
      <c r="F565" s="107" t="s">
        <v>5012</v>
      </c>
      <c r="G565" s="108">
        <v>2.5</v>
      </c>
      <c r="H565" s="109">
        <f>WORKDAY(I560,1)</f>
        <v>46176</v>
      </c>
      <c r="I565" s="109">
        <f>WORKDAY(H565,1)</f>
        <v>46177</v>
      </c>
      <c r="J565" s="110"/>
      <c r="K565" s="110"/>
      <c r="L565" s="111"/>
      <c r="M565" s="66" t="s">
        <v>4453</v>
      </c>
      <c r="N565" s="66"/>
      <c r="O565" s="112" t="str">
        <f t="shared" si="46"/>
        <v/>
      </c>
      <c r="P565" s="111"/>
    </row>
    <row r="566" spans="1:16" ht="19.5" customHeight="1" x14ac:dyDescent="0.25">
      <c r="A566" s="104" t="s">
        <v>4430</v>
      </c>
      <c r="B566" s="66" t="s">
        <v>3195</v>
      </c>
      <c r="C566" s="66" t="s">
        <v>38</v>
      </c>
      <c r="D566" s="105" t="s">
        <v>4451</v>
      </c>
      <c r="E566" s="106" t="s">
        <v>30</v>
      </c>
      <c r="F566" s="107" t="s">
        <v>5013</v>
      </c>
      <c r="G566" s="108">
        <v>1.25</v>
      </c>
      <c r="H566" s="109">
        <f>WORKDAY(I560,1)</f>
        <v>46176</v>
      </c>
      <c r="I566" s="109">
        <f>H566</f>
        <v>46176</v>
      </c>
      <c r="J566" s="110"/>
      <c r="K566" s="110"/>
      <c r="L566" s="111"/>
      <c r="M566" s="66" t="s">
        <v>4453</v>
      </c>
      <c r="N566" s="66"/>
      <c r="O566" s="112" t="str">
        <f t="shared" si="46"/>
        <v/>
      </c>
      <c r="P566" s="111"/>
    </row>
    <row r="567" spans="1:16" ht="19.5" customHeight="1" x14ac:dyDescent="0.25">
      <c r="A567" s="104" t="s">
        <v>4430</v>
      </c>
      <c r="B567" s="66" t="s">
        <v>3195</v>
      </c>
      <c r="C567" s="66" t="s">
        <v>46</v>
      </c>
      <c r="D567" s="105" t="s">
        <v>4451</v>
      </c>
      <c r="E567" s="106" t="s">
        <v>30</v>
      </c>
      <c r="F567" s="107" t="s">
        <v>5014</v>
      </c>
      <c r="G567" s="108">
        <v>1.25</v>
      </c>
      <c r="H567" s="109">
        <f>WORKDAY(I560,1)</f>
        <v>46176</v>
      </c>
      <c r="I567" s="109">
        <f>H567</f>
        <v>46176</v>
      </c>
      <c r="J567" s="110"/>
      <c r="K567" s="110"/>
      <c r="L567" s="111"/>
      <c r="M567" s="66" t="s">
        <v>4453</v>
      </c>
      <c r="N567" s="66"/>
      <c r="O567" s="112" t="str">
        <f t="shared" si="46"/>
        <v/>
      </c>
      <c r="P567" s="111"/>
    </row>
    <row r="568" spans="1:16" ht="19.5" customHeight="1" x14ac:dyDescent="0.25">
      <c r="A568" s="104" t="s">
        <v>4430</v>
      </c>
      <c r="B568" s="66" t="s">
        <v>3195</v>
      </c>
      <c r="C568" s="66" t="s">
        <v>53</v>
      </c>
      <c r="D568" s="105" t="s">
        <v>4451</v>
      </c>
      <c r="E568" s="106" t="s">
        <v>30</v>
      </c>
      <c r="F568" s="107" t="s">
        <v>5015</v>
      </c>
      <c r="G568" s="108">
        <v>1</v>
      </c>
      <c r="H568" s="109">
        <f>WORKDAY(I560,1)</f>
        <v>46176</v>
      </c>
      <c r="I568" s="109">
        <f>H568</f>
        <v>46176</v>
      </c>
      <c r="J568" s="110"/>
      <c r="K568" s="110"/>
      <c r="L568" s="111"/>
      <c r="M568" s="66" t="s">
        <v>4453</v>
      </c>
      <c r="N568" s="66"/>
      <c r="O568" s="112" t="str">
        <f t="shared" si="46"/>
        <v/>
      </c>
      <c r="P568" s="111"/>
    </row>
    <row r="569" spans="1:16" ht="19.5" customHeight="1" x14ac:dyDescent="0.25">
      <c r="A569" s="104" t="s">
        <v>4430</v>
      </c>
      <c r="B569" s="66" t="s">
        <v>4074</v>
      </c>
      <c r="C569" s="66" t="s">
        <v>26</v>
      </c>
      <c r="D569" s="105" t="s">
        <v>4451</v>
      </c>
      <c r="E569" s="106" t="s">
        <v>30</v>
      </c>
      <c r="F569" s="107" t="s">
        <v>5016</v>
      </c>
      <c r="G569" s="108">
        <v>1.75</v>
      </c>
      <c r="H569" s="109">
        <f>WORKDAY(I560,1)</f>
        <v>46176</v>
      </c>
      <c r="I569" s="109">
        <f t="shared" ref="I569:I575" si="47">WORKDAY(H569,1)</f>
        <v>46177</v>
      </c>
      <c r="J569" s="110"/>
      <c r="K569" s="110"/>
      <c r="L569" s="111"/>
      <c r="M569" s="66" t="s">
        <v>4453</v>
      </c>
      <c r="N569" s="66"/>
      <c r="O569" s="112" t="str">
        <f t="shared" si="46"/>
        <v/>
      </c>
      <c r="P569" s="111"/>
    </row>
    <row r="570" spans="1:16" ht="19.5" customHeight="1" x14ac:dyDescent="0.25">
      <c r="A570" s="104" t="s">
        <v>4430</v>
      </c>
      <c r="B570" s="66" t="s">
        <v>4074</v>
      </c>
      <c r="C570" s="66" t="s">
        <v>38</v>
      </c>
      <c r="D570" s="105" t="s">
        <v>4451</v>
      </c>
      <c r="E570" s="106" t="s">
        <v>30</v>
      </c>
      <c r="F570" s="107" t="s">
        <v>5017</v>
      </c>
      <c r="G570" s="108">
        <v>1.75</v>
      </c>
      <c r="H570" s="109">
        <f>WORKDAY(I560,1)</f>
        <v>46176</v>
      </c>
      <c r="I570" s="109">
        <f t="shared" si="47"/>
        <v>46177</v>
      </c>
      <c r="J570" s="110"/>
      <c r="K570" s="110"/>
      <c r="L570" s="111"/>
      <c r="M570" s="66" t="s">
        <v>4453</v>
      </c>
      <c r="N570" s="66"/>
      <c r="O570" s="112" t="str">
        <f t="shared" si="46"/>
        <v/>
      </c>
      <c r="P570" s="111"/>
    </row>
    <row r="571" spans="1:16" ht="19.5" customHeight="1" x14ac:dyDescent="0.25">
      <c r="A571" s="104" t="s">
        <v>4430</v>
      </c>
      <c r="B571" s="66" t="s">
        <v>4074</v>
      </c>
      <c r="C571" s="66" t="s">
        <v>46</v>
      </c>
      <c r="D571" s="105" t="s">
        <v>4451</v>
      </c>
      <c r="E571" s="106" t="s">
        <v>30</v>
      </c>
      <c r="F571" s="107" t="s">
        <v>5018</v>
      </c>
      <c r="G571" s="108">
        <v>2.5</v>
      </c>
      <c r="H571" s="109">
        <f>WORKDAY(I560,1)</f>
        <v>46176</v>
      </c>
      <c r="I571" s="109">
        <f t="shared" si="47"/>
        <v>46177</v>
      </c>
      <c r="J571" s="110"/>
      <c r="K571" s="110"/>
      <c r="L571" s="111"/>
      <c r="M571" s="66" t="s">
        <v>4453</v>
      </c>
      <c r="N571" s="66"/>
      <c r="O571" s="112" t="str">
        <f t="shared" si="46"/>
        <v/>
      </c>
      <c r="P571" s="111"/>
    </row>
    <row r="572" spans="1:16" ht="19.5" customHeight="1" x14ac:dyDescent="0.25">
      <c r="A572" s="104" t="s">
        <v>4430</v>
      </c>
      <c r="B572" s="66" t="s">
        <v>4074</v>
      </c>
      <c r="C572" s="66" t="s">
        <v>53</v>
      </c>
      <c r="D572" s="105" t="s">
        <v>4451</v>
      </c>
      <c r="E572" s="106" t="s">
        <v>30</v>
      </c>
      <c r="F572" s="107" t="s">
        <v>5019</v>
      </c>
      <c r="G572" s="108">
        <v>1.75</v>
      </c>
      <c r="H572" s="109">
        <f>WORKDAY(I560,1)</f>
        <v>46176</v>
      </c>
      <c r="I572" s="109">
        <f t="shared" si="47"/>
        <v>46177</v>
      </c>
      <c r="J572" s="110"/>
      <c r="K572" s="110"/>
      <c r="L572" s="111"/>
      <c r="M572" s="66" t="s">
        <v>4453</v>
      </c>
      <c r="N572" s="66"/>
      <c r="O572" s="112" t="str">
        <f t="shared" si="46"/>
        <v/>
      </c>
      <c r="P572" s="111"/>
    </row>
    <row r="573" spans="1:16" ht="19.5" customHeight="1" x14ac:dyDescent="0.25">
      <c r="A573" s="104" t="s">
        <v>4430</v>
      </c>
      <c r="B573" s="66" t="s">
        <v>4074</v>
      </c>
      <c r="C573" s="66" t="s">
        <v>64</v>
      </c>
      <c r="D573" s="105" t="s">
        <v>4451</v>
      </c>
      <c r="E573" s="106" t="s">
        <v>30</v>
      </c>
      <c r="F573" s="107" t="s">
        <v>5020</v>
      </c>
      <c r="G573" s="108">
        <v>2.5</v>
      </c>
      <c r="H573" s="109">
        <f>WORKDAY(I560,1)</f>
        <v>46176</v>
      </c>
      <c r="I573" s="109">
        <f t="shared" si="47"/>
        <v>46177</v>
      </c>
      <c r="J573" s="110"/>
      <c r="K573" s="110"/>
      <c r="L573" s="111"/>
      <c r="M573" s="66" t="s">
        <v>4453</v>
      </c>
      <c r="N573" s="66"/>
      <c r="O573" s="112" t="str">
        <f t="shared" si="46"/>
        <v/>
      </c>
      <c r="P573" s="111"/>
    </row>
    <row r="574" spans="1:16" ht="19.5" customHeight="1" x14ac:dyDescent="0.25">
      <c r="A574" s="104" t="s">
        <v>4430</v>
      </c>
      <c r="B574" s="66" t="s">
        <v>4074</v>
      </c>
      <c r="C574" s="66" t="s">
        <v>72</v>
      </c>
      <c r="D574" s="105" t="s">
        <v>4451</v>
      </c>
      <c r="E574" s="106" t="s">
        <v>30</v>
      </c>
      <c r="F574" s="107" t="s">
        <v>5021</v>
      </c>
      <c r="G574" s="108">
        <v>1.75</v>
      </c>
      <c r="H574" s="109">
        <f>WORKDAY(I560,1)</f>
        <v>46176</v>
      </c>
      <c r="I574" s="109">
        <f t="shared" si="47"/>
        <v>46177</v>
      </c>
      <c r="J574" s="110"/>
      <c r="K574" s="110"/>
      <c r="L574" s="111"/>
      <c r="M574" s="66" t="s">
        <v>4453</v>
      </c>
      <c r="N574" s="66"/>
      <c r="O574" s="112" t="str">
        <f t="shared" si="46"/>
        <v/>
      </c>
      <c r="P574" s="111"/>
    </row>
    <row r="575" spans="1:16" ht="19.5" customHeight="1" x14ac:dyDescent="0.25">
      <c r="A575" s="104" t="s">
        <v>4430</v>
      </c>
      <c r="B575" s="66" t="s">
        <v>4142</v>
      </c>
      <c r="C575" s="66" t="s">
        <v>26</v>
      </c>
      <c r="D575" s="105" t="s">
        <v>4451</v>
      </c>
      <c r="E575" s="106" t="s">
        <v>30</v>
      </c>
      <c r="F575" s="107" t="s">
        <v>5022</v>
      </c>
      <c r="G575" s="108">
        <v>1.75</v>
      </c>
      <c r="H575" s="109">
        <f>WORKDAY(I560,1)</f>
        <v>46176</v>
      </c>
      <c r="I575" s="109">
        <f t="shared" si="47"/>
        <v>46177</v>
      </c>
      <c r="J575" s="110"/>
      <c r="K575" s="110"/>
      <c r="L575" s="111"/>
      <c r="M575" s="66" t="s">
        <v>4453</v>
      </c>
      <c r="N575" s="66"/>
      <c r="O575" s="112" t="str">
        <f t="shared" si="46"/>
        <v/>
      </c>
      <c r="P575" s="111"/>
    </row>
    <row r="576" spans="1:16" ht="19.5" customHeight="1" x14ac:dyDescent="0.25">
      <c r="A576" s="104" t="s">
        <v>4430</v>
      </c>
      <c r="B576" s="66" t="s">
        <v>4142</v>
      </c>
      <c r="C576" s="66" t="s">
        <v>38</v>
      </c>
      <c r="D576" s="105" t="s">
        <v>4451</v>
      </c>
      <c r="E576" s="106" t="s">
        <v>30</v>
      </c>
      <c r="F576" s="107" t="s">
        <v>5023</v>
      </c>
      <c r="G576" s="108">
        <v>1.25</v>
      </c>
      <c r="H576" s="109">
        <f>WORKDAY(I560,1)</f>
        <v>46176</v>
      </c>
      <c r="I576" s="109">
        <f>H576</f>
        <v>46176</v>
      </c>
      <c r="J576" s="110"/>
      <c r="K576" s="110"/>
      <c r="L576" s="111"/>
      <c r="M576" s="66" t="s">
        <v>4453</v>
      </c>
      <c r="N576" s="66"/>
      <c r="O576" s="112" t="str">
        <f t="shared" si="46"/>
        <v/>
      </c>
      <c r="P576" s="111"/>
    </row>
    <row r="577" spans="1:16" ht="19.5" customHeight="1" x14ac:dyDescent="0.25">
      <c r="A577" s="104" t="s">
        <v>4430</v>
      </c>
      <c r="B577" s="66" t="s">
        <v>4142</v>
      </c>
      <c r="C577" s="66" t="s">
        <v>46</v>
      </c>
      <c r="D577" s="105" t="s">
        <v>4451</v>
      </c>
      <c r="E577" s="106" t="s">
        <v>30</v>
      </c>
      <c r="F577" s="107" t="s">
        <v>5024</v>
      </c>
      <c r="G577" s="108">
        <v>1.25</v>
      </c>
      <c r="H577" s="109">
        <f>WORKDAY(I560,1)</f>
        <v>46176</v>
      </c>
      <c r="I577" s="109">
        <f>H577</f>
        <v>46176</v>
      </c>
      <c r="J577" s="110"/>
      <c r="K577" s="110"/>
      <c r="L577" s="111"/>
      <c r="M577" s="66" t="s">
        <v>4453</v>
      </c>
      <c r="N577" s="66"/>
      <c r="O577" s="112" t="str">
        <f t="shared" si="46"/>
        <v/>
      </c>
      <c r="P577" s="111"/>
    </row>
    <row r="578" spans="1:16" ht="19.5" customHeight="1" x14ac:dyDescent="0.25">
      <c r="A578" s="104" t="s">
        <v>4430</v>
      </c>
      <c r="B578" s="66" t="s">
        <v>4142</v>
      </c>
      <c r="C578" s="66" t="s">
        <v>53</v>
      </c>
      <c r="D578" s="105" t="s">
        <v>4451</v>
      </c>
      <c r="E578" s="106" t="s">
        <v>30</v>
      </c>
      <c r="F578" s="107" t="s">
        <v>5025</v>
      </c>
      <c r="G578" s="108">
        <v>1.25</v>
      </c>
      <c r="H578" s="109">
        <f>WORKDAY(I560,1)</f>
        <v>46176</v>
      </c>
      <c r="I578" s="109">
        <f>H578</f>
        <v>46176</v>
      </c>
      <c r="J578" s="110"/>
      <c r="K578" s="110"/>
      <c r="L578" s="111"/>
      <c r="M578" s="66" t="s">
        <v>4453</v>
      </c>
      <c r="N578" s="66"/>
      <c r="O578" s="112" t="str">
        <f t="shared" si="46"/>
        <v/>
      </c>
      <c r="P578" s="111"/>
    </row>
    <row r="579" spans="1:16" ht="19.5" customHeight="1" x14ac:dyDescent="0.25">
      <c r="A579" s="104" t="s">
        <v>4430</v>
      </c>
      <c r="B579" s="66" t="s">
        <v>4142</v>
      </c>
      <c r="C579" s="66" t="s">
        <v>64</v>
      </c>
      <c r="D579" s="105" t="s">
        <v>4451</v>
      </c>
      <c r="E579" s="106" t="s">
        <v>30</v>
      </c>
      <c r="F579" s="107" t="s">
        <v>5026</v>
      </c>
      <c r="G579" s="108">
        <v>2.5</v>
      </c>
      <c r="H579" s="109">
        <f>WORKDAY(I560,1)</f>
        <v>46176</v>
      </c>
      <c r="I579" s="109">
        <f>WORKDAY(H579,1)</f>
        <v>46177</v>
      </c>
      <c r="J579" s="110"/>
      <c r="K579" s="110"/>
      <c r="L579" s="111"/>
      <c r="M579" s="66" t="s">
        <v>4453</v>
      </c>
      <c r="N579" s="66"/>
      <c r="O579" s="112" t="str">
        <f t="shared" si="46"/>
        <v/>
      </c>
      <c r="P579" s="111"/>
    </row>
    <row r="580" spans="1:16" ht="19.5" customHeight="1" x14ac:dyDescent="0.25">
      <c r="A580" s="104" t="s">
        <v>4430</v>
      </c>
      <c r="B580" s="66" t="s">
        <v>4142</v>
      </c>
      <c r="C580" s="66" t="s">
        <v>72</v>
      </c>
      <c r="D580" s="105" t="s">
        <v>4451</v>
      </c>
      <c r="E580" s="106" t="s">
        <v>30</v>
      </c>
      <c r="F580" s="107" t="s">
        <v>5027</v>
      </c>
      <c r="G580" s="108">
        <v>1.25</v>
      </c>
      <c r="H580" s="109">
        <f>WORKDAY(I560,1)</f>
        <v>46176</v>
      </c>
      <c r="I580" s="109">
        <f>H580</f>
        <v>46176</v>
      </c>
      <c r="J580" s="110"/>
      <c r="K580" s="110"/>
      <c r="L580" s="111"/>
      <c r="M580" s="66" t="s">
        <v>4453</v>
      </c>
      <c r="N580" s="66"/>
      <c r="O580" s="112" t="str">
        <f t="shared" si="46"/>
        <v/>
      </c>
      <c r="P580" s="111"/>
    </row>
    <row r="581" spans="1:16" ht="19.5" customHeight="1" x14ac:dyDescent="0.25">
      <c r="A581" s="104" t="s">
        <v>4430</v>
      </c>
      <c r="B581" s="66" t="s">
        <v>4235</v>
      </c>
      <c r="C581" s="66" t="s">
        <v>26</v>
      </c>
      <c r="D581" s="105" t="s">
        <v>4451</v>
      </c>
      <c r="E581" s="106" t="s">
        <v>30</v>
      </c>
      <c r="F581" s="107" t="s">
        <v>5028</v>
      </c>
      <c r="G581" s="108">
        <v>2.5</v>
      </c>
      <c r="H581" s="109">
        <f>WORKDAY(I560,1)</f>
        <v>46176</v>
      </c>
      <c r="I581" s="109">
        <f>WORKDAY(H581,1)</f>
        <v>46177</v>
      </c>
      <c r="J581" s="110"/>
      <c r="K581" s="110"/>
      <c r="L581" s="111"/>
      <c r="M581" s="66" t="s">
        <v>4453</v>
      </c>
      <c r="N581" s="66"/>
      <c r="O581" s="112" t="str">
        <f t="shared" si="46"/>
        <v/>
      </c>
      <c r="P581" s="111"/>
    </row>
    <row r="582" spans="1:16" ht="19.5" customHeight="1" x14ac:dyDescent="0.25">
      <c r="A582" s="104" t="s">
        <v>4430</v>
      </c>
      <c r="B582" s="66" t="s">
        <v>4235</v>
      </c>
      <c r="C582" s="66" t="s">
        <v>38</v>
      </c>
      <c r="D582" s="105" t="s">
        <v>4451</v>
      </c>
      <c r="E582" s="106" t="s">
        <v>30</v>
      </c>
      <c r="F582" s="107" t="s">
        <v>5029</v>
      </c>
      <c r="G582" s="108">
        <v>2.5</v>
      </c>
      <c r="H582" s="109">
        <f>WORKDAY(I560,1)</f>
        <v>46176</v>
      </c>
      <c r="I582" s="109">
        <f>WORKDAY(H582,1)</f>
        <v>46177</v>
      </c>
      <c r="J582" s="110"/>
      <c r="K582" s="110"/>
      <c r="L582" s="111"/>
      <c r="M582" s="66" t="s">
        <v>4453</v>
      </c>
      <c r="N582" s="66"/>
      <c r="O582" s="112" t="str">
        <f t="shared" si="46"/>
        <v/>
      </c>
      <c r="P582" s="111"/>
    </row>
    <row r="583" spans="1:16" ht="19.5" customHeight="1" x14ac:dyDescent="0.25">
      <c r="A583" s="104" t="s">
        <v>4430</v>
      </c>
      <c r="B583" s="66" t="s">
        <v>4235</v>
      </c>
      <c r="C583" s="66" t="s">
        <v>46</v>
      </c>
      <c r="D583" s="105" t="s">
        <v>4451</v>
      </c>
      <c r="E583" s="106" t="s">
        <v>30</v>
      </c>
      <c r="F583" s="107" t="s">
        <v>5030</v>
      </c>
      <c r="G583" s="108">
        <v>3</v>
      </c>
      <c r="H583" s="109">
        <f>WORKDAY(I560,1)</f>
        <v>46176</v>
      </c>
      <c r="I583" s="109">
        <f>WORKDAY(H583,2)</f>
        <v>46178</v>
      </c>
      <c r="J583" s="110"/>
      <c r="K583" s="110"/>
      <c r="L583" s="111"/>
      <c r="M583" s="66" t="s">
        <v>4453</v>
      </c>
      <c r="N583" s="66"/>
      <c r="O583" s="112" t="str">
        <f t="shared" si="46"/>
        <v/>
      </c>
      <c r="P583" s="111"/>
    </row>
    <row r="584" spans="1:16" ht="19.5" customHeight="1" x14ac:dyDescent="0.25">
      <c r="A584" s="104" t="s">
        <v>4430</v>
      </c>
      <c r="B584" s="66" t="s">
        <v>4235</v>
      </c>
      <c r="C584" s="66" t="s">
        <v>53</v>
      </c>
      <c r="D584" s="105" t="s">
        <v>4451</v>
      </c>
      <c r="E584" s="106" t="s">
        <v>30</v>
      </c>
      <c r="F584" s="107" t="s">
        <v>5031</v>
      </c>
      <c r="G584" s="108">
        <v>1.25</v>
      </c>
      <c r="H584" s="109">
        <f>WORKDAY(I560,1)</f>
        <v>46176</v>
      </c>
      <c r="I584" s="109">
        <f>H584</f>
        <v>46176</v>
      </c>
      <c r="J584" s="110"/>
      <c r="K584" s="110"/>
      <c r="L584" s="111"/>
      <c r="M584" s="66" t="s">
        <v>4453</v>
      </c>
      <c r="N584" s="66"/>
      <c r="O584" s="112" t="str">
        <f t="shared" si="46"/>
        <v/>
      </c>
      <c r="P584" s="111"/>
    </row>
    <row r="585" spans="1:16" ht="19.5" customHeight="1" x14ac:dyDescent="0.25">
      <c r="A585" s="104" t="s">
        <v>4430</v>
      </c>
      <c r="B585" s="66" t="s">
        <v>4235</v>
      </c>
      <c r="C585" s="66" t="s">
        <v>64</v>
      </c>
      <c r="D585" s="105" t="s">
        <v>4451</v>
      </c>
      <c r="E585" s="106" t="s">
        <v>30</v>
      </c>
      <c r="F585" s="107" t="s">
        <v>5032</v>
      </c>
      <c r="G585" s="108">
        <v>1.75</v>
      </c>
      <c r="H585" s="109">
        <f>WORKDAY(I560,1)</f>
        <v>46176</v>
      </c>
      <c r="I585" s="109">
        <f>WORKDAY(H585,1)</f>
        <v>46177</v>
      </c>
      <c r="J585" s="110"/>
      <c r="K585" s="110"/>
      <c r="L585" s="111"/>
      <c r="M585" s="66" t="s">
        <v>4453</v>
      </c>
      <c r="N585" s="66"/>
      <c r="O585" s="112" t="str">
        <f t="shared" si="46"/>
        <v/>
      </c>
      <c r="P585" s="111"/>
    </row>
    <row r="586" spans="1:16" ht="19.5" customHeight="1" x14ac:dyDescent="0.25">
      <c r="A586" s="113" t="s">
        <v>4430</v>
      </c>
      <c r="B586" s="67" t="s">
        <v>3139</v>
      </c>
      <c r="C586" s="67" t="s">
        <v>112</v>
      </c>
      <c r="D586" s="114" t="s">
        <v>4451</v>
      </c>
      <c r="E586" s="115" t="s">
        <v>116</v>
      </c>
      <c r="F586" s="116" t="s">
        <v>5033</v>
      </c>
      <c r="G586" s="117">
        <v>0.5</v>
      </c>
      <c r="H586" s="118">
        <f>WORKDAY(I560,1)</f>
        <v>46176</v>
      </c>
      <c r="I586" s="118">
        <f t="shared" ref="I586:I592" si="48">H586</f>
        <v>46176</v>
      </c>
      <c r="J586" s="110"/>
      <c r="K586" s="110"/>
      <c r="L586" s="119"/>
      <c r="M586" s="67" t="s">
        <v>4453</v>
      </c>
      <c r="N586" s="67"/>
      <c r="O586" s="112" t="str">
        <f t="shared" si="46"/>
        <v/>
      </c>
      <c r="P586" s="119"/>
    </row>
    <row r="587" spans="1:16" ht="19.5" customHeight="1" x14ac:dyDescent="0.25">
      <c r="A587" s="113" t="s">
        <v>4430</v>
      </c>
      <c r="B587" s="67" t="s">
        <v>3139</v>
      </c>
      <c r="C587" s="67" t="s">
        <v>120</v>
      </c>
      <c r="D587" s="114" t="s">
        <v>4451</v>
      </c>
      <c r="E587" s="115" t="s">
        <v>116</v>
      </c>
      <c r="F587" s="116" t="s">
        <v>5034</v>
      </c>
      <c r="G587" s="117">
        <v>1</v>
      </c>
      <c r="H587" s="118">
        <f>WORKDAY(I560,1)</f>
        <v>46176</v>
      </c>
      <c r="I587" s="118">
        <f t="shared" si="48"/>
        <v>46176</v>
      </c>
      <c r="J587" s="110"/>
      <c r="K587" s="110"/>
      <c r="L587" s="119"/>
      <c r="M587" s="67" t="s">
        <v>4453</v>
      </c>
      <c r="N587" s="67"/>
      <c r="O587" s="112" t="str">
        <f t="shared" si="46"/>
        <v/>
      </c>
      <c r="P587" s="119"/>
    </row>
    <row r="588" spans="1:16" ht="19.5" customHeight="1" x14ac:dyDescent="0.25">
      <c r="A588" s="113" t="s">
        <v>4430</v>
      </c>
      <c r="B588" s="67" t="s">
        <v>3139</v>
      </c>
      <c r="C588" s="67" t="s">
        <v>127</v>
      </c>
      <c r="D588" s="114" t="s">
        <v>4451</v>
      </c>
      <c r="E588" s="115" t="s">
        <v>116</v>
      </c>
      <c r="F588" s="116" t="s">
        <v>5035</v>
      </c>
      <c r="G588" s="117">
        <v>0.25</v>
      </c>
      <c r="H588" s="118">
        <f>WORKDAY(I560,1)</f>
        <v>46176</v>
      </c>
      <c r="I588" s="118">
        <f t="shared" si="48"/>
        <v>46176</v>
      </c>
      <c r="J588" s="110"/>
      <c r="K588" s="110"/>
      <c r="L588" s="119"/>
      <c r="M588" s="67" t="s">
        <v>4453</v>
      </c>
      <c r="N588" s="67"/>
      <c r="O588" s="112" t="str">
        <f t="shared" si="46"/>
        <v/>
      </c>
      <c r="P588" s="119"/>
    </row>
    <row r="589" spans="1:16" ht="19.5" customHeight="1" x14ac:dyDescent="0.25">
      <c r="A589" s="113" t="s">
        <v>4430</v>
      </c>
      <c r="B589" s="67" t="s">
        <v>3139</v>
      </c>
      <c r="C589" s="67" t="s">
        <v>134</v>
      </c>
      <c r="D589" s="114" t="s">
        <v>4451</v>
      </c>
      <c r="E589" s="115" t="s">
        <v>116</v>
      </c>
      <c r="F589" s="116" t="s">
        <v>5036</v>
      </c>
      <c r="G589" s="117">
        <v>0.5</v>
      </c>
      <c r="H589" s="118">
        <f>WORKDAY(I560,1)</f>
        <v>46176</v>
      </c>
      <c r="I589" s="118">
        <f t="shared" si="48"/>
        <v>46176</v>
      </c>
      <c r="J589" s="110"/>
      <c r="K589" s="110"/>
      <c r="L589" s="119"/>
      <c r="M589" s="67" t="s">
        <v>4453</v>
      </c>
      <c r="N589" s="67"/>
      <c r="O589" s="112" t="str">
        <f t="shared" si="46"/>
        <v/>
      </c>
      <c r="P589" s="119"/>
    </row>
    <row r="590" spans="1:16" ht="19.5" customHeight="1" x14ac:dyDescent="0.25">
      <c r="A590" s="113" t="s">
        <v>4430</v>
      </c>
      <c r="B590" s="67" t="s">
        <v>3139</v>
      </c>
      <c r="C590" s="67" t="s">
        <v>142</v>
      </c>
      <c r="D590" s="114" t="s">
        <v>4451</v>
      </c>
      <c r="E590" s="115" t="s">
        <v>116</v>
      </c>
      <c r="F590" s="116" t="s">
        <v>5037</v>
      </c>
      <c r="G590" s="117">
        <v>0.25</v>
      </c>
      <c r="H590" s="118">
        <f>WORKDAY(I560,1)</f>
        <v>46176</v>
      </c>
      <c r="I590" s="118">
        <f t="shared" si="48"/>
        <v>46176</v>
      </c>
      <c r="J590" s="110"/>
      <c r="K590" s="110"/>
      <c r="L590" s="119"/>
      <c r="M590" s="67" t="s">
        <v>4453</v>
      </c>
      <c r="N590" s="67"/>
      <c r="O590" s="112" t="str">
        <f t="shared" si="46"/>
        <v/>
      </c>
      <c r="P590" s="119"/>
    </row>
    <row r="591" spans="1:16" ht="19.5" customHeight="1" x14ac:dyDescent="0.25">
      <c r="A591" s="113" t="s">
        <v>4430</v>
      </c>
      <c r="B591" s="67" t="s">
        <v>3195</v>
      </c>
      <c r="C591" s="67" t="s">
        <v>112</v>
      </c>
      <c r="D591" s="114" t="s">
        <v>4451</v>
      </c>
      <c r="E591" s="115" t="s">
        <v>116</v>
      </c>
      <c r="F591" s="116" t="s">
        <v>5038</v>
      </c>
      <c r="G591" s="117">
        <v>0.5</v>
      </c>
      <c r="H591" s="118">
        <f>WORKDAY(I560,1)</f>
        <v>46176</v>
      </c>
      <c r="I591" s="118">
        <f t="shared" si="48"/>
        <v>46176</v>
      </c>
      <c r="J591" s="110"/>
      <c r="K591" s="110"/>
      <c r="L591" s="119"/>
      <c r="M591" s="67" t="s">
        <v>4453</v>
      </c>
      <c r="N591" s="67"/>
      <c r="O591" s="112" t="str">
        <f t="shared" si="46"/>
        <v/>
      </c>
      <c r="P591" s="119"/>
    </row>
    <row r="592" spans="1:16" ht="19.5" customHeight="1" x14ac:dyDescent="0.25">
      <c r="A592" s="113" t="s">
        <v>4430</v>
      </c>
      <c r="B592" s="67" t="s">
        <v>3195</v>
      </c>
      <c r="C592" s="67" t="s">
        <v>120</v>
      </c>
      <c r="D592" s="114" t="s">
        <v>4451</v>
      </c>
      <c r="E592" s="115" t="s">
        <v>116</v>
      </c>
      <c r="F592" s="116" t="s">
        <v>5039</v>
      </c>
      <c r="G592" s="117">
        <v>0.5</v>
      </c>
      <c r="H592" s="118">
        <f>WORKDAY(I560,1)</f>
        <v>46176</v>
      </c>
      <c r="I592" s="118">
        <f t="shared" si="48"/>
        <v>46176</v>
      </c>
      <c r="J592" s="110"/>
      <c r="K592" s="110"/>
      <c r="L592" s="119"/>
      <c r="M592" s="67" t="s">
        <v>4453</v>
      </c>
      <c r="N592" s="67"/>
      <c r="O592" s="112" t="str">
        <f t="shared" si="46"/>
        <v/>
      </c>
      <c r="P592" s="119"/>
    </row>
    <row r="593" spans="1:16" ht="19.5" customHeight="1" x14ac:dyDescent="0.25">
      <c r="A593" s="113" t="s">
        <v>4430</v>
      </c>
      <c r="B593" s="67" t="s">
        <v>3195</v>
      </c>
      <c r="C593" s="67" t="s">
        <v>127</v>
      </c>
      <c r="D593" s="114" t="s">
        <v>4451</v>
      </c>
      <c r="E593" s="115" t="s">
        <v>116</v>
      </c>
      <c r="F593" s="116" t="s">
        <v>5040</v>
      </c>
      <c r="G593" s="117">
        <v>2.5</v>
      </c>
      <c r="H593" s="118">
        <f>WORKDAY(I560,1)</f>
        <v>46176</v>
      </c>
      <c r="I593" s="118">
        <f>WORKDAY(H593,1)</f>
        <v>46177</v>
      </c>
      <c r="J593" s="110"/>
      <c r="K593" s="110"/>
      <c r="L593" s="119"/>
      <c r="M593" s="67" t="s">
        <v>4453</v>
      </c>
      <c r="N593" s="67"/>
      <c r="O593" s="112" t="str">
        <f t="shared" si="46"/>
        <v/>
      </c>
      <c r="P593" s="119"/>
    </row>
    <row r="594" spans="1:16" ht="19.5" customHeight="1" x14ac:dyDescent="0.25">
      <c r="A594" s="113" t="s">
        <v>4430</v>
      </c>
      <c r="B594" s="67" t="s">
        <v>3195</v>
      </c>
      <c r="C594" s="67" t="s">
        <v>134</v>
      </c>
      <c r="D594" s="114" t="s">
        <v>4451</v>
      </c>
      <c r="E594" s="115" t="s">
        <v>116</v>
      </c>
      <c r="F594" s="116" t="s">
        <v>5041</v>
      </c>
      <c r="G594" s="117">
        <v>0.5</v>
      </c>
      <c r="H594" s="118">
        <f>WORKDAY(I560,1)</f>
        <v>46176</v>
      </c>
      <c r="I594" s="118">
        <f>H594</f>
        <v>46176</v>
      </c>
      <c r="J594" s="110"/>
      <c r="K594" s="110"/>
      <c r="L594" s="119"/>
      <c r="M594" s="67" t="s">
        <v>4453</v>
      </c>
      <c r="N594" s="67"/>
      <c r="O594" s="112" t="str">
        <f t="shared" si="46"/>
        <v/>
      </c>
      <c r="P594" s="119"/>
    </row>
    <row r="595" spans="1:16" ht="19.5" customHeight="1" x14ac:dyDescent="0.25">
      <c r="A595" s="113" t="s">
        <v>4430</v>
      </c>
      <c r="B595" s="67" t="s">
        <v>3195</v>
      </c>
      <c r="C595" s="67" t="s">
        <v>142</v>
      </c>
      <c r="D595" s="114" t="s">
        <v>4451</v>
      </c>
      <c r="E595" s="115" t="s">
        <v>116</v>
      </c>
      <c r="F595" s="116" t="s">
        <v>5042</v>
      </c>
      <c r="G595" s="117">
        <v>0.5</v>
      </c>
      <c r="H595" s="118">
        <f>WORKDAY(I560,1)</f>
        <v>46176</v>
      </c>
      <c r="I595" s="118">
        <f>H595</f>
        <v>46176</v>
      </c>
      <c r="J595" s="110"/>
      <c r="K595" s="110"/>
      <c r="L595" s="119"/>
      <c r="M595" s="67" t="s">
        <v>4453</v>
      </c>
      <c r="N595" s="67"/>
      <c r="O595" s="112" t="str">
        <f t="shared" si="46"/>
        <v/>
      </c>
      <c r="P595" s="119"/>
    </row>
    <row r="596" spans="1:16" ht="19.5" customHeight="1" x14ac:dyDescent="0.25">
      <c r="A596" s="113" t="s">
        <v>4430</v>
      </c>
      <c r="B596" s="67" t="s">
        <v>3195</v>
      </c>
      <c r="C596" s="67" t="s">
        <v>150</v>
      </c>
      <c r="D596" s="114" t="s">
        <v>4451</v>
      </c>
      <c r="E596" s="115" t="s">
        <v>116</v>
      </c>
      <c r="F596" s="116" t="s">
        <v>5043</v>
      </c>
      <c r="G596" s="117">
        <v>1</v>
      </c>
      <c r="H596" s="118">
        <f>WORKDAY(I560,1)</f>
        <v>46176</v>
      </c>
      <c r="I596" s="118">
        <f>H596</f>
        <v>46176</v>
      </c>
      <c r="J596" s="110"/>
      <c r="K596" s="110"/>
      <c r="L596" s="119"/>
      <c r="M596" s="67" t="s">
        <v>4453</v>
      </c>
      <c r="N596" s="67"/>
      <c r="O596" s="112" t="str">
        <f t="shared" si="46"/>
        <v/>
      </c>
      <c r="P596" s="119"/>
    </row>
    <row r="597" spans="1:16" ht="19.5" customHeight="1" x14ac:dyDescent="0.25">
      <c r="A597" s="113" t="s">
        <v>4430</v>
      </c>
      <c r="B597" s="67" t="s">
        <v>3195</v>
      </c>
      <c r="C597" s="67" t="s">
        <v>478</v>
      </c>
      <c r="D597" s="114" t="s">
        <v>4451</v>
      </c>
      <c r="E597" s="115" t="s">
        <v>116</v>
      </c>
      <c r="F597" s="116" t="s">
        <v>5044</v>
      </c>
      <c r="G597" s="117">
        <v>1</v>
      </c>
      <c r="H597" s="118">
        <f>WORKDAY(I560,1)</f>
        <v>46176</v>
      </c>
      <c r="I597" s="118">
        <f>H597</f>
        <v>46176</v>
      </c>
      <c r="J597" s="110"/>
      <c r="K597" s="110"/>
      <c r="L597" s="119"/>
      <c r="M597" s="67" t="s">
        <v>4453</v>
      </c>
      <c r="N597" s="67"/>
      <c r="O597" s="112" t="str">
        <f t="shared" si="46"/>
        <v/>
      </c>
      <c r="P597" s="119"/>
    </row>
    <row r="598" spans="1:16" ht="19.5" customHeight="1" x14ac:dyDescent="0.25">
      <c r="A598" s="113" t="s">
        <v>4430</v>
      </c>
      <c r="B598" s="67" t="s">
        <v>3195</v>
      </c>
      <c r="C598" s="67" t="s">
        <v>487</v>
      </c>
      <c r="D598" s="114" t="s">
        <v>4451</v>
      </c>
      <c r="E598" s="115" t="s">
        <v>116</v>
      </c>
      <c r="F598" s="116" t="s">
        <v>5045</v>
      </c>
      <c r="G598" s="117">
        <v>0.5</v>
      </c>
      <c r="H598" s="118">
        <f>WORKDAY(I560,1)</f>
        <v>46176</v>
      </c>
      <c r="I598" s="118">
        <f>H598</f>
        <v>46176</v>
      </c>
      <c r="J598" s="110"/>
      <c r="K598" s="110"/>
      <c r="L598" s="119"/>
      <c r="M598" s="67" t="s">
        <v>4453</v>
      </c>
      <c r="N598" s="67"/>
      <c r="O598" s="112" t="str">
        <f t="shared" si="46"/>
        <v/>
      </c>
      <c r="P598" s="119"/>
    </row>
    <row r="599" spans="1:16" ht="19.5" customHeight="1" x14ac:dyDescent="0.25">
      <c r="A599" s="113" t="s">
        <v>4430</v>
      </c>
      <c r="B599" s="67" t="s">
        <v>4074</v>
      </c>
      <c r="C599" s="67" t="s">
        <v>112</v>
      </c>
      <c r="D599" s="114" t="s">
        <v>4451</v>
      </c>
      <c r="E599" s="115" t="s">
        <v>116</v>
      </c>
      <c r="F599" s="116" t="s">
        <v>5046</v>
      </c>
      <c r="G599" s="117">
        <v>1.75</v>
      </c>
      <c r="H599" s="118">
        <f>WORKDAY(I560,1)</f>
        <v>46176</v>
      </c>
      <c r="I599" s="118">
        <f>WORKDAY(H599,1)</f>
        <v>46177</v>
      </c>
      <c r="J599" s="110"/>
      <c r="K599" s="110"/>
      <c r="L599" s="119"/>
      <c r="M599" s="67" t="s">
        <v>4453</v>
      </c>
      <c r="N599" s="67"/>
      <c r="O599" s="112" t="str">
        <f t="shared" si="46"/>
        <v/>
      </c>
      <c r="P599" s="119"/>
    </row>
    <row r="600" spans="1:16" ht="19.5" customHeight="1" x14ac:dyDescent="0.25">
      <c r="A600" s="113" t="s">
        <v>4430</v>
      </c>
      <c r="B600" s="67" t="s">
        <v>4142</v>
      </c>
      <c r="C600" s="67" t="s">
        <v>112</v>
      </c>
      <c r="D600" s="114" t="s">
        <v>4451</v>
      </c>
      <c r="E600" s="115" t="s">
        <v>116</v>
      </c>
      <c r="F600" s="116" t="s">
        <v>5047</v>
      </c>
      <c r="G600" s="117">
        <v>1.75</v>
      </c>
      <c r="H600" s="118">
        <f>WORKDAY(I560,1)</f>
        <v>46176</v>
      </c>
      <c r="I600" s="118">
        <f>WORKDAY(H600,1)</f>
        <v>46177</v>
      </c>
      <c r="J600" s="110"/>
      <c r="K600" s="110"/>
      <c r="L600" s="119"/>
      <c r="M600" s="67" t="s">
        <v>4453</v>
      </c>
      <c r="N600" s="67"/>
      <c r="O600" s="112" t="str">
        <f t="shared" si="46"/>
        <v/>
      </c>
      <c r="P600" s="119"/>
    </row>
    <row r="601" spans="1:16" ht="19.5" customHeight="1" x14ac:dyDescent="0.25">
      <c r="A601" s="113" t="s">
        <v>4430</v>
      </c>
      <c r="B601" s="67" t="s">
        <v>4142</v>
      </c>
      <c r="C601" s="67" t="s">
        <v>120</v>
      </c>
      <c r="D601" s="114" t="s">
        <v>4451</v>
      </c>
      <c r="E601" s="115" t="s">
        <v>116</v>
      </c>
      <c r="F601" s="116" t="s">
        <v>5048</v>
      </c>
      <c r="G601" s="117">
        <v>1.25</v>
      </c>
      <c r="H601" s="118">
        <f>WORKDAY(I560,1)</f>
        <v>46176</v>
      </c>
      <c r="I601" s="118">
        <f>H601</f>
        <v>46176</v>
      </c>
      <c r="J601" s="110"/>
      <c r="K601" s="110"/>
      <c r="L601" s="119"/>
      <c r="M601" s="67" t="s">
        <v>4453</v>
      </c>
      <c r="N601" s="67"/>
      <c r="O601" s="112" t="str">
        <f t="shared" si="46"/>
        <v/>
      </c>
      <c r="P601" s="119"/>
    </row>
    <row r="602" spans="1:16" ht="19.5" customHeight="1" x14ac:dyDescent="0.25">
      <c r="A602" s="113" t="s">
        <v>4430</v>
      </c>
      <c r="B602" s="67" t="s">
        <v>4235</v>
      </c>
      <c r="C602" s="67" t="s">
        <v>112</v>
      </c>
      <c r="D602" s="114" t="s">
        <v>4451</v>
      </c>
      <c r="E602" s="115" t="s">
        <v>116</v>
      </c>
      <c r="F602" s="116" t="s">
        <v>5049</v>
      </c>
      <c r="G602" s="117">
        <v>1.75</v>
      </c>
      <c r="H602" s="118">
        <f>WORKDAY(I560,1)</f>
        <v>46176</v>
      </c>
      <c r="I602" s="118">
        <f>WORKDAY(H602,1)</f>
        <v>46177</v>
      </c>
      <c r="J602" s="110"/>
      <c r="K602" s="110"/>
      <c r="L602" s="119"/>
      <c r="M602" s="67" t="s">
        <v>4453</v>
      </c>
      <c r="N602" s="67"/>
      <c r="O602" s="112" t="str">
        <f t="shared" si="46"/>
        <v/>
      </c>
      <c r="P602" s="119"/>
    </row>
    <row r="603" spans="1:16" ht="19.5" customHeight="1" x14ac:dyDescent="0.25">
      <c r="A603" s="120" t="s">
        <v>4430</v>
      </c>
      <c r="B603" s="68" t="s">
        <v>3195</v>
      </c>
      <c r="C603" s="68" t="s">
        <v>157</v>
      </c>
      <c r="D603" s="121" t="s">
        <v>4451</v>
      </c>
      <c r="E603" s="122" t="s">
        <v>161</v>
      </c>
      <c r="F603" s="123" t="s">
        <v>5050</v>
      </c>
      <c r="G603" s="124">
        <v>1.25</v>
      </c>
      <c r="H603" s="125">
        <f>WORKDAY(MAX(I585,I602),1)</f>
        <v>46178</v>
      </c>
      <c r="I603" s="125">
        <f>H603</f>
        <v>46178</v>
      </c>
      <c r="J603" s="110"/>
      <c r="K603" s="110"/>
      <c r="L603" s="126"/>
      <c r="M603" s="68" t="s">
        <v>4453</v>
      </c>
      <c r="N603" s="68"/>
      <c r="O603" s="112" t="str">
        <f t="shared" si="46"/>
        <v/>
      </c>
      <c r="P603" s="126"/>
    </row>
    <row r="604" spans="1:16" ht="19.5" customHeight="1" x14ac:dyDescent="0.25">
      <c r="A604" s="120" t="s">
        <v>4430</v>
      </c>
      <c r="B604" s="68" t="s">
        <v>4074</v>
      </c>
      <c r="C604" s="68" t="s">
        <v>157</v>
      </c>
      <c r="D604" s="121" t="s">
        <v>4451</v>
      </c>
      <c r="E604" s="122" t="s">
        <v>161</v>
      </c>
      <c r="F604" s="123" t="s">
        <v>5051</v>
      </c>
      <c r="G604" s="124">
        <v>2.5</v>
      </c>
      <c r="H604" s="125">
        <f>WORKDAY(MAX(I585,I602),1)</f>
        <v>46178</v>
      </c>
      <c r="I604" s="125">
        <f>WORKDAY(H604,1)</f>
        <v>46181</v>
      </c>
      <c r="J604" s="110"/>
      <c r="K604" s="110"/>
      <c r="L604" s="126"/>
      <c r="M604" s="68" t="s">
        <v>4453</v>
      </c>
      <c r="N604" s="68"/>
      <c r="O604" s="112" t="str">
        <f t="shared" si="46"/>
        <v/>
      </c>
      <c r="P604" s="126"/>
    </row>
    <row r="605" spans="1:16" ht="19.5" customHeight="1" x14ac:dyDescent="0.25">
      <c r="A605" s="120" t="s">
        <v>4430</v>
      </c>
      <c r="B605" s="68" t="s">
        <v>4142</v>
      </c>
      <c r="C605" s="68" t="s">
        <v>157</v>
      </c>
      <c r="D605" s="121" t="s">
        <v>4451</v>
      </c>
      <c r="E605" s="122" t="s">
        <v>161</v>
      </c>
      <c r="F605" s="123" t="s">
        <v>5052</v>
      </c>
      <c r="G605" s="124">
        <v>1.75</v>
      </c>
      <c r="H605" s="125">
        <f>WORKDAY(MAX(I585,I602),1)</f>
        <v>46178</v>
      </c>
      <c r="I605" s="125">
        <f>WORKDAY(H605,1)</f>
        <v>46181</v>
      </c>
      <c r="J605" s="110"/>
      <c r="K605" s="110"/>
      <c r="L605" s="126"/>
      <c r="M605" s="68" t="s">
        <v>4453</v>
      </c>
      <c r="N605" s="68"/>
      <c r="O605" s="112" t="str">
        <f t="shared" si="46"/>
        <v/>
      </c>
      <c r="P605" s="126"/>
    </row>
    <row r="606" spans="1:16" ht="19.5" customHeight="1" x14ac:dyDescent="0.25">
      <c r="A606" s="120" t="s">
        <v>4430</v>
      </c>
      <c r="B606" s="68" t="s">
        <v>4235</v>
      </c>
      <c r="C606" s="68" t="s">
        <v>157</v>
      </c>
      <c r="D606" s="121" t="s">
        <v>4451</v>
      </c>
      <c r="E606" s="122" t="s">
        <v>161</v>
      </c>
      <c r="F606" s="123" t="s">
        <v>5053</v>
      </c>
      <c r="G606" s="124">
        <v>3</v>
      </c>
      <c r="H606" s="125">
        <f>WORKDAY(MAX(I585,I602),1)</f>
        <v>46178</v>
      </c>
      <c r="I606" s="125">
        <f>WORKDAY(H606,2)</f>
        <v>46182</v>
      </c>
      <c r="J606" s="110"/>
      <c r="K606" s="110"/>
      <c r="L606" s="126"/>
      <c r="M606" s="68" t="s">
        <v>4453</v>
      </c>
      <c r="N606" s="68"/>
      <c r="O606" s="112" t="str">
        <f t="shared" si="46"/>
        <v/>
      </c>
      <c r="P606" s="126"/>
    </row>
    <row r="607" spans="1:16" ht="19.5" customHeight="1" x14ac:dyDescent="0.25">
      <c r="A607" s="120" t="s">
        <v>4430</v>
      </c>
      <c r="B607" s="68" t="s">
        <v>3139</v>
      </c>
      <c r="C607" s="68" t="s">
        <v>157</v>
      </c>
      <c r="D607" s="121" t="s">
        <v>4498</v>
      </c>
      <c r="E607" s="122" t="s">
        <v>161</v>
      </c>
      <c r="F607" s="123" t="s">
        <v>5054</v>
      </c>
      <c r="G607" s="124">
        <v>1.25</v>
      </c>
      <c r="H607" s="125">
        <f>WORKDAY(MAX(I585,I602),1)</f>
        <v>46178</v>
      </c>
      <c r="I607" s="125">
        <f>H607</f>
        <v>46178</v>
      </c>
      <c r="J607" s="110"/>
      <c r="K607" s="110"/>
      <c r="L607" s="126"/>
      <c r="M607" s="68" t="s">
        <v>4453</v>
      </c>
      <c r="N607" s="68"/>
      <c r="O607" s="112" t="str">
        <f t="shared" si="46"/>
        <v/>
      </c>
      <c r="P607" s="126"/>
    </row>
    <row r="608" spans="1:16" ht="19.5" customHeight="1" x14ac:dyDescent="0.25">
      <c r="A608" s="120" t="s">
        <v>4430</v>
      </c>
      <c r="B608" s="68" t="s">
        <v>3195</v>
      </c>
      <c r="C608" s="68" t="s">
        <v>166</v>
      </c>
      <c r="D608" s="121" t="s">
        <v>4498</v>
      </c>
      <c r="E608" s="122" t="s">
        <v>161</v>
      </c>
      <c r="F608" s="123" t="s">
        <v>5055</v>
      </c>
      <c r="G608" s="124">
        <v>1.75</v>
      </c>
      <c r="H608" s="125">
        <f>WORKDAY(MAX(I585,I602),1)</f>
        <v>46178</v>
      </c>
      <c r="I608" s="125">
        <f>WORKDAY(H608,1)</f>
        <v>46181</v>
      </c>
      <c r="J608" s="110"/>
      <c r="K608" s="110"/>
      <c r="L608" s="126"/>
      <c r="M608" s="68" t="s">
        <v>4453</v>
      </c>
      <c r="N608" s="68"/>
      <c r="O608" s="112" t="str">
        <f t="shared" si="46"/>
        <v/>
      </c>
      <c r="P608" s="126"/>
    </row>
  </sheetData>
  <mergeCells count="3">
    <mergeCell ref="A1:P1"/>
    <mergeCell ref="A2:B2"/>
    <mergeCell ref="D2:P2"/>
  </mergeCells>
  <dataValidations count="1">
    <dataValidation type="list" allowBlank="1" sqref="K5:K34 K56:K98 K202:K212 K230:K239 K256:K282 K303:K338 K405:K420 K436:K473 K487:K512 K562:K585">
      <formula1>"Not Started,In Progress,Done,Blocked"</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5"/>
  <sheetViews>
    <sheetView showGridLines="0" zoomScaleNormal="100" workbookViewId="0">
      <pane xSplit="1" ySplit="4" topLeftCell="B38" activePane="bottomRight" state="frozen"/>
      <selection pane="topRight" activeCell="B1" sqref="B1"/>
      <selection pane="bottomLeft" activeCell="A38" sqref="A38"/>
      <selection pane="bottomRight" activeCell="H31" sqref="H31"/>
    </sheetView>
  </sheetViews>
  <sheetFormatPr defaultColWidth="8.7109375" defaultRowHeight="15" x14ac:dyDescent="0.25"/>
  <cols>
    <col min="1" max="1" width="2" style="17" customWidth="1"/>
    <col min="2" max="2" width="28" style="17" customWidth="1"/>
    <col min="3" max="3" width="10" style="17" customWidth="1"/>
    <col min="4" max="9" width="13" style="17" customWidth="1"/>
  </cols>
  <sheetData>
    <row r="1" spans="2:9" ht="31.5" customHeight="1" x14ac:dyDescent="0.25">
      <c r="B1" s="235" t="s">
        <v>5056</v>
      </c>
      <c r="C1" s="235"/>
      <c r="D1" s="235"/>
      <c r="E1" s="235"/>
      <c r="F1" s="235"/>
      <c r="G1" s="235"/>
      <c r="H1" s="235"/>
      <c r="I1" s="235"/>
    </row>
    <row r="2" spans="2:9" ht="15.75" customHeight="1" x14ac:dyDescent="0.25">
      <c r="B2" s="9" t="s">
        <v>5057</v>
      </c>
      <c r="C2" s="9"/>
      <c r="D2" s="9"/>
      <c r="E2" s="9"/>
      <c r="F2" s="9"/>
      <c r="G2" s="9"/>
      <c r="H2" s="9"/>
      <c r="I2" s="9"/>
    </row>
    <row r="4" spans="2:9" ht="19.5" customHeight="1" x14ac:dyDescent="0.25">
      <c r="B4" s="236" t="s">
        <v>5058</v>
      </c>
      <c r="C4" s="236"/>
      <c r="D4" s="236"/>
      <c r="E4" s="236"/>
      <c r="F4" s="236"/>
      <c r="G4" s="236"/>
      <c r="H4" s="236"/>
      <c r="I4" s="236"/>
    </row>
    <row r="5" spans="2:9" ht="30" customHeight="1" x14ac:dyDescent="0.25">
      <c r="B5" s="140">
        <f>COUNTA('Detailed Requirements'!F$2:F$5000)</f>
        <v>595</v>
      </c>
      <c r="C5" s="140">
        <f>COUNTA('FR Schedule'!B7:B67)-SUMPRODUCT((LEN('FR Schedule'!B7:B67)&gt;0)*(LEFT('FR Schedule'!B7:B67,2)&lt;&gt;"FR"))</f>
        <v>54</v>
      </c>
      <c r="D5" s="141">
        <f>ROUND(SUMPRODUCT(IF(ISNUMBER('Detailed Requirements'!L$2:L$5000),'Detailed Requirements'!L$2:L$5000,0)),1)</f>
        <v>1590.3</v>
      </c>
      <c r="E5" s="84">
        <f>ROUND(SUMPRODUCT(IF(ISNUMBER('Detailed Requirements'!N$2:N$5000),'Detailed Requirements'!N$2:N$5000,0)),1)</f>
        <v>659.8</v>
      </c>
      <c r="F5" s="84">
        <f>ROUND(D5-E5,1)</f>
        <v>930.5</v>
      </c>
      <c r="G5" s="84" t="str">
        <f>IFERROR(TEXT(ROUND((D5-E5)/D5,3),"0%"),"0%")</f>
        <v>59%</v>
      </c>
    </row>
    <row r="6" spans="2:9" ht="18" customHeight="1" x14ac:dyDescent="0.25">
      <c r="B6" s="142" t="s">
        <v>5059</v>
      </c>
      <c r="C6" s="142" t="s">
        <v>5060</v>
      </c>
      <c r="D6" s="143" t="s">
        <v>5061</v>
      </c>
      <c r="E6" s="144" t="s">
        <v>5062</v>
      </c>
      <c r="F6" s="144" t="s">
        <v>5063</v>
      </c>
      <c r="G6" s="144" t="s">
        <v>5064</v>
      </c>
    </row>
    <row r="8" spans="2:9" ht="19.5" customHeight="1" x14ac:dyDescent="0.25">
      <c r="B8" s="236" t="s">
        <v>5065</v>
      </c>
      <c r="C8" s="236"/>
      <c r="D8" s="236"/>
      <c r="E8" s="236"/>
      <c r="F8" s="236"/>
      <c r="G8" s="236"/>
      <c r="H8" s="236"/>
      <c r="I8" s="236"/>
    </row>
    <row r="9" spans="2:9" ht="21.75" customHeight="1" x14ac:dyDescent="0.25">
      <c r="B9" s="101" t="s">
        <v>5066</v>
      </c>
      <c r="C9" s="101" t="s">
        <v>5067</v>
      </c>
      <c r="D9" s="101" t="s">
        <v>5068</v>
      </c>
      <c r="E9" s="101" t="s">
        <v>5069</v>
      </c>
      <c r="F9" s="101" t="s">
        <v>5070</v>
      </c>
      <c r="G9" s="101" t="s">
        <v>5071</v>
      </c>
      <c r="H9" s="101" t="s">
        <v>5072</v>
      </c>
      <c r="I9" s="101" t="s">
        <v>5073</v>
      </c>
    </row>
    <row r="10" spans="2:9" ht="19.5" customHeight="1" x14ac:dyDescent="0.25">
      <c r="B10" s="145" t="s">
        <v>24</v>
      </c>
      <c r="C10" s="85">
        <f>SUMPRODUCT((('Detailed Requirements'!C$2:C$5000="FR-001")+('Detailed Requirements'!C$2:C$5000="FR-002")+('Detailed Requirements'!C$2:C$5000="FR-003")+('Detailed Requirements'!C$2:C$5000="FR-004")+('Detailed Requirements'!C$2:C$5000="FR-005")+('Detailed Requirements'!C$2:C$5000="FR-006")+('Detailed Requirements'!C$2:C$5000="FR-007"))*(LEN('Detailed Requirements'!F$2:F$5000)&gt;0))</f>
        <v>67</v>
      </c>
      <c r="D10" s="66">
        <f>ROUND(SUMPRODUCT((('Detailed Requirements'!C$2:C$5000="FR-001")+('Detailed Requirements'!C$2:C$5000="FR-002")+('Detailed Requirements'!C$2:C$5000="FR-003")+('Detailed Requirements'!C$2:C$5000="FR-004")+('Detailed Requirements'!C$2:C$5000="FR-005")+('Detailed Requirements'!C$2:C$5000="FR-006")+('Detailed Requirements'!C$2:C$5000="FR-007"))*('Detailed Requirements'!J$2:J$5000="Backend Dev")*IF(ISNUMBER('Detailed Requirements'!N$2:N$5000),'Detailed Requirements'!N$2:N$5000,0)),1)</f>
        <v>34.5</v>
      </c>
      <c r="E10" s="67">
        <f>ROUND(SUMPRODUCT((('Detailed Requirements'!C$2:C$5000="FR-001")+('Detailed Requirements'!C$2:C$5000="FR-002")+('Detailed Requirements'!C$2:C$5000="FR-003")+('Detailed Requirements'!C$2:C$5000="FR-004")+('Detailed Requirements'!C$2:C$5000="FR-005")+('Detailed Requirements'!C$2:C$5000="FR-006")+('Detailed Requirements'!C$2:C$5000="FR-007"))*('Detailed Requirements'!J$2:J$5000="Frontend Dev")*IF(ISNUMBER('Detailed Requirements'!N$2:N$5000),'Detailed Requirements'!N$2:N$5000,0)),1)</f>
        <v>21.8</v>
      </c>
      <c r="F10" s="68">
        <f>ROUND(SUMPRODUCT((('Detailed Requirements'!C$2:C$5000="FR-001")+('Detailed Requirements'!C$2:C$5000="FR-002")+('Detailed Requirements'!C$2:C$5000="FR-003")+('Detailed Requirements'!C$2:C$5000="FR-004")+('Detailed Requirements'!C$2:C$5000="FR-005")+('Detailed Requirements'!C$2:C$5000="FR-006")+('Detailed Requirements'!C$2:C$5000="FR-007"))*('Detailed Requirements'!J$2:J$5000="QA / Both Devs")*IF(ISNUMBER('Detailed Requirements'!N$2:N$5000),'Detailed Requirements'!N$2:N$5000,0)),1)</f>
        <v>13.8</v>
      </c>
      <c r="G10" s="146">
        <f>ROUND(SUMPRODUCT((('Detailed Requirements'!C$2:C$5000="FR-001")+('Detailed Requirements'!C$2:C$5000="FR-002")+('Detailed Requirements'!C$2:C$5000="FR-003")+('Detailed Requirements'!C$2:C$5000="FR-004")+('Detailed Requirements'!C$2:C$5000="FR-005")+('Detailed Requirements'!C$2:C$5000="FR-006")+('Detailed Requirements'!C$2:C$5000="FR-007"))*IF(ISNUMBER('Detailed Requirements'!N$2:N$5000),'Detailed Requirements'!N$2:N$5000,0)),1)</f>
        <v>70</v>
      </c>
      <c r="H10" s="147">
        <f>ROUND(SUMPRODUCT((('Detailed Requirements'!C$2:C$5000="FR-001")+('Detailed Requirements'!C$2:C$5000="FR-002")+('Detailed Requirements'!C$2:C$5000="FR-003")+('Detailed Requirements'!C$2:C$5000="FR-004")+('Detailed Requirements'!C$2:C$5000="FR-005")+('Detailed Requirements'!C$2:C$5000="FR-006")+('Detailed Requirements'!C$2:C$5000="FR-007"))*IF(ISNUMBER('Detailed Requirements'!L$2:L$5000),'Detailed Requirements'!L$2:L$5000,0)),1)</f>
        <v>198</v>
      </c>
      <c r="I10" s="148">
        <f t="shared" ref="I10:I19" si="0">H10-G10</f>
        <v>128</v>
      </c>
    </row>
    <row r="11" spans="2:9" ht="19.5" customHeight="1" x14ac:dyDescent="0.25">
      <c r="B11" s="149" t="s">
        <v>5074</v>
      </c>
      <c r="C11" s="88">
        <f>SUMPRODUCT((('Detailed Requirements'!C$2:C$5000="FR-008")+('Detailed Requirements'!C$2:C$5000="FR-009")+('Detailed Requirements'!C$2:C$5000="FR-010")+('Detailed Requirements'!C$2:C$5000="FR-011")+('Detailed Requirements'!C$2:C$5000="FR-012"))*(LEN('Detailed Requirements'!F$2:F$5000)&gt;0))</f>
        <v>24</v>
      </c>
      <c r="D11" s="66">
        <f>ROUND(SUMPRODUCT((('Detailed Requirements'!C$2:C$5000="FR-008")+('Detailed Requirements'!C$2:C$5000="FR-009")+('Detailed Requirements'!C$2:C$5000="FR-010")+('Detailed Requirements'!C$2:C$5000="FR-011")+('Detailed Requirements'!C$2:C$5000="FR-012"))*('Detailed Requirements'!J$2:J$5000="Backend Dev")*IF(ISNUMBER('Detailed Requirements'!N$2:N$5000),'Detailed Requirements'!N$2:N$5000,0)),1)</f>
        <v>14.5</v>
      </c>
      <c r="E11" s="67">
        <f>ROUND(SUMPRODUCT((('Detailed Requirements'!C$2:C$5000="FR-008")+('Detailed Requirements'!C$2:C$5000="FR-009")+('Detailed Requirements'!C$2:C$5000="FR-010")+('Detailed Requirements'!C$2:C$5000="FR-011")+('Detailed Requirements'!C$2:C$5000="FR-012"))*('Detailed Requirements'!J$2:J$5000="Frontend Dev")*IF(ISNUMBER('Detailed Requirements'!N$2:N$5000),'Detailed Requirements'!N$2:N$5000,0)),1)</f>
        <v>4.8</v>
      </c>
      <c r="F11" s="68">
        <f>ROUND(SUMPRODUCT((('Detailed Requirements'!C$2:C$5000="FR-008")+('Detailed Requirements'!C$2:C$5000="FR-009")+('Detailed Requirements'!C$2:C$5000="FR-010")+('Detailed Requirements'!C$2:C$5000="FR-011")+('Detailed Requirements'!C$2:C$5000="FR-012"))*('Detailed Requirements'!J$2:J$5000="QA / Both Devs")*IF(ISNUMBER('Detailed Requirements'!N$2:N$5000),'Detailed Requirements'!N$2:N$5000,0)),1)</f>
        <v>7.3</v>
      </c>
      <c r="G11" s="146">
        <f>ROUND(SUMPRODUCT((('Detailed Requirements'!C$2:C$5000="FR-008")+('Detailed Requirements'!C$2:C$5000="FR-009")+('Detailed Requirements'!C$2:C$5000="FR-010")+('Detailed Requirements'!C$2:C$5000="FR-011")+('Detailed Requirements'!C$2:C$5000="FR-012"))*IF(ISNUMBER('Detailed Requirements'!N$2:N$5000),'Detailed Requirements'!N$2:N$5000,0)),1)</f>
        <v>26.5</v>
      </c>
      <c r="H11" s="147">
        <f>ROUND(SUMPRODUCT((('Detailed Requirements'!C$2:C$5000="FR-008")+('Detailed Requirements'!C$2:C$5000="FR-009")+('Detailed Requirements'!C$2:C$5000="FR-010")+('Detailed Requirements'!C$2:C$5000="FR-011")+('Detailed Requirements'!C$2:C$5000="FR-012"))*IF(ISNUMBER('Detailed Requirements'!L$2:L$5000),'Detailed Requirements'!L$2:L$5000,0)),1)</f>
        <v>84</v>
      </c>
      <c r="I11" s="148">
        <f t="shared" si="0"/>
        <v>57.5</v>
      </c>
    </row>
    <row r="12" spans="2:9" ht="19.5" customHeight="1" x14ac:dyDescent="0.25">
      <c r="B12" s="145" t="s">
        <v>749</v>
      </c>
      <c r="C12" s="85">
        <f>SUMPRODUCT((('Detailed Requirements'!C$2:C$5000="FR-013")+('Detailed Requirements'!C$2:C$5000="FR-014")+('Detailed Requirements'!C$2:C$5000="FR-015")+('Detailed Requirements'!C$2:C$5000="FR-016")+('Detailed Requirements'!C$2:C$5000="FR-017"))*(LEN('Detailed Requirements'!F$2:F$5000)&gt;0))</f>
        <v>52</v>
      </c>
      <c r="D12" s="66">
        <f>ROUND(SUMPRODUCT((('Detailed Requirements'!C$2:C$5000="FR-013")+('Detailed Requirements'!C$2:C$5000="FR-014")+('Detailed Requirements'!C$2:C$5000="FR-015")+('Detailed Requirements'!C$2:C$5000="FR-016")+('Detailed Requirements'!C$2:C$5000="FR-017"))*('Detailed Requirements'!J$2:J$5000="Backend Dev")*IF(ISNUMBER('Detailed Requirements'!N$2:N$5000),'Detailed Requirements'!N$2:N$5000,0)),1)</f>
        <v>22.5</v>
      </c>
      <c r="E12" s="67">
        <f>ROUND(SUMPRODUCT((('Detailed Requirements'!C$2:C$5000="FR-013")+('Detailed Requirements'!C$2:C$5000="FR-014")+('Detailed Requirements'!C$2:C$5000="FR-015")+('Detailed Requirements'!C$2:C$5000="FR-016")+('Detailed Requirements'!C$2:C$5000="FR-017"))*('Detailed Requirements'!J$2:J$5000="Frontend Dev")*IF(ISNUMBER('Detailed Requirements'!N$2:N$5000),'Detailed Requirements'!N$2:N$5000,0)),1)</f>
        <v>24.3</v>
      </c>
      <c r="F12" s="68">
        <f>ROUND(SUMPRODUCT((('Detailed Requirements'!C$2:C$5000="FR-013")+('Detailed Requirements'!C$2:C$5000="FR-014")+('Detailed Requirements'!C$2:C$5000="FR-015")+('Detailed Requirements'!C$2:C$5000="FR-016")+('Detailed Requirements'!C$2:C$5000="FR-017"))*('Detailed Requirements'!J$2:J$5000="QA / Both Devs")*IF(ISNUMBER('Detailed Requirements'!N$2:N$5000),'Detailed Requirements'!N$2:N$5000,0)),1)</f>
        <v>2.8</v>
      </c>
      <c r="G12" s="146">
        <f>ROUND(SUMPRODUCT((('Detailed Requirements'!C$2:C$5000="FR-013")+('Detailed Requirements'!C$2:C$5000="FR-014")+('Detailed Requirements'!C$2:C$5000="FR-015")+('Detailed Requirements'!C$2:C$5000="FR-016")+('Detailed Requirements'!C$2:C$5000="FR-017"))*IF(ISNUMBER('Detailed Requirements'!N$2:N$5000),'Detailed Requirements'!N$2:N$5000,0)),1)</f>
        <v>49.5</v>
      </c>
      <c r="H12" s="147">
        <f>ROUND(SUMPRODUCT((('Detailed Requirements'!C$2:C$5000="FR-013")+('Detailed Requirements'!C$2:C$5000="FR-014")+('Detailed Requirements'!C$2:C$5000="FR-015")+('Detailed Requirements'!C$2:C$5000="FR-016")+('Detailed Requirements'!C$2:C$5000="FR-017"))*IF(ISNUMBER('Detailed Requirements'!L$2:L$5000),'Detailed Requirements'!L$2:L$5000,0)),1)</f>
        <v>110.5</v>
      </c>
      <c r="I12" s="148">
        <f t="shared" si="0"/>
        <v>61</v>
      </c>
    </row>
    <row r="13" spans="2:9" ht="19.5" customHeight="1" x14ac:dyDescent="0.25">
      <c r="B13" s="149" t="s">
        <v>5075</v>
      </c>
      <c r="C13" s="88">
        <f>SUMPRODUCT((('Detailed Requirements'!C$2:C$5000="FR-018")+('Detailed Requirements'!C$2:C$5000="FR-019")+('Detailed Requirements'!C$2:C$5000="FR-020")+('Detailed Requirements'!C$2:C$5000="FR-021")+('Detailed Requirements'!C$2:C$5000="FR-022")+('Detailed Requirements'!C$2:C$5000="FR-023"))*(LEN('Detailed Requirements'!F$2:F$5000)&gt;0))</f>
        <v>117</v>
      </c>
      <c r="D13" s="66">
        <f>ROUND(SUMPRODUCT((('Detailed Requirements'!C$2:C$5000="FR-018")+('Detailed Requirements'!C$2:C$5000="FR-019")+('Detailed Requirements'!C$2:C$5000="FR-020")+('Detailed Requirements'!C$2:C$5000="FR-021")+('Detailed Requirements'!C$2:C$5000="FR-022")+('Detailed Requirements'!C$2:C$5000="FR-023"))*('Detailed Requirements'!J$2:J$5000="Backend Dev")*IF(ISNUMBER('Detailed Requirements'!N$2:N$5000),'Detailed Requirements'!N$2:N$5000,0)),1)</f>
        <v>70.8</v>
      </c>
      <c r="E13" s="67">
        <f>ROUND(SUMPRODUCT((('Detailed Requirements'!C$2:C$5000="FR-018")+('Detailed Requirements'!C$2:C$5000="FR-019")+('Detailed Requirements'!C$2:C$5000="FR-020")+('Detailed Requirements'!C$2:C$5000="FR-021")+('Detailed Requirements'!C$2:C$5000="FR-022")+('Detailed Requirements'!C$2:C$5000="FR-023"))*('Detailed Requirements'!J$2:J$5000="Frontend Dev")*IF(ISNUMBER('Detailed Requirements'!N$2:N$5000),'Detailed Requirements'!N$2:N$5000,0)),1)</f>
        <v>30.5</v>
      </c>
      <c r="F13" s="68">
        <f>ROUND(SUMPRODUCT((('Detailed Requirements'!C$2:C$5000="FR-018")+('Detailed Requirements'!C$2:C$5000="FR-019")+('Detailed Requirements'!C$2:C$5000="FR-020")+('Detailed Requirements'!C$2:C$5000="FR-021")+('Detailed Requirements'!C$2:C$5000="FR-022")+('Detailed Requirements'!C$2:C$5000="FR-023"))*('Detailed Requirements'!J$2:J$5000="QA / Both Devs")*IF(ISNUMBER('Detailed Requirements'!N$2:N$5000),'Detailed Requirements'!N$2:N$5000,0)),1)</f>
        <v>32.299999999999997</v>
      </c>
      <c r="G13" s="146">
        <f>ROUND(SUMPRODUCT((('Detailed Requirements'!C$2:C$5000="FR-018")+('Detailed Requirements'!C$2:C$5000="FR-019")+('Detailed Requirements'!C$2:C$5000="FR-020")+('Detailed Requirements'!C$2:C$5000="FR-021")+('Detailed Requirements'!C$2:C$5000="FR-022")+('Detailed Requirements'!C$2:C$5000="FR-023"))*IF(ISNUMBER('Detailed Requirements'!N$2:N$5000),'Detailed Requirements'!N$2:N$5000,0)),1)</f>
        <v>133.5</v>
      </c>
      <c r="H13" s="147">
        <f>ROUND(SUMPRODUCT((('Detailed Requirements'!C$2:C$5000="FR-018")+('Detailed Requirements'!C$2:C$5000="FR-019")+('Detailed Requirements'!C$2:C$5000="FR-020")+('Detailed Requirements'!C$2:C$5000="FR-021")+('Detailed Requirements'!C$2:C$5000="FR-022")+('Detailed Requirements'!C$2:C$5000="FR-023"))*IF(ISNUMBER('Detailed Requirements'!L$2:L$5000),'Detailed Requirements'!L$2:L$5000,0)),1)</f>
        <v>344.5</v>
      </c>
      <c r="I13" s="148">
        <f t="shared" si="0"/>
        <v>211</v>
      </c>
    </row>
    <row r="14" spans="2:9" ht="19.5" customHeight="1" x14ac:dyDescent="0.25">
      <c r="B14" s="145" t="s">
        <v>5076</v>
      </c>
      <c r="C14" s="85">
        <f>SUMPRODUCT((('Detailed Requirements'!C$2:C$5000="FR-024")+('Detailed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Requirements'!C$2:C$5000="FR-035")+('Detailed Requirements'!C$2:C$5000="FR-036")+('Detailed Requirements'!C$2:C$5000="FR-037")+('Detailed Requirements'!C$2:C$5000="FR-038")+('Detailed Requirements'!C$2:C$5000="FR-039")+('Detailed Requirements'!C$2:C$5000="FR-040")+('Detailed Requirements'!C$2:C$5000="FR-041")+('Detailed Requirements'!C$2:C$5000="FR-042"))*(LEN('Detailed Requirements'!F$2:F$5000)&gt;0))</f>
        <v>211</v>
      </c>
      <c r="D14" s="66">
        <f>ROUND(SUMPRODUCT((('Detailed Requirements'!C$2:C$5000="FR-024")+('Detailed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Requirements'!C$2:C$5000="FR-035")+('Detailed Requirements'!C$2:C$5000="FR-036")+('Detailed Requirements'!C$2:C$5000="FR-037")+('Detailed Requirements'!C$2:C$5000="FR-038")+('Detailed Requirements'!C$2:C$5000="FR-039")+('Detailed Requirements'!C$2:C$5000="FR-040")+('Detailed Requirements'!C$2:C$5000="FR-041")+('Detailed Requirements'!C$2:C$5000="FR-042"))*('Detailed Requirements'!J$2:J$5000="Backend Dev")*IF(ISNUMBER('Detailed Requirements'!N$2:N$5000),'Detailed Requirements'!N$2:N$5000,0)),1)</f>
        <v>70</v>
      </c>
      <c r="E14" s="67">
        <f>ROUND(SUMPRODUCT((('Detailed Requirements'!C$2:C$5000="FR-024")+('Detailed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Requirements'!C$2:C$5000="FR-035")+('Detailed Requirements'!C$2:C$5000="FR-036")+('Detailed Requirements'!C$2:C$5000="FR-037")+('Detailed Requirements'!C$2:C$5000="FR-038")+('Detailed Requirements'!C$2:C$5000="FR-039")+('Detailed Requirements'!C$2:C$5000="FR-040")+('Detailed Requirements'!C$2:C$5000="FR-041")+('Detailed Requirements'!C$2:C$5000="FR-042"))*('Detailed Requirements'!J$2:J$5000="Frontend Dev")*IF(ISNUMBER('Detailed Requirements'!N$2:N$5000),'Detailed Requirements'!N$2:N$5000,0)),1)</f>
        <v>74.3</v>
      </c>
      <c r="F14" s="68">
        <f>ROUND(SUMPRODUCT((('Detailed Requirements'!C$2:C$5000="FR-024")+('Detailed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Requirements'!C$2:C$5000="FR-035")+('Detailed Requirements'!C$2:C$5000="FR-036")+('Detailed Requirements'!C$2:C$5000="FR-037")+('Detailed Requirements'!C$2:C$5000="FR-038")+('Detailed Requirements'!C$2:C$5000="FR-039")+('Detailed Requirements'!C$2:C$5000="FR-040")+('Detailed Requirements'!C$2:C$5000="FR-041")+('Detailed Requirements'!C$2:C$5000="FR-042"))*('Detailed Requirements'!J$2:J$5000="QA / Both Devs")*IF(ISNUMBER('Detailed Requirements'!N$2:N$5000),'Detailed Requirements'!N$2:N$5000,0)),1)</f>
        <v>29.8</v>
      </c>
      <c r="G14" s="146">
        <f>ROUND(SUMPRODUCT((('Detailed Requirements'!C$2:C$5000="FR-024")+('Detailed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Requirements'!C$2:C$5000="FR-035")+('Detailed Requirements'!C$2:C$5000="FR-036")+('Detailed Requirements'!C$2:C$5000="FR-037")+('Detailed Requirements'!C$2:C$5000="FR-038")+('Detailed Requirements'!C$2:C$5000="FR-039")+('Detailed Requirements'!C$2:C$5000="FR-040")+('Detailed Requirements'!C$2:C$5000="FR-041")+('Detailed Requirements'!C$2:C$5000="FR-042"))*IF(ISNUMBER('Detailed Requirements'!N$2:N$5000),'Detailed Requirements'!N$2:N$5000,0)),1)</f>
        <v>174</v>
      </c>
      <c r="H14" s="147">
        <f>ROUND(SUMPRODUCT((('Detailed Requirements'!C$2:C$5000="FR-024")+('Detailed Requirements'!C$2:C$5000="FR-025")+('Detailed Requirements'!C$2:C$5000="FR-026")+('Detailed Requirements'!C$2:C$5000="FR-027")+('Detailed Requirements'!C$2:C$5000="FR-028")+('Detailed Requirements'!C$2:C$5000="FR-029")+('Detailed Requirements'!C$2:C$5000="FR-030")+('Detailed Requirements'!C$2:C$5000="FR-031")+('Detailed Requirements'!C$2:C$5000="FR-032")+('Detailed Requirements'!C$2:C$5000="FR-033")+('Detailed Requirements'!C$2:C$5000="FR-034")+('Detailed Requirements'!C$2:C$5000="FR-035")+('Detailed Requirements'!C$2:C$5000="FR-036")+('Detailed Requirements'!C$2:C$5000="FR-037")+('Detailed Requirements'!C$2:C$5000="FR-038")+('Detailed Requirements'!C$2:C$5000="FR-039")+('Detailed Requirements'!C$2:C$5000="FR-040")+('Detailed Requirements'!C$2:C$5000="FR-041")+('Detailed Requirements'!C$2:C$5000="FR-042"))*IF(ISNUMBER('Detailed Requirements'!L$2:L$5000),'Detailed Requirements'!L$2:L$5000,0)),1)</f>
        <v>369.5</v>
      </c>
      <c r="I14" s="148">
        <f t="shared" si="0"/>
        <v>195.5</v>
      </c>
    </row>
    <row r="15" spans="2:9" ht="19.5" customHeight="1" x14ac:dyDescent="0.25">
      <c r="B15" s="149" t="s">
        <v>3282</v>
      </c>
      <c r="C15" s="88">
        <f>SUMPRODUCT((('Detailed Requirements'!C$2:C$5000="FR-043"))*(LEN('Detailed Requirements'!F$2:F$5000)&gt;0))</f>
        <v>14</v>
      </c>
      <c r="D15" s="66">
        <f>ROUND(SUMPRODUCT((('Detailed Requirements'!C$2:C$5000="FR-043"))*('Detailed Requirements'!J$2:J$5000="Backend Dev")*IF(ISNUMBER('Detailed Requirements'!N$2:N$5000),'Detailed Requirements'!N$2:N$5000,0)),1)</f>
        <v>9</v>
      </c>
      <c r="E15" s="67">
        <f>ROUND(SUMPRODUCT((('Detailed Requirements'!C$2:C$5000="FR-043"))*('Detailed Requirements'!J$2:J$5000="Frontend Dev")*IF(ISNUMBER('Detailed Requirements'!N$2:N$5000),'Detailed Requirements'!N$2:N$5000,0)),1)</f>
        <v>4</v>
      </c>
      <c r="F15" s="68">
        <f>ROUND(SUMPRODUCT((('Detailed Requirements'!C$2:C$5000="FR-043"))*('Detailed Requirements'!J$2:J$5000="QA / Both Devs")*IF(ISNUMBER('Detailed Requirements'!N$2:N$5000),'Detailed Requirements'!N$2:N$5000,0)),1)</f>
        <v>3.5</v>
      </c>
      <c r="G15" s="146">
        <f>ROUND(SUMPRODUCT((('Detailed Requirements'!C$2:C$5000="FR-043"))*IF(ISNUMBER('Detailed Requirements'!N$2:N$5000),'Detailed Requirements'!N$2:N$5000,0)),1)</f>
        <v>16.5</v>
      </c>
      <c r="H15" s="147">
        <f>ROUND(SUMPRODUCT((('Detailed Requirements'!C$2:C$5000="FR-043"))*IF(ISNUMBER('Detailed Requirements'!L$2:L$5000),'Detailed Requirements'!L$2:L$5000,0)),1)</f>
        <v>36.799999999999997</v>
      </c>
      <c r="I15" s="148">
        <f t="shared" si="0"/>
        <v>20.299999999999997</v>
      </c>
    </row>
    <row r="16" spans="2:9" ht="19.5" customHeight="1" x14ac:dyDescent="0.25">
      <c r="B16" s="145" t="s">
        <v>3379</v>
      </c>
      <c r="C16" s="85">
        <f>SUMPRODUCT((('Detailed Requirements'!C$2:C$5000="FR-044"))*(LEN('Detailed Requirements'!F$2:F$5000)&gt;0))</f>
        <v>16</v>
      </c>
      <c r="D16" s="66">
        <f>ROUND(SUMPRODUCT((('Detailed Requirements'!C$2:C$5000="FR-044"))*('Detailed Requirements'!J$2:J$5000="Backend Dev")*IF(ISNUMBER('Detailed Requirements'!N$2:N$5000),'Detailed Requirements'!N$2:N$5000,0)),1)</f>
        <v>14</v>
      </c>
      <c r="E16" s="67">
        <f>ROUND(SUMPRODUCT((('Detailed Requirements'!C$2:C$5000="FR-044"))*('Detailed Requirements'!J$2:J$5000="Frontend Dev")*IF(ISNUMBER('Detailed Requirements'!N$2:N$5000),'Detailed Requirements'!N$2:N$5000,0)),1)</f>
        <v>2.2999999999999998</v>
      </c>
      <c r="F16" s="68">
        <f>ROUND(SUMPRODUCT((('Detailed Requirements'!C$2:C$5000="FR-044"))*('Detailed Requirements'!J$2:J$5000="QA / Both Devs")*IF(ISNUMBER('Detailed Requirements'!N$2:N$5000),'Detailed Requirements'!N$2:N$5000,0)),1)</f>
        <v>5</v>
      </c>
      <c r="G16" s="146">
        <f>ROUND(SUMPRODUCT((('Detailed Requirements'!C$2:C$5000="FR-044"))*IF(ISNUMBER('Detailed Requirements'!N$2:N$5000),'Detailed Requirements'!N$2:N$5000,0)),1)</f>
        <v>21.3</v>
      </c>
      <c r="H16" s="147">
        <f>ROUND(SUMPRODUCT((('Detailed Requirements'!C$2:C$5000="FR-044"))*IF(ISNUMBER('Detailed Requirements'!L$2:L$5000),'Detailed Requirements'!L$2:L$5000,0)),1)</f>
        <v>49</v>
      </c>
      <c r="I16" s="148">
        <f t="shared" si="0"/>
        <v>27.7</v>
      </c>
    </row>
    <row r="17" spans="2:9" ht="19.5" customHeight="1" x14ac:dyDescent="0.25">
      <c r="B17" s="149" t="s">
        <v>5077</v>
      </c>
      <c r="C17" s="88">
        <f>SUMPRODUCT((('Detailed Requirements'!C$2:C$5000="FR-045")+('Detailed Requirements'!C$2:C$5000="FR-046")+('Detailed Requirements'!C$2:C$5000="FR-047")+('Detailed Requirements'!C$2:C$5000="FR-048")+('Detailed Requirements'!C$2:C$5000="FR-049")+('Detailed Requirements'!C$2:C$5000="FR-050")+('Detailed Requirements'!C$2:C$5000="FR-051")+('Detailed Requirements'!C$2:C$5000="FR-052"))*(LEN('Detailed Requirements'!F$2:F$5000)&gt;0))</f>
        <v>78</v>
      </c>
      <c r="D17" s="66">
        <f>ROUND(SUMPRODUCT((('Detailed Requirements'!C$2:C$5000="FR-045")+('Detailed Requirements'!C$2:C$5000="FR-046")+('Detailed Requirements'!C$2:C$5000="FR-047")+('Detailed Requirements'!C$2:C$5000="FR-048")+('Detailed Requirements'!C$2:C$5000="FR-049")+('Detailed Requirements'!C$2:C$5000="FR-050")+('Detailed Requirements'!C$2:C$5000="FR-051")+('Detailed Requirements'!C$2:C$5000="FR-052"))*('Detailed Requirements'!J$2:J$5000="Backend Dev")*IF(ISNUMBER('Detailed Requirements'!N$2:N$5000),'Detailed Requirements'!N$2:N$5000,0)),1)</f>
        <v>100.5</v>
      </c>
      <c r="E17" s="67">
        <f>ROUND(SUMPRODUCT((('Detailed Requirements'!C$2:C$5000="FR-045")+('Detailed Requirements'!C$2:C$5000="FR-046")+('Detailed Requirements'!C$2:C$5000="FR-047")+('Detailed Requirements'!C$2:C$5000="FR-048")+('Detailed Requirements'!C$2:C$5000="FR-049")+('Detailed Requirements'!C$2:C$5000="FR-050")+('Detailed Requirements'!C$2:C$5000="FR-051")+('Detailed Requirements'!C$2:C$5000="FR-052"))*('Detailed Requirements'!J$2:J$5000="Frontend Dev")*IF(ISNUMBER('Detailed Requirements'!N$2:N$5000),'Detailed Requirements'!N$2:N$5000,0)),1)</f>
        <v>11.8</v>
      </c>
      <c r="F17" s="68">
        <f>ROUND(SUMPRODUCT((('Detailed Requirements'!C$2:C$5000="FR-045")+('Detailed Requirements'!C$2:C$5000="FR-046")+('Detailed Requirements'!C$2:C$5000="FR-047")+('Detailed Requirements'!C$2:C$5000="FR-048")+('Detailed Requirements'!C$2:C$5000="FR-049")+('Detailed Requirements'!C$2:C$5000="FR-050")+('Detailed Requirements'!C$2:C$5000="FR-051")+('Detailed Requirements'!C$2:C$5000="FR-052"))*('Detailed Requirements'!J$2:J$5000="QA / Both Devs")*IF(ISNUMBER('Detailed Requirements'!N$2:N$5000),'Detailed Requirements'!N$2:N$5000,0)),1)</f>
        <v>26.5</v>
      </c>
      <c r="G17" s="146">
        <f>ROUND(SUMPRODUCT((('Detailed Requirements'!C$2:C$5000="FR-045")+('Detailed Requirements'!C$2:C$5000="FR-046")+('Detailed Requirements'!C$2:C$5000="FR-047")+('Detailed Requirements'!C$2:C$5000="FR-048")+('Detailed Requirements'!C$2:C$5000="FR-049")+('Detailed Requirements'!C$2:C$5000="FR-050")+('Detailed Requirements'!C$2:C$5000="FR-051")+('Detailed Requirements'!C$2:C$5000="FR-052"))*IF(ISNUMBER('Detailed Requirements'!N$2:N$5000),'Detailed Requirements'!N$2:N$5000,0)),1)</f>
        <v>138.80000000000001</v>
      </c>
      <c r="H17" s="147">
        <f>ROUND(SUMPRODUCT((('Detailed Requirements'!C$2:C$5000="FR-045")+('Detailed Requirements'!C$2:C$5000="FR-046")+('Detailed Requirements'!C$2:C$5000="FR-047")+('Detailed Requirements'!C$2:C$5000="FR-048")+('Detailed Requirements'!C$2:C$5000="FR-049")+('Detailed Requirements'!C$2:C$5000="FR-050")+('Detailed Requirements'!C$2:C$5000="FR-051")+('Detailed Requirements'!C$2:C$5000="FR-052"))*IF(ISNUMBER('Detailed Requirements'!L$2:L$5000),'Detailed Requirements'!L$2:L$5000,0)),1)</f>
        <v>316</v>
      </c>
      <c r="I17" s="148">
        <f t="shared" si="0"/>
        <v>177.2</v>
      </c>
    </row>
    <row r="18" spans="2:9" ht="19.5" customHeight="1" x14ac:dyDescent="0.25">
      <c r="B18" s="145" t="s">
        <v>5078</v>
      </c>
      <c r="C18" s="85">
        <f>SUMPRODUCT((('Detailed Requirements'!C$2:C$5000="FR-053"))*(LEN('Detailed Requirements'!F$2:F$5000)&gt;0))</f>
        <v>9</v>
      </c>
      <c r="D18" s="66">
        <f>ROUND(SUMPRODUCT((('Detailed Requirements'!C$2:C$5000="FR-053"))*('Detailed Requirements'!J$2:J$5000="Backend Dev")*IF(ISNUMBER('Detailed Requirements'!N$2:N$5000),'Detailed Requirements'!N$2:N$5000,0)),1)</f>
        <v>9.3000000000000007</v>
      </c>
      <c r="E18" s="67">
        <f>ROUND(SUMPRODUCT((('Detailed Requirements'!C$2:C$5000="FR-053"))*('Detailed Requirements'!J$2:J$5000="Frontend Dev")*IF(ISNUMBER('Detailed Requirements'!N$2:N$5000),'Detailed Requirements'!N$2:N$5000,0)),1)</f>
        <v>3</v>
      </c>
      <c r="F18" s="68">
        <f>ROUND(SUMPRODUCT((('Detailed Requirements'!C$2:C$5000="FR-053"))*('Detailed Requirements'!J$2:J$5000="QA / Both Devs")*IF(ISNUMBER('Detailed Requirements'!N$2:N$5000),'Detailed Requirements'!N$2:N$5000,0)),1)</f>
        <v>1.8</v>
      </c>
      <c r="G18" s="146">
        <f>ROUND(SUMPRODUCT((('Detailed Requirements'!C$2:C$5000="FR-053"))*IF(ISNUMBER('Detailed Requirements'!N$2:N$5000),'Detailed Requirements'!N$2:N$5000,0)),1)</f>
        <v>14</v>
      </c>
      <c r="H18" s="147">
        <f>ROUND(SUMPRODUCT((('Detailed Requirements'!C$2:C$5000="FR-053"))*IF(ISNUMBER('Detailed Requirements'!L$2:L$5000),'Detailed Requirements'!L$2:L$5000,0)),1)</f>
        <v>41</v>
      </c>
      <c r="I18" s="148">
        <f t="shared" si="0"/>
        <v>27</v>
      </c>
    </row>
    <row r="19" spans="2:9" ht="19.5" customHeight="1" x14ac:dyDescent="0.25">
      <c r="B19" s="149" t="s">
        <v>5079</v>
      </c>
      <c r="C19" s="88">
        <f>SUMPRODUCT((('Detailed Requirements'!C$2:C$5000="FR-054"))*(LEN('Detailed Requirements'!F$2:F$5000)&gt;0))</f>
        <v>7</v>
      </c>
      <c r="D19" s="66">
        <f>ROUND(SUMPRODUCT((('Detailed Requirements'!C$2:C$5000="FR-054"))*('Detailed Requirements'!J$2:J$5000="Backend Dev")*IF(ISNUMBER('Detailed Requirements'!N$2:N$5000),'Detailed Requirements'!N$2:N$5000,0)),1)</f>
        <v>11</v>
      </c>
      <c r="E19" s="67">
        <f>ROUND(SUMPRODUCT((('Detailed Requirements'!C$2:C$5000="FR-054"))*('Detailed Requirements'!J$2:J$5000="Frontend Dev")*IF(ISNUMBER('Detailed Requirements'!N$2:N$5000),'Detailed Requirements'!N$2:N$5000,0)),1)</f>
        <v>1.8</v>
      </c>
      <c r="F19" s="68">
        <f>ROUND(SUMPRODUCT((('Detailed Requirements'!C$2:C$5000="FR-054"))*('Detailed Requirements'!J$2:J$5000="QA / Both Devs")*IF(ISNUMBER('Detailed Requirements'!N$2:N$5000),'Detailed Requirements'!N$2:N$5000,0)),1)</f>
        <v>3</v>
      </c>
      <c r="G19" s="146">
        <f>ROUND(SUMPRODUCT((('Detailed Requirements'!C$2:C$5000="FR-054"))*IF(ISNUMBER('Detailed Requirements'!N$2:N$5000),'Detailed Requirements'!N$2:N$5000,0)),1)</f>
        <v>15.8</v>
      </c>
      <c r="H19" s="147">
        <f>ROUND(SUMPRODUCT((('Detailed Requirements'!C$2:C$5000="FR-054"))*IF(ISNUMBER('Detailed Requirements'!L$2:L$5000),'Detailed Requirements'!L$2:L$5000,0)),1)</f>
        <v>41</v>
      </c>
      <c r="I19" s="148">
        <f t="shared" si="0"/>
        <v>25.2</v>
      </c>
    </row>
    <row r="20" spans="2:9" ht="21.75" customHeight="1" x14ac:dyDescent="0.25">
      <c r="B20" s="150" t="s">
        <v>4330</v>
      </c>
      <c r="C20" s="94">
        <f>SUM(C10:C19)</f>
        <v>595</v>
      </c>
      <c r="D20" s="151">
        <f t="shared" ref="D20:I20" si="1">ROUND(SUM(D10:D19),1)</f>
        <v>356.1</v>
      </c>
      <c r="E20" s="152">
        <f t="shared" si="1"/>
        <v>178.6</v>
      </c>
      <c r="F20" s="153">
        <f t="shared" si="1"/>
        <v>125.8</v>
      </c>
      <c r="G20" s="97">
        <f t="shared" si="1"/>
        <v>659.9</v>
      </c>
      <c r="H20" s="154">
        <f t="shared" si="1"/>
        <v>1590.3</v>
      </c>
      <c r="I20" s="155">
        <f t="shared" si="1"/>
        <v>930.4</v>
      </c>
    </row>
    <row r="22" spans="2:9" ht="19.5" customHeight="1" x14ac:dyDescent="0.25">
      <c r="B22" s="236" t="s">
        <v>5080</v>
      </c>
      <c r="C22" s="236"/>
      <c r="D22" s="236"/>
      <c r="E22" s="236"/>
      <c r="F22" s="236"/>
      <c r="G22" s="236"/>
      <c r="H22" s="236"/>
      <c r="I22" s="236"/>
    </row>
    <row r="23" spans="2:9" ht="21.75" customHeight="1" x14ac:dyDescent="0.25">
      <c r="B23" s="101" t="s">
        <v>5081</v>
      </c>
      <c r="C23" s="101" t="s">
        <v>5067</v>
      </c>
      <c r="D23" s="101" t="s">
        <v>5062</v>
      </c>
      <c r="E23" s="101" t="s">
        <v>5061</v>
      </c>
      <c r="F23" s="101" t="s">
        <v>5063</v>
      </c>
      <c r="G23" s="101" t="s">
        <v>5064</v>
      </c>
    </row>
    <row r="24" spans="2:9" ht="19.5" customHeight="1" x14ac:dyDescent="0.25">
      <c r="B24" s="156" t="s">
        <v>30</v>
      </c>
      <c r="C24" s="66">
        <f>SUMPRODUCT(('Detailed Requirements'!J$2:J$5000="Backend Dev")*(LEN('Detailed Requirements'!F$2:F$5000)&gt;0))</f>
        <v>261</v>
      </c>
      <c r="D24" s="66">
        <f>ROUND(SUMPRODUCT(('Detailed Requirements'!J$2:J$5000="Backend Dev")*IF(ISNUMBER('Detailed Requirements'!N$2:N$5000),'Detailed Requirements'!N$2:N$5000,0)),1)</f>
        <v>356</v>
      </c>
      <c r="E24" s="66">
        <f>ROUND(SUMPRODUCT(('Detailed Requirements'!J$2:J$5000="Backend Dev")*IF(ISNUMBER('Detailed Requirements'!L$2:L$5000),'Detailed Requirements'!L$2:L$5000,0)),1)</f>
        <v>883</v>
      </c>
      <c r="F24" s="157">
        <f>E24-D24</f>
        <v>527</v>
      </c>
      <c r="G24" s="157" t="str">
        <f>IFERROR(TEXT(ROUND((E24-D24)/E24,2),"0%"),"0%")</f>
        <v>60%</v>
      </c>
    </row>
    <row r="25" spans="2:9" ht="19.5" customHeight="1" x14ac:dyDescent="0.25">
      <c r="B25" s="158" t="s">
        <v>116</v>
      </c>
      <c r="C25" s="67">
        <f>SUMPRODUCT(('Detailed Requirements'!J$2:J$5000="Frontend Dev")*(LEN('Detailed Requirements'!F$2:F$5000)&gt;0))</f>
        <v>246</v>
      </c>
      <c r="D25" s="67">
        <f>ROUND(SUMPRODUCT(('Detailed Requirements'!J$2:J$5000="Frontend Dev")*IF(ISNUMBER('Detailed Requirements'!N$2:N$5000),'Detailed Requirements'!N$2:N$5000,0)),1)</f>
        <v>178.3</v>
      </c>
      <c r="E25" s="67">
        <f>ROUND(SUMPRODUCT(('Detailed Requirements'!J$2:J$5000="Frontend Dev")*IF(ISNUMBER('Detailed Requirements'!L$2:L$5000),'Detailed Requirements'!L$2:L$5000,0)),1)</f>
        <v>398.3</v>
      </c>
      <c r="F25" s="157">
        <f>E25-D25</f>
        <v>220</v>
      </c>
      <c r="G25" s="157" t="str">
        <f>IFERROR(TEXT(ROUND((E25-D25)/E25,2),"0%"),"0%")</f>
        <v>55%</v>
      </c>
    </row>
    <row r="26" spans="2:9" ht="19.5" customHeight="1" x14ac:dyDescent="0.25">
      <c r="B26" s="159" t="s">
        <v>161</v>
      </c>
      <c r="C26" s="68">
        <f>SUMPRODUCT(('Detailed Requirements'!J$2:J$5000="QA / Both Devs")*(LEN('Detailed Requirements'!F$2:F$5000)&gt;0))</f>
        <v>88</v>
      </c>
      <c r="D26" s="68">
        <f>ROUND(SUMPRODUCT(('Detailed Requirements'!J$2:J$5000="QA / Both Devs")*IF(ISNUMBER('Detailed Requirements'!N$2:N$5000),'Detailed Requirements'!N$2:N$5000,0)),1)</f>
        <v>125.5</v>
      </c>
      <c r="E26" s="68">
        <f>ROUND(SUMPRODUCT(('Detailed Requirements'!J$2:J$5000="QA / Both Devs")*IF(ISNUMBER('Detailed Requirements'!L$2:L$5000),'Detailed Requirements'!L$2:L$5000,0)),1)</f>
        <v>309</v>
      </c>
      <c r="F26" s="157">
        <f>E26-D26</f>
        <v>183.5</v>
      </c>
      <c r="G26" s="157" t="str">
        <f>IFERROR(TEXT(ROUND((E26-D26)/E26,2),"0%"),"0%")</f>
        <v>59%</v>
      </c>
    </row>
    <row r="27" spans="2:9" ht="21.75" customHeight="1" x14ac:dyDescent="0.25">
      <c r="B27" s="150" t="s">
        <v>4330</v>
      </c>
      <c r="C27" s="94">
        <f>SUM(C24:C26)</f>
        <v>595</v>
      </c>
      <c r="D27" s="155">
        <f>ROUND(SUM(D24:D26),1)</f>
        <v>659.8</v>
      </c>
      <c r="E27" s="154">
        <f>ROUND(SUM(E24:E26),1)</f>
        <v>1590.3</v>
      </c>
      <c r="F27" s="155">
        <f>ROUND(SUM(F24:F26),1)</f>
        <v>930.5</v>
      </c>
      <c r="G27" s="155" t="str">
        <f>IFERROR(TEXT(ROUND(SUM(F24:F26)/SUM(E24:E26),2),"0%"),"")</f>
        <v>59%</v>
      </c>
    </row>
    <row r="29" spans="2:9" ht="19.5" customHeight="1" x14ac:dyDescent="0.25">
      <c r="B29" s="236" t="s">
        <v>5082</v>
      </c>
      <c r="C29" s="236"/>
      <c r="D29" s="236"/>
      <c r="E29" s="236"/>
      <c r="F29" s="236"/>
      <c r="G29" s="236"/>
      <c r="H29" s="236"/>
      <c r="I29" s="236"/>
    </row>
    <row r="30" spans="2:9" ht="21.75" customHeight="1" x14ac:dyDescent="0.25">
      <c r="B30" s="101" t="s">
        <v>2</v>
      </c>
      <c r="C30" s="101" t="s">
        <v>5066</v>
      </c>
      <c r="D30" s="101" t="s">
        <v>5067</v>
      </c>
      <c r="E30" s="101" t="s">
        <v>5068</v>
      </c>
      <c r="F30" s="101" t="s">
        <v>5069</v>
      </c>
      <c r="G30" s="101" t="s">
        <v>5070</v>
      </c>
      <c r="H30" s="101" t="s">
        <v>5071</v>
      </c>
      <c r="I30" s="101" t="s">
        <v>5072</v>
      </c>
    </row>
    <row r="31" spans="2:9" ht="18" customHeight="1" x14ac:dyDescent="0.25">
      <c r="B31" s="64" t="s">
        <v>23</v>
      </c>
      <c r="C31" s="76" t="s">
        <v>24</v>
      </c>
      <c r="D31" s="85">
        <f>SUMPRODUCT(('Detailed Requirements'!C$2:C$5000="FR-001")*(LEN('Detailed Requirements'!F$2:F$5000)&gt;0))</f>
        <v>18</v>
      </c>
      <c r="E31" s="66">
        <f>'FR Schedule'!D7</f>
        <v>1.6</v>
      </c>
      <c r="F31" s="67">
        <f>'FR Schedule'!E7</f>
        <v>0.9</v>
      </c>
      <c r="G31" s="68">
        <f>'FR Schedule'!F7</f>
        <v>0.5</v>
      </c>
      <c r="H31" s="146">
        <f>'FR Schedule'!G7</f>
        <v>2.1</v>
      </c>
      <c r="I31" s="147">
        <f>'FR Schedule'!H7</f>
        <v>9</v>
      </c>
    </row>
    <row r="32" spans="2:9" ht="18" customHeight="1" x14ac:dyDescent="0.25">
      <c r="B32" s="64" t="s">
        <v>175</v>
      </c>
      <c r="C32" s="71" t="s">
        <v>24</v>
      </c>
      <c r="D32" s="88">
        <f>SUMPRODUCT(('Detailed Requirements'!C$2:C$5000="FR-002")*(LEN('Detailed Requirements'!F$2:F$5000)&gt;0))</f>
        <v>5</v>
      </c>
      <c r="E32" s="66">
        <f>'FR Schedule'!D8</f>
        <v>0.7</v>
      </c>
      <c r="F32" s="67">
        <f>'FR Schedule'!E8</f>
        <v>0</v>
      </c>
      <c r="G32" s="68">
        <f>'FR Schedule'!F8</f>
        <v>0.2</v>
      </c>
      <c r="H32" s="146">
        <f>'FR Schedule'!G8</f>
        <v>0.89999999999999991</v>
      </c>
      <c r="I32" s="147">
        <f>'FR Schedule'!H8</f>
        <v>2.8</v>
      </c>
    </row>
    <row r="33" spans="2:9" ht="18" customHeight="1" x14ac:dyDescent="0.25">
      <c r="B33" s="64" t="s">
        <v>213</v>
      </c>
      <c r="C33" s="76" t="s">
        <v>24</v>
      </c>
      <c r="D33" s="85">
        <f>SUMPRODUCT(('Detailed Requirements'!C$2:C$5000="FR-003")*(LEN('Detailed Requirements'!F$2:F$5000)&gt;0))</f>
        <v>12</v>
      </c>
      <c r="E33" s="66">
        <f>'FR Schedule'!D9</f>
        <v>2.2999999999999998</v>
      </c>
      <c r="F33" s="67">
        <f>'FR Schedule'!E9</f>
        <v>0.4</v>
      </c>
      <c r="G33" s="68">
        <f>'FR Schedule'!F9</f>
        <v>0.6</v>
      </c>
      <c r="H33" s="146">
        <f>'FR Schedule'!G9</f>
        <v>2.9</v>
      </c>
      <c r="I33" s="147">
        <f>'FR Schedule'!H9</f>
        <v>8</v>
      </c>
    </row>
    <row r="34" spans="2:9" ht="18" customHeight="1" x14ac:dyDescent="0.25">
      <c r="B34" s="64" t="s">
        <v>297</v>
      </c>
      <c r="C34" s="71" t="s">
        <v>24</v>
      </c>
      <c r="D34" s="88">
        <f>SUMPRODUCT(('Detailed Requirements'!C$2:C$5000="FR-004")*(LEN('Detailed Requirements'!F$2:F$5000)&gt;0))</f>
        <v>9</v>
      </c>
      <c r="E34" s="66">
        <f>'FR Schedule'!D10</f>
        <v>1.2</v>
      </c>
      <c r="F34" s="67">
        <f>'FR Schedule'!E10</f>
        <v>0.5</v>
      </c>
      <c r="G34" s="68">
        <f>'FR Schedule'!F10</f>
        <v>0.6</v>
      </c>
      <c r="H34" s="146">
        <f>'FR Schedule'!G10</f>
        <v>1.7999999999999998</v>
      </c>
      <c r="I34" s="147">
        <f>'FR Schedule'!H10</f>
        <v>6.6</v>
      </c>
    </row>
    <row r="35" spans="2:9" ht="18" customHeight="1" x14ac:dyDescent="0.25">
      <c r="B35" s="64" t="s">
        <v>366</v>
      </c>
      <c r="C35" s="76" t="s">
        <v>24</v>
      </c>
      <c r="D35" s="85">
        <f>SUMPRODUCT(('Detailed Requirements'!C$2:C$5000="FR-005")*(LEN('Detailed Requirements'!F$2:F$5000)&gt;0))</f>
        <v>6</v>
      </c>
      <c r="E35" s="66">
        <f>'FR Schedule'!D11</f>
        <v>0.5</v>
      </c>
      <c r="F35" s="67">
        <f>'FR Schedule'!E11</f>
        <v>0.3</v>
      </c>
      <c r="G35" s="68">
        <f>'FR Schedule'!F11</f>
        <v>0.3</v>
      </c>
      <c r="H35" s="146">
        <f>'FR Schedule'!G11</f>
        <v>0.8</v>
      </c>
      <c r="I35" s="147">
        <f>'FR Schedule'!H11</f>
        <v>3.4</v>
      </c>
    </row>
    <row r="36" spans="2:9" ht="18" customHeight="1" x14ac:dyDescent="0.25">
      <c r="B36" s="64" t="s">
        <v>413</v>
      </c>
      <c r="C36" s="71" t="s">
        <v>24</v>
      </c>
      <c r="D36" s="88">
        <f>SUMPRODUCT(('Detailed Requirements'!C$2:C$5000="FR-006")*(LEN('Detailed Requirements'!F$2:F$5000)&gt;0))</f>
        <v>12</v>
      </c>
      <c r="E36" s="66">
        <f>'FR Schedule'!D12</f>
        <v>0.5</v>
      </c>
      <c r="F36" s="67">
        <f>'FR Schedule'!E12</f>
        <v>2.1</v>
      </c>
      <c r="G36" s="68">
        <f>'FR Schedule'!F12</f>
        <v>0.4</v>
      </c>
      <c r="H36" s="146">
        <f>'FR Schedule'!G12</f>
        <v>2.5</v>
      </c>
      <c r="I36" s="147">
        <f>'FR Schedule'!H12</f>
        <v>7.6</v>
      </c>
    </row>
    <row r="37" spans="2:9" ht="18" customHeight="1" x14ac:dyDescent="0.25">
      <c r="B37" s="64" t="s">
        <v>515</v>
      </c>
      <c r="C37" s="76" t="s">
        <v>24</v>
      </c>
      <c r="D37" s="85">
        <f>SUMPRODUCT(('Detailed Requirements'!C$2:C$5000="FR-007")*(LEN('Detailed Requirements'!F$2:F$5000)&gt;0))</f>
        <v>5</v>
      </c>
      <c r="E37" s="66">
        <f>'FR Schedule'!D13</f>
        <v>0.3</v>
      </c>
      <c r="F37" s="67">
        <f>'FR Schedule'!E13</f>
        <v>0.3</v>
      </c>
      <c r="G37" s="68">
        <f>'FR Schedule'!F13</f>
        <v>0.3</v>
      </c>
      <c r="H37" s="146">
        <f>'FR Schedule'!G13</f>
        <v>0.6</v>
      </c>
      <c r="I37" s="147">
        <f>'FR Schedule'!H13</f>
        <v>2.2000000000000002</v>
      </c>
    </row>
    <row r="38" spans="2:9" ht="18" customHeight="1" x14ac:dyDescent="0.25">
      <c r="B38" s="64" t="s">
        <v>563</v>
      </c>
      <c r="C38" s="71" t="s">
        <v>5074</v>
      </c>
      <c r="D38" s="88">
        <f>SUMPRODUCT(('Detailed Requirements'!C$2:C$5000="FR-008")*(LEN('Detailed Requirements'!F$2:F$5000)&gt;0))</f>
        <v>3</v>
      </c>
      <c r="E38" s="66">
        <f>'FR Schedule'!D15</f>
        <v>0.1</v>
      </c>
      <c r="F38" s="67">
        <f>'FR Schedule'!E15</f>
        <v>0.1</v>
      </c>
      <c r="G38" s="68">
        <f>'FR Schedule'!F15</f>
        <v>0.2</v>
      </c>
      <c r="H38" s="146">
        <f>'FR Schedule'!G15</f>
        <v>0.30000000000000004</v>
      </c>
      <c r="I38" s="147">
        <f>'FR Schedule'!H15</f>
        <v>1.2</v>
      </c>
    </row>
    <row r="39" spans="2:9" ht="18" customHeight="1" x14ac:dyDescent="0.25">
      <c r="B39" s="64" t="s">
        <v>587</v>
      </c>
      <c r="C39" s="76" t="s">
        <v>5074</v>
      </c>
      <c r="D39" s="85">
        <f>SUMPRODUCT(('Detailed Requirements'!C$2:C$5000="FR-009")*(LEN('Detailed Requirements'!F$2:F$5000)&gt;0))</f>
        <v>6</v>
      </c>
      <c r="E39" s="66">
        <f>'FR Schedule'!D16</f>
        <v>1.1000000000000001</v>
      </c>
      <c r="F39" s="67">
        <f>'FR Schedule'!E16</f>
        <v>0.2</v>
      </c>
      <c r="G39" s="68">
        <f>'FR Schedule'!F16</f>
        <v>0.3</v>
      </c>
      <c r="H39" s="146">
        <f>'FR Schedule'!G16</f>
        <v>1.4000000000000001</v>
      </c>
      <c r="I39" s="147">
        <f>'FR Schedule'!H16</f>
        <v>5</v>
      </c>
    </row>
    <row r="40" spans="2:9" ht="18" customHeight="1" x14ac:dyDescent="0.25">
      <c r="B40" s="64" t="s">
        <v>634</v>
      </c>
      <c r="C40" s="71" t="s">
        <v>5074</v>
      </c>
      <c r="D40" s="88">
        <f>SUMPRODUCT(('Detailed Requirements'!C$2:C$5000="FR-010")*(LEN('Detailed Requirements'!F$2:F$5000)&gt;0))</f>
        <v>6</v>
      </c>
      <c r="E40" s="66">
        <f>'FR Schedule'!D17</f>
        <v>0.7</v>
      </c>
      <c r="F40" s="67">
        <f>'FR Schedule'!E17</f>
        <v>0.2</v>
      </c>
      <c r="G40" s="68">
        <f>'FR Schedule'!F17</f>
        <v>0.5</v>
      </c>
      <c r="H40" s="146">
        <f>'FR Schedule'!G17</f>
        <v>1.2</v>
      </c>
      <c r="I40" s="147">
        <f>'FR Schedule'!H17</f>
        <v>4.2</v>
      </c>
    </row>
    <row r="41" spans="2:9" ht="18" customHeight="1" x14ac:dyDescent="0.25">
      <c r="B41" s="64" t="s">
        <v>680</v>
      </c>
      <c r="C41" s="76" t="s">
        <v>5074</v>
      </c>
      <c r="D41" s="85">
        <f>SUMPRODUCT(('Detailed Requirements'!C$2:C$5000="FR-011")*(LEN('Detailed Requirements'!F$2:F$5000)&gt;0))</f>
        <v>6</v>
      </c>
      <c r="E41" s="66">
        <f>'FR Schedule'!D18</f>
        <v>0.7</v>
      </c>
      <c r="F41" s="67">
        <f>'FR Schedule'!E18</f>
        <v>0.5</v>
      </c>
      <c r="G41" s="68">
        <f>'FR Schedule'!F18</f>
        <v>0.3</v>
      </c>
      <c r="H41" s="146">
        <f>'FR Schedule'!G18</f>
        <v>1</v>
      </c>
      <c r="I41" s="147">
        <f>'FR Schedule'!H18</f>
        <v>4.5999999999999996</v>
      </c>
    </row>
    <row r="42" spans="2:9" ht="18" customHeight="1" x14ac:dyDescent="0.25">
      <c r="B42" s="64" t="s">
        <v>723</v>
      </c>
      <c r="C42" s="71" t="s">
        <v>5074</v>
      </c>
      <c r="D42" s="88">
        <f>SUMPRODUCT(('Detailed Requirements'!C$2:C$5000="FR-012")*(LEN('Detailed Requirements'!F$2:F$5000)&gt;0))</f>
        <v>3</v>
      </c>
      <c r="E42" s="66">
        <f>'FR Schedule'!D19</f>
        <v>0.4</v>
      </c>
      <c r="F42" s="67">
        <f>'FR Schedule'!E19</f>
        <v>0</v>
      </c>
      <c r="G42" s="68">
        <f>'FR Schedule'!F19</f>
        <v>0.2</v>
      </c>
      <c r="H42" s="146">
        <f>'FR Schedule'!G19</f>
        <v>0.60000000000000009</v>
      </c>
      <c r="I42" s="147">
        <f>'FR Schedule'!H19</f>
        <v>1.8</v>
      </c>
    </row>
    <row r="43" spans="2:9" ht="18" customHeight="1" x14ac:dyDescent="0.25">
      <c r="B43" s="64" t="s">
        <v>748</v>
      </c>
      <c r="C43" s="76" t="s">
        <v>749</v>
      </c>
      <c r="D43" s="85">
        <f>SUMPRODUCT(('Detailed Requirements'!C$2:C$5000="FR-013")*(LEN('Detailed Requirements'!F$2:F$5000)&gt;0))</f>
        <v>7</v>
      </c>
      <c r="E43" s="66">
        <f>'FR Schedule'!D21</f>
        <v>0.5</v>
      </c>
      <c r="F43" s="67">
        <f>'FR Schedule'!E21</f>
        <v>0.7</v>
      </c>
      <c r="G43" s="68">
        <f>'FR Schedule'!F21</f>
        <v>0</v>
      </c>
      <c r="H43" s="146">
        <f>'FR Schedule'!G21</f>
        <v>0.7</v>
      </c>
      <c r="I43" s="147">
        <f>'FR Schedule'!H21</f>
        <v>2.5</v>
      </c>
    </row>
    <row r="44" spans="2:9" ht="18" customHeight="1" x14ac:dyDescent="0.25">
      <c r="B44" s="64" t="s">
        <v>805</v>
      </c>
      <c r="C44" s="71" t="s">
        <v>749</v>
      </c>
      <c r="D44" s="88">
        <f>SUMPRODUCT(('Detailed Requirements'!C$2:C$5000="FR-014")*(LEN('Detailed Requirements'!F$2:F$5000)&gt;0))</f>
        <v>12</v>
      </c>
      <c r="E44" s="66">
        <f>'FR Schedule'!D22</f>
        <v>1.4</v>
      </c>
      <c r="F44" s="67">
        <f>'FR Schedule'!E22</f>
        <v>0.9</v>
      </c>
      <c r="G44" s="68">
        <f>'FR Schedule'!F22</f>
        <v>0</v>
      </c>
      <c r="H44" s="146">
        <f>'FR Schedule'!G22</f>
        <v>1.4</v>
      </c>
      <c r="I44" s="147">
        <f>'FR Schedule'!H22</f>
        <v>4.9000000000000004</v>
      </c>
    </row>
    <row r="45" spans="2:9" ht="18" customHeight="1" x14ac:dyDescent="0.25">
      <c r="B45" s="64" t="s">
        <v>890</v>
      </c>
      <c r="C45" s="76" t="s">
        <v>749</v>
      </c>
      <c r="D45" s="85">
        <f>SUMPRODUCT(('Detailed Requirements'!C$2:C$5000="FR-015")*(LEN('Detailed Requirements'!F$2:F$5000)&gt;0))</f>
        <v>8</v>
      </c>
      <c r="E45" s="66">
        <f>'FR Schedule'!D23</f>
        <v>0.8</v>
      </c>
      <c r="F45" s="67">
        <f>'FR Schedule'!E23</f>
        <v>0.6</v>
      </c>
      <c r="G45" s="68">
        <f>'FR Schedule'!F23</f>
        <v>0</v>
      </c>
      <c r="H45" s="146">
        <f>'FR Schedule'!G23</f>
        <v>0.8</v>
      </c>
      <c r="I45" s="147">
        <f>'FR Schedule'!H23</f>
        <v>2.9</v>
      </c>
    </row>
    <row r="46" spans="2:9" ht="18" customHeight="1" x14ac:dyDescent="0.25">
      <c r="B46" s="64" t="s">
        <v>951</v>
      </c>
      <c r="C46" s="71" t="s">
        <v>749</v>
      </c>
      <c r="D46" s="88">
        <f>SUMPRODUCT(('Detailed Requirements'!C$2:C$5000="FR-016")*(LEN('Detailed Requirements'!F$2:F$5000)&gt;0))</f>
        <v>9</v>
      </c>
      <c r="E46" s="66">
        <f>'FR Schedule'!D24</f>
        <v>0.7</v>
      </c>
      <c r="F46" s="67">
        <f>'FR Schedule'!E24</f>
        <v>1.4</v>
      </c>
      <c r="G46" s="68">
        <f>'FR Schedule'!F24</f>
        <v>0</v>
      </c>
      <c r="H46" s="146">
        <f>'FR Schedule'!G24</f>
        <v>1.4</v>
      </c>
      <c r="I46" s="147">
        <f>'FR Schedule'!H24</f>
        <v>4.3</v>
      </c>
    </row>
    <row r="47" spans="2:9" ht="18" customHeight="1" x14ac:dyDescent="0.25">
      <c r="B47" s="64" t="s">
        <v>1018</v>
      </c>
      <c r="C47" s="76" t="s">
        <v>749</v>
      </c>
      <c r="D47" s="85">
        <f>SUMPRODUCT(('Detailed Requirements'!C$2:C$5000="FR-017")*(LEN('Detailed Requirements'!F$2:F$5000)&gt;0))</f>
        <v>16</v>
      </c>
      <c r="E47" s="66">
        <f>'FR Schedule'!D25</f>
        <v>1.2</v>
      </c>
      <c r="F47" s="67">
        <f>'FR Schedule'!E25</f>
        <v>1.3</v>
      </c>
      <c r="G47" s="68">
        <f>'FR Schedule'!F25</f>
        <v>0.6</v>
      </c>
      <c r="H47" s="146">
        <f>'FR Schedule'!G25</f>
        <v>1.9</v>
      </c>
      <c r="I47" s="147">
        <f>'FR Schedule'!H25</f>
        <v>7.5</v>
      </c>
    </row>
    <row r="48" spans="2:9" ht="18" customHeight="1" x14ac:dyDescent="0.25">
      <c r="B48" s="64" t="s">
        <v>1147</v>
      </c>
      <c r="C48" s="71" t="s">
        <v>5075</v>
      </c>
      <c r="D48" s="88">
        <f>SUMPRODUCT(('Detailed Requirements'!C$2:C$5000="FR-018")*(LEN('Detailed Requirements'!F$2:F$5000)&gt;0))</f>
        <v>14</v>
      </c>
      <c r="E48" s="66">
        <f>'FR Schedule'!D27</f>
        <v>3.9</v>
      </c>
      <c r="F48" s="67">
        <f>'FR Schedule'!E27</f>
        <v>0</v>
      </c>
      <c r="G48" s="68">
        <f>'FR Schedule'!F27</f>
        <v>0.9</v>
      </c>
      <c r="H48" s="146">
        <f>'FR Schedule'!G27</f>
        <v>4.8</v>
      </c>
      <c r="I48" s="147">
        <f>'FR Schedule'!H27</f>
        <v>11</v>
      </c>
    </row>
    <row r="49" spans="2:9" ht="18" customHeight="1" x14ac:dyDescent="0.25">
      <c r="B49" s="64" t="s">
        <v>1283</v>
      </c>
      <c r="C49" s="76" t="s">
        <v>5075</v>
      </c>
      <c r="D49" s="85">
        <f>SUMPRODUCT(('Detailed Requirements'!C$2:C$5000="FR-019")*(LEN('Detailed Requirements'!F$2:F$5000)&gt;0))</f>
        <v>32</v>
      </c>
      <c r="E49" s="66">
        <f>'FR Schedule'!D28</f>
        <v>3.2</v>
      </c>
      <c r="F49" s="67">
        <f>'FR Schedule'!E28</f>
        <v>1.4</v>
      </c>
      <c r="G49" s="68">
        <f>'FR Schedule'!F28</f>
        <v>1.7</v>
      </c>
      <c r="H49" s="146">
        <f>'FR Schedule'!G28</f>
        <v>4.9000000000000004</v>
      </c>
      <c r="I49" s="147">
        <f>'FR Schedule'!H28</f>
        <v>18.7</v>
      </c>
    </row>
    <row r="50" spans="2:9" ht="18" customHeight="1" x14ac:dyDescent="0.25">
      <c r="B50" s="64" t="s">
        <v>1523</v>
      </c>
      <c r="C50" s="71" t="s">
        <v>5075</v>
      </c>
      <c r="D50" s="88">
        <f>SUMPRODUCT(('Detailed Requirements'!C$2:C$5000="FR-020")*(LEN('Detailed Requirements'!F$2:F$5000)&gt;0))</f>
        <v>31</v>
      </c>
      <c r="E50" s="66">
        <f>'FR Schedule'!D29</f>
        <v>1.7</v>
      </c>
      <c r="F50" s="67">
        <f>'FR Schedule'!E29</f>
        <v>1.9</v>
      </c>
      <c r="G50" s="68">
        <f>'FR Schedule'!F29</f>
        <v>1.7</v>
      </c>
      <c r="H50" s="146">
        <f>'FR Schedule'!G29</f>
        <v>3.5999999999999996</v>
      </c>
      <c r="I50" s="147">
        <f>'FR Schedule'!H29</f>
        <v>14.4</v>
      </c>
    </row>
    <row r="51" spans="2:9" ht="18" customHeight="1" x14ac:dyDescent="0.25">
      <c r="B51" s="64" t="s">
        <v>1712</v>
      </c>
      <c r="C51" s="76" t="s">
        <v>5075</v>
      </c>
      <c r="D51" s="85">
        <f>SUMPRODUCT(('Detailed Requirements'!C$2:C$5000="FR-021")*(LEN('Detailed Requirements'!F$2:F$5000)&gt;0))</f>
        <v>6</v>
      </c>
      <c r="E51" s="66">
        <f>'FR Schedule'!D30</f>
        <v>0.8</v>
      </c>
      <c r="F51" s="67">
        <f>'FR Schedule'!E30</f>
        <v>0.2</v>
      </c>
      <c r="G51" s="68">
        <f>'FR Schedule'!F30</f>
        <v>0.3</v>
      </c>
      <c r="H51" s="146">
        <f>'FR Schedule'!G30</f>
        <v>1.1000000000000001</v>
      </c>
      <c r="I51" s="147">
        <f>'FR Schedule'!H30</f>
        <v>4.2</v>
      </c>
    </row>
    <row r="52" spans="2:9" ht="18" customHeight="1" x14ac:dyDescent="0.25">
      <c r="B52" s="64" t="s">
        <v>1758</v>
      </c>
      <c r="C52" s="71" t="s">
        <v>5075</v>
      </c>
      <c r="D52" s="88">
        <f>SUMPRODUCT(('Detailed Requirements'!C$2:C$5000="FR-022")*(LEN('Detailed Requirements'!F$2:F$5000)&gt;0))</f>
        <v>25</v>
      </c>
      <c r="E52" s="66">
        <f>'FR Schedule'!D31</f>
        <v>3</v>
      </c>
      <c r="F52" s="67">
        <f>'FR Schedule'!E31</f>
        <v>2.5</v>
      </c>
      <c r="G52" s="68">
        <f>'FR Schedule'!F31</f>
        <v>1.1000000000000001</v>
      </c>
      <c r="H52" s="146">
        <f>'FR Schedule'!G31</f>
        <v>4.0999999999999996</v>
      </c>
      <c r="I52" s="147">
        <f>'FR Schedule'!H31</f>
        <v>14.6</v>
      </c>
    </row>
    <row r="53" spans="2:9" ht="18" customHeight="1" x14ac:dyDescent="0.25">
      <c r="B53" s="64" t="s">
        <v>1934</v>
      </c>
      <c r="C53" s="76" t="s">
        <v>5075</v>
      </c>
      <c r="D53" s="85">
        <f>SUMPRODUCT(('Detailed Requirements'!C$2:C$5000="FR-023")*(LEN('Detailed Requirements'!F$2:F$5000)&gt;0))</f>
        <v>9</v>
      </c>
      <c r="E53" s="66">
        <f>'FR Schedule'!D32</f>
        <v>1.6</v>
      </c>
      <c r="F53" s="67">
        <f>'FR Schedule'!E32</f>
        <v>0.2</v>
      </c>
      <c r="G53" s="68">
        <f>'FR Schedule'!F32</f>
        <v>0.9</v>
      </c>
      <c r="H53" s="146">
        <f>'FR Schedule'!G32</f>
        <v>2.5</v>
      </c>
      <c r="I53" s="147">
        <f>'FR Schedule'!H32</f>
        <v>6</v>
      </c>
    </row>
    <row r="54" spans="2:9" ht="18" customHeight="1" x14ac:dyDescent="0.25">
      <c r="B54" s="64" t="s">
        <v>2010</v>
      </c>
      <c r="C54" s="71" t="s">
        <v>5076</v>
      </c>
      <c r="D54" s="88">
        <f>SUMPRODUCT(('Detailed Requirements'!C$2:C$5000="FR-024")*(LEN('Detailed Requirements'!F$2:F$5000)&gt;0))</f>
        <v>10</v>
      </c>
      <c r="E54" s="66">
        <f>'FR Schedule'!D34</f>
        <v>0.6</v>
      </c>
      <c r="F54" s="67">
        <f>'FR Schedule'!E34</f>
        <v>0.9</v>
      </c>
      <c r="G54" s="68">
        <f>'FR Schedule'!F34</f>
        <v>0.3</v>
      </c>
      <c r="H54" s="146">
        <f>'FR Schedule'!G34</f>
        <v>1.2</v>
      </c>
      <c r="I54" s="147">
        <f>'FR Schedule'!H34</f>
        <v>4</v>
      </c>
    </row>
    <row r="55" spans="2:9" ht="18" customHeight="1" x14ac:dyDescent="0.25">
      <c r="B55" s="64" t="s">
        <v>2077</v>
      </c>
      <c r="C55" s="76" t="s">
        <v>5076</v>
      </c>
      <c r="D55" s="85">
        <f>SUMPRODUCT(('Detailed Requirements'!C$2:C$5000="FR-025")*(LEN('Detailed Requirements'!F$2:F$5000)&gt;0))</f>
        <v>10</v>
      </c>
      <c r="E55" s="66">
        <f>'FR Schedule'!D35</f>
        <v>0.5</v>
      </c>
      <c r="F55" s="67">
        <f>'FR Schedule'!E35</f>
        <v>0.8</v>
      </c>
      <c r="G55" s="68">
        <f>'FR Schedule'!F35</f>
        <v>0.3</v>
      </c>
      <c r="H55" s="146">
        <f>'FR Schedule'!G35</f>
        <v>1.1000000000000001</v>
      </c>
      <c r="I55" s="147">
        <f>'FR Schedule'!H35</f>
        <v>2.8</v>
      </c>
    </row>
    <row r="56" spans="2:9" ht="18" customHeight="1" x14ac:dyDescent="0.25">
      <c r="B56" s="64" t="s">
        <v>2137</v>
      </c>
      <c r="C56" s="71" t="s">
        <v>5076</v>
      </c>
      <c r="D56" s="88">
        <f>SUMPRODUCT(('Detailed Requirements'!C$2:C$5000="FR-026")*(LEN('Detailed Requirements'!F$2:F$5000)&gt;0))</f>
        <v>13</v>
      </c>
      <c r="E56" s="66">
        <f>'FR Schedule'!D36</f>
        <v>1</v>
      </c>
      <c r="F56" s="67">
        <f>'FR Schedule'!E36</f>
        <v>1.1000000000000001</v>
      </c>
      <c r="G56" s="68">
        <f>'FR Schedule'!F36</f>
        <v>0.3</v>
      </c>
      <c r="H56" s="146">
        <f>'FR Schedule'!G36</f>
        <v>1.4000000000000001</v>
      </c>
      <c r="I56" s="147">
        <f>'FR Schedule'!H36</f>
        <v>4.8</v>
      </c>
    </row>
    <row r="57" spans="2:9" ht="18" customHeight="1" x14ac:dyDescent="0.25">
      <c r="B57" s="64" t="s">
        <v>2222</v>
      </c>
      <c r="C57" s="76" t="s">
        <v>5076</v>
      </c>
      <c r="D57" s="85">
        <f>SUMPRODUCT(('Detailed Requirements'!C$2:C$5000="FR-027")*(LEN('Detailed Requirements'!F$2:F$5000)&gt;0))</f>
        <v>11</v>
      </c>
      <c r="E57" s="66">
        <f>'FR Schedule'!D37</f>
        <v>0.7</v>
      </c>
      <c r="F57" s="67">
        <f>'FR Schedule'!E37</f>
        <v>0.9</v>
      </c>
      <c r="G57" s="68">
        <f>'FR Schedule'!F37</f>
        <v>0.3</v>
      </c>
      <c r="H57" s="146">
        <f>'FR Schedule'!G37</f>
        <v>1.2</v>
      </c>
      <c r="I57" s="147">
        <f>'FR Schedule'!H37</f>
        <v>3.8</v>
      </c>
    </row>
    <row r="58" spans="2:9" ht="18" customHeight="1" x14ac:dyDescent="0.25">
      <c r="B58" s="64" t="s">
        <v>2288</v>
      </c>
      <c r="C58" s="71" t="s">
        <v>5076</v>
      </c>
      <c r="D58" s="88">
        <f>SUMPRODUCT(('Detailed Requirements'!C$2:C$5000="FR-028")*(LEN('Detailed Requirements'!F$2:F$5000)&gt;0))</f>
        <v>11</v>
      </c>
      <c r="E58" s="66">
        <f>'FR Schedule'!D38</f>
        <v>0.7</v>
      </c>
      <c r="F58" s="67">
        <f>'FR Schedule'!E38</f>
        <v>0.9</v>
      </c>
      <c r="G58" s="68">
        <f>'FR Schedule'!F38</f>
        <v>0.3</v>
      </c>
      <c r="H58" s="146">
        <f>'FR Schedule'!G38</f>
        <v>1.2</v>
      </c>
      <c r="I58" s="147">
        <f>'FR Schedule'!H38</f>
        <v>3.8</v>
      </c>
    </row>
    <row r="59" spans="2:9" ht="18" customHeight="1" x14ac:dyDescent="0.25">
      <c r="B59" s="64" t="s">
        <v>2351</v>
      </c>
      <c r="C59" s="76" t="s">
        <v>5076</v>
      </c>
      <c r="D59" s="85">
        <f>SUMPRODUCT(('Detailed Requirements'!C$2:C$5000="FR-029")*(LEN('Detailed Requirements'!F$2:F$5000)&gt;0))</f>
        <v>8</v>
      </c>
      <c r="E59" s="66">
        <f>'FR Schedule'!D39</f>
        <v>0.2</v>
      </c>
      <c r="F59" s="67">
        <f>'FR Schedule'!E39</f>
        <v>0.5</v>
      </c>
      <c r="G59" s="68">
        <f>'FR Schedule'!F39</f>
        <v>0.3</v>
      </c>
      <c r="H59" s="146">
        <f>'FR Schedule'!G39</f>
        <v>0.8</v>
      </c>
      <c r="I59" s="147">
        <f>'FR Schedule'!H39</f>
        <v>1.8</v>
      </c>
    </row>
    <row r="60" spans="2:9" ht="18" customHeight="1" x14ac:dyDescent="0.25">
      <c r="B60" s="64" t="s">
        <v>2394</v>
      </c>
      <c r="C60" s="71" t="s">
        <v>5076</v>
      </c>
      <c r="D60" s="88">
        <f>SUMPRODUCT(('Detailed Requirements'!C$2:C$5000="FR-030")*(LEN('Detailed Requirements'!F$2:F$5000)&gt;0))</f>
        <v>8</v>
      </c>
      <c r="E60" s="66">
        <f>'FR Schedule'!D40</f>
        <v>0.6</v>
      </c>
      <c r="F60" s="67">
        <f>'FR Schedule'!E40</f>
        <v>0.5</v>
      </c>
      <c r="G60" s="68">
        <f>'FR Schedule'!F40</f>
        <v>0.3</v>
      </c>
      <c r="H60" s="146">
        <f>'FR Schedule'!G40</f>
        <v>0.89999999999999991</v>
      </c>
      <c r="I60" s="147">
        <f>'FR Schedule'!H40</f>
        <v>3</v>
      </c>
    </row>
    <row r="61" spans="2:9" ht="18" customHeight="1" x14ac:dyDescent="0.25">
      <c r="B61" s="64" t="s">
        <v>2439</v>
      </c>
      <c r="C61" s="76" t="s">
        <v>5076</v>
      </c>
      <c r="D61" s="85">
        <f>SUMPRODUCT(('Detailed Requirements'!C$2:C$5000="FR-031")*(LEN('Detailed Requirements'!F$2:F$5000)&gt;0))</f>
        <v>12</v>
      </c>
      <c r="E61" s="66">
        <f>'FR Schedule'!D41</f>
        <v>0.6</v>
      </c>
      <c r="F61" s="67">
        <f>'FR Schedule'!E41</f>
        <v>0.9</v>
      </c>
      <c r="G61" s="68">
        <f>'FR Schedule'!F41</f>
        <v>0.3</v>
      </c>
      <c r="H61" s="146">
        <f>'FR Schedule'!G41</f>
        <v>1.2</v>
      </c>
      <c r="I61" s="147">
        <f>'FR Schedule'!H41</f>
        <v>3.5</v>
      </c>
    </row>
    <row r="62" spans="2:9" ht="18" customHeight="1" x14ac:dyDescent="0.25">
      <c r="B62" s="64" t="s">
        <v>2509</v>
      </c>
      <c r="C62" s="71" t="s">
        <v>5076</v>
      </c>
      <c r="D62" s="88">
        <f>SUMPRODUCT(('Detailed Requirements'!C$2:C$5000="FR-032")*(LEN('Detailed Requirements'!F$2:F$5000)&gt;0))</f>
        <v>12</v>
      </c>
      <c r="E62" s="66">
        <f>'FR Schedule'!D42</f>
        <v>0.7</v>
      </c>
      <c r="F62" s="67">
        <f>'FR Schedule'!E42</f>
        <v>1</v>
      </c>
      <c r="G62" s="68">
        <f>'FR Schedule'!F42</f>
        <v>0.3</v>
      </c>
      <c r="H62" s="146">
        <f>'FR Schedule'!G42</f>
        <v>1.3</v>
      </c>
      <c r="I62" s="147">
        <f>'FR Schedule'!H42</f>
        <v>3.8</v>
      </c>
    </row>
    <row r="63" spans="2:9" ht="18" customHeight="1" x14ac:dyDescent="0.25">
      <c r="B63" s="64" t="s">
        <v>2584</v>
      </c>
      <c r="C63" s="76" t="s">
        <v>5076</v>
      </c>
      <c r="D63" s="85">
        <f>SUMPRODUCT(('Detailed Requirements'!C$2:C$5000="FR-033")*(LEN('Detailed Requirements'!F$2:F$5000)&gt;0))</f>
        <v>10</v>
      </c>
      <c r="E63" s="66">
        <f>'FR Schedule'!D43</f>
        <v>0.4</v>
      </c>
      <c r="F63" s="67">
        <f>'FR Schedule'!E43</f>
        <v>0.8</v>
      </c>
      <c r="G63" s="68">
        <f>'FR Schedule'!F43</f>
        <v>0.3</v>
      </c>
      <c r="H63" s="146">
        <f>'FR Schedule'!G43</f>
        <v>1.1000000000000001</v>
      </c>
      <c r="I63" s="147">
        <f>'FR Schedule'!H43</f>
        <v>2.8</v>
      </c>
    </row>
    <row r="64" spans="2:9" ht="18" customHeight="1" x14ac:dyDescent="0.25">
      <c r="B64" s="64" t="s">
        <v>2642</v>
      </c>
      <c r="C64" s="71" t="s">
        <v>5076</v>
      </c>
      <c r="D64" s="88">
        <f>SUMPRODUCT(('Detailed Requirements'!C$2:C$5000="FR-034")*(LEN('Detailed Requirements'!F$2:F$5000)&gt;0))</f>
        <v>9</v>
      </c>
      <c r="E64" s="66">
        <f>'FR Schedule'!D44</f>
        <v>0.2</v>
      </c>
      <c r="F64" s="67">
        <f>'FR Schedule'!E44</f>
        <v>0.6</v>
      </c>
      <c r="G64" s="68">
        <f>'FR Schedule'!F44</f>
        <v>0.3</v>
      </c>
      <c r="H64" s="146">
        <f>'FR Schedule'!G44</f>
        <v>0.89999999999999991</v>
      </c>
      <c r="I64" s="147">
        <f>'FR Schedule'!H44</f>
        <v>2</v>
      </c>
    </row>
    <row r="65" spans="2:9" ht="18" customHeight="1" x14ac:dyDescent="0.25">
      <c r="B65" s="64" t="s">
        <v>2691</v>
      </c>
      <c r="C65" s="76" t="s">
        <v>5076</v>
      </c>
      <c r="D65" s="85">
        <f>SUMPRODUCT(('Detailed Requirements'!C$2:C$5000="FR-035")*(LEN('Detailed Requirements'!F$2:F$5000)&gt;0))</f>
        <v>11</v>
      </c>
      <c r="E65" s="66">
        <f>'FR Schedule'!D45</f>
        <v>0.6</v>
      </c>
      <c r="F65" s="67">
        <f>'FR Schedule'!E45</f>
        <v>0.7</v>
      </c>
      <c r="G65" s="68">
        <f>'FR Schedule'!F45</f>
        <v>0.3</v>
      </c>
      <c r="H65" s="146">
        <f>'FR Schedule'!G45</f>
        <v>1</v>
      </c>
      <c r="I65" s="147">
        <f>'FR Schedule'!H45</f>
        <v>3</v>
      </c>
    </row>
    <row r="66" spans="2:9" ht="18" customHeight="1" x14ac:dyDescent="0.25">
      <c r="B66" s="64" t="s">
        <v>2757</v>
      </c>
      <c r="C66" s="71" t="s">
        <v>5076</v>
      </c>
      <c r="D66" s="88">
        <f>SUMPRODUCT(('Detailed Requirements'!C$2:C$5000="FR-036")*(LEN('Detailed Requirements'!F$2:F$5000)&gt;0))</f>
        <v>17</v>
      </c>
      <c r="E66" s="66">
        <f>'FR Schedule'!D46</f>
        <v>1.7</v>
      </c>
      <c r="F66" s="67">
        <f>'FR Schedule'!E46</f>
        <v>0.6</v>
      </c>
      <c r="G66" s="68">
        <f>'FR Schedule'!F46</f>
        <v>0.7</v>
      </c>
      <c r="H66" s="146">
        <f>'FR Schedule'!G46</f>
        <v>2.4</v>
      </c>
      <c r="I66" s="147">
        <f>'FR Schedule'!H46</f>
        <v>6.5</v>
      </c>
    </row>
    <row r="67" spans="2:9" ht="18" customHeight="1" x14ac:dyDescent="0.25">
      <c r="B67" s="64" t="s">
        <v>2868</v>
      </c>
      <c r="C67" s="76" t="s">
        <v>5076</v>
      </c>
      <c r="D67" s="85">
        <f>SUMPRODUCT(('Detailed Requirements'!C$2:C$5000="FR-037")*(LEN('Detailed Requirements'!F$2:F$5000)&gt;0))</f>
        <v>16</v>
      </c>
      <c r="E67" s="66">
        <f>'FR Schedule'!D47</f>
        <v>1.6</v>
      </c>
      <c r="F67" s="67">
        <f>'FR Schedule'!E47</f>
        <v>1.6</v>
      </c>
      <c r="G67" s="68">
        <f>'FR Schedule'!F47</f>
        <v>0.7</v>
      </c>
      <c r="H67" s="146">
        <f>'FR Schedule'!G47</f>
        <v>2.2999999999999998</v>
      </c>
      <c r="I67" s="147">
        <f>'FR Schedule'!H47</f>
        <v>8.1999999999999993</v>
      </c>
    </row>
    <row r="68" spans="2:9" ht="18" customHeight="1" x14ac:dyDescent="0.25">
      <c r="B68" s="64" t="s">
        <v>2966</v>
      </c>
      <c r="C68" s="71" t="s">
        <v>5076</v>
      </c>
      <c r="D68" s="88">
        <f>SUMPRODUCT(('Detailed Requirements'!C$2:C$5000="FR-038")*(LEN('Detailed Requirements'!F$2:F$5000)&gt;0))</f>
        <v>10</v>
      </c>
      <c r="E68" s="66">
        <f>'FR Schedule'!D48</f>
        <v>0.2</v>
      </c>
      <c r="F68" s="67">
        <f>'FR Schedule'!E48</f>
        <v>0.5</v>
      </c>
      <c r="G68" s="68">
        <f>'FR Schedule'!F48</f>
        <v>0.2</v>
      </c>
      <c r="H68" s="146">
        <f>'FR Schedule'!G48</f>
        <v>0.7</v>
      </c>
      <c r="I68" s="147">
        <f>'FR Schedule'!H48</f>
        <v>1.7</v>
      </c>
    </row>
    <row r="69" spans="2:9" ht="18" customHeight="1" x14ac:dyDescent="0.25">
      <c r="B69" s="64" t="s">
        <v>3025</v>
      </c>
      <c r="C69" s="76" t="s">
        <v>5076</v>
      </c>
      <c r="D69" s="85">
        <f>SUMPRODUCT(('Detailed Requirements'!C$2:C$5000="FR-039")*(LEN('Detailed Requirements'!F$2:F$5000)&gt;0))</f>
        <v>11</v>
      </c>
      <c r="E69" s="66">
        <f>'FR Schedule'!D49</f>
        <v>0.9</v>
      </c>
      <c r="F69" s="67">
        <f>'FR Schedule'!E49</f>
        <v>0.6</v>
      </c>
      <c r="G69" s="68">
        <f>'FR Schedule'!F49</f>
        <v>0.3</v>
      </c>
      <c r="H69" s="146">
        <f>'FR Schedule'!G49</f>
        <v>1.2</v>
      </c>
      <c r="I69" s="147">
        <f>'FR Schedule'!H49</f>
        <v>3.7</v>
      </c>
    </row>
    <row r="70" spans="2:9" ht="18" customHeight="1" x14ac:dyDescent="0.25">
      <c r="B70" s="64" t="s">
        <v>3084</v>
      </c>
      <c r="C70" s="71" t="s">
        <v>5076</v>
      </c>
      <c r="D70" s="88">
        <f>SUMPRODUCT(('Detailed Requirements'!C$2:C$5000="FR-040")*(LEN('Detailed Requirements'!F$2:F$5000)&gt;0))</f>
        <v>9</v>
      </c>
      <c r="E70" s="66">
        <f>'FR Schedule'!D50</f>
        <v>1.1000000000000001</v>
      </c>
      <c r="F70" s="67">
        <f>'FR Schedule'!E50</f>
        <v>0.6</v>
      </c>
      <c r="G70" s="68">
        <f>'FR Schedule'!F50</f>
        <v>0.3</v>
      </c>
      <c r="H70" s="146">
        <f>'FR Schedule'!G50</f>
        <v>1.4000000000000001</v>
      </c>
      <c r="I70" s="147">
        <f>'FR Schedule'!H50</f>
        <v>4.4000000000000004</v>
      </c>
    </row>
    <row r="71" spans="2:9" ht="18" customHeight="1" x14ac:dyDescent="0.25">
      <c r="B71" s="64" t="s">
        <v>3139</v>
      </c>
      <c r="C71" s="76" t="s">
        <v>5076</v>
      </c>
      <c r="D71" s="85">
        <f>SUMPRODUCT(('Detailed Requirements'!C$2:C$5000="FR-041")*(LEN('Detailed Requirements'!F$2:F$5000)&gt;0))</f>
        <v>9</v>
      </c>
      <c r="E71" s="66">
        <f>'FR Schedule'!D51</f>
        <v>0.8</v>
      </c>
      <c r="F71" s="67">
        <f>'FR Schedule'!E51</f>
        <v>0.5</v>
      </c>
      <c r="G71" s="68">
        <f>'FR Schedule'!F51</f>
        <v>0.3</v>
      </c>
      <c r="H71" s="146">
        <f>'FR Schedule'!G51</f>
        <v>1.1000000000000001</v>
      </c>
      <c r="I71" s="147">
        <f>'FR Schedule'!H51</f>
        <v>3.4</v>
      </c>
    </row>
    <row r="72" spans="2:9" ht="18" customHeight="1" x14ac:dyDescent="0.25">
      <c r="B72" s="64" t="s">
        <v>3195</v>
      </c>
      <c r="C72" s="71" t="s">
        <v>5076</v>
      </c>
      <c r="D72" s="88">
        <f>SUMPRODUCT(('Detailed Requirements'!C$2:C$5000="FR-042")*(LEN('Detailed Requirements'!F$2:F$5000)&gt;0))</f>
        <v>14</v>
      </c>
      <c r="E72" s="66">
        <f>'FR Schedule'!D52</f>
        <v>1.2</v>
      </c>
      <c r="F72" s="67">
        <f>'FR Schedule'!E52</f>
        <v>1.4</v>
      </c>
      <c r="G72" s="68">
        <f>'FR Schedule'!F52</f>
        <v>0.6</v>
      </c>
      <c r="H72" s="146">
        <f>'FR Schedule'!G52</f>
        <v>2</v>
      </c>
      <c r="I72" s="147">
        <f>'FR Schedule'!H52</f>
        <v>7</v>
      </c>
    </row>
    <row r="73" spans="2:9" ht="18" customHeight="1" x14ac:dyDescent="0.25">
      <c r="B73" s="64" t="s">
        <v>3283</v>
      </c>
      <c r="C73" s="76" t="s">
        <v>3282</v>
      </c>
      <c r="D73" s="85">
        <f>SUMPRODUCT(('Detailed Requirements'!C$2:C$5000="FR-043")*(LEN('Detailed Requirements'!F$2:F$5000)&gt;0))</f>
        <v>14</v>
      </c>
      <c r="E73" s="66">
        <f>'FR Schedule'!D54</f>
        <v>1.8</v>
      </c>
      <c r="F73" s="67">
        <f>'FR Schedule'!E54</f>
        <v>0.8</v>
      </c>
      <c r="G73" s="68">
        <f>'FR Schedule'!F54</f>
        <v>0.7</v>
      </c>
      <c r="H73" s="146">
        <f>'FR Schedule'!G54</f>
        <v>2.5</v>
      </c>
      <c r="I73" s="147">
        <f>'FR Schedule'!H54</f>
        <v>7.4</v>
      </c>
    </row>
    <row r="74" spans="2:9" ht="18" customHeight="1" x14ac:dyDescent="0.25">
      <c r="B74" s="64" t="s">
        <v>3380</v>
      </c>
      <c r="C74" s="71" t="s">
        <v>3379</v>
      </c>
      <c r="D74" s="88">
        <f>SUMPRODUCT(('Detailed Requirements'!C$2:C$5000="FR-044")*(LEN('Detailed Requirements'!F$2:F$5000)&gt;0))</f>
        <v>16</v>
      </c>
      <c r="E74" s="66">
        <f>'FR Schedule'!D55</f>
        <v>2.8</v>
      </c>
      <c r="F74" s="67">
        <f>'FR Schedule'!E55</f>
        <v>0.5</v>
      </c>
      <c r="G74" s="68">
        <f>'FR Schedule'!F55</f>
        <v>1</v>
      </c>
      <c r="H74" s="146">
        <f>'FR Schedule'!G55</f>
        <v>3.8</v>
      </c>
      <c r="I74" s="147">
        <f>'FR Schedule'!H55</f>
        <v>9.8000000000000007</v>
      </c>
    </row>
    <row r="75" spans="2:9" ht="18" customHeight="1" x14ac:dyDescent="0.25">
      <c r="B75" s="64" t="s">
        <v>3503</v>
      </c>
      <c r="C75" s="76" t="s">
        <v>5077</v>
      </c>
      <c r="D75" s="85">
        <f>SUMPRODUCT(('Detailed Requirements'!C$2:C$5000="FR-045")*(LEN('Detailed Requirements'!F$2:F$5000)&gt;0))</f>
        <v>14</v>
      </c>
      <c r="E75" s="66">
        <f>'FR Schedule'!D57</f>
        <v>4.4000000000000004</v>
      </c>
      <c r="F75" s="67">
        <f>'FR Schedule'!E57</f>
        <v>0</v>
      </c>
      <c r="G75" s="68">
        <f>'FR Schedule'!F57</f>
        <v>0.6</v>
      </c>
      <c r="H75" s="146">
        <f>'FR Schedule'!G57</f>
        <v>5</v>
      </c>
      <c r="I75" s="147">
        <f>'FR Schedule'!H57</f>
        <v>13.4</v>
      </c>
    </row>
    <row r="76" spans="2:9" ht="18" customHeight="1" x14ac:dyDescent="0.25">
      <c r="B76" s="64" t="s">
        <v>3631</v>
      </c>
      <c r="C76" s="71" t="s">
        <v>5077</v>
      </c>
      <c r="D76" s="88">
        <f>SUMPRODUCT(('Detailed Requirements'!C$2:C$5000="FR-046")*(LEN('Detailed Requirements'!F$2:F$5000)&gt;0))</f>
        <v>7</v>
      </c>
      <c r="E76" s="66">
        <f>'FR Schedule'!D58</f>
        <v>1.8</v>
      </c>
      <c r="F76" s="67">
        <f>'FR Schedule'!E58</f>
        <v>0</v>
      </c>
      <c r="G76" s="68">
        <f>'FR Schedule'!F58</f>
        <v>0.5</v>
      </c>
      <c r="H76" s="146">
        <f>'FR Schedule'!G58</f>
        <v>2.2999999999999998</v>
      </c>
      <c r="I76" s="147">
        <f>'FR Schedule'!H58</f>
        <v>5.2</v>
      </c>
    </row>
    <row r="77" spans="2:9" ht="18" customHeight="1" x14ac:dyDescent="0.25">
      <c r="B77" s="64" t="s">
        <v>3694</v>
      </c>
      <c r="C77" s="76" t="s">
        <v>5077</v>
      </c>
      <c r="D77" s="85">
        <f>SUMPRODUCT(('Detailed Requirements'!C$2:C$5000="FR-047")*(LEN('Detailed Requirements'!F$2:F$5000)&gt;0))</f>
        <v>9</v>
      </c>
      <c r="E77" s="66">
        <f>'FR Schedule'!D59</f>
        <v>1.7</v>
      </c>
      <c r="F77" s="67">
        <f>'FR Schedule'!E59</f>
        <v>0.3</v>
      </c>
      <c r="G77" s="68">
        <f>'FR Schedule'!F59</f>
        <v>0.6</v>
      </c>
      <c r="H77" s="146">
        <f>'FR Schedule'!G59</f>
        <v>2.2999999999999998</v>
      </c>
      <c r="I77" s="147">
        <f>'FR Schedule'!H59</f>
        <v>5.9</v>
      </c>
    </row>
    <row r="78" spans="2:9" ht="18" customHeight="1" x14ac:dyDescent="0.25">
      <c r="B78" s="64" t="s">
        <v>3763</v>
      </c>
      <c r="C78" s="71" t="s">
        <v>5077</v>
      </c>
      <c r="D78" s="88">
        <f>SUMPRODUCT(('Detailed Requirements'!C$2:C$5000="FR-048")*(LEN('Detailed Requirements'!F$2:F$5000)&gt;0))</f>
        <v>8</v>
      </c>
      <c r="E78" s="66">
        <f>'FR Schedule'!D60</f>
        <v>1.9</v>
      </c>
      <c r="F78" s="67">
        <f>'FR Schedule'!E60</f>
        <v>0.3</v>
      </c>
      <c r="G78" s="68">
        <f>'FR Schedule'!F60</f>
        <v>0.5</v>
      </c>
      <c r="H78" s="146">
        <f>'FR Schedule'!G60</f>
        <v>2.4</v>
      </c>
      <c r="I78" s="147">
        <f>'FR Schedule'!H60</f>
        <v>5.7</v>
      </c>
    </row>
    <row r="79" spans="2:9" ht="18" customHeight="1" x14ac:dyDescent="0.25">
      <c r="B79" s="64" t="s">
        <v>3827</v>
      </c>
      <c r="C79" s="76" t="s">
        <v>5077</v>
      </c>
      <c r="D79" s="85">
        <f>SUMPRODUCT(('Detailed Requirements'!C$2:C$5000="FR-049")*(LEN('Detailed Requirements'!F$2:F$5000)&gt;0))</f>
        <v>12</v>
      </c>
      <c r="E79" s="66">
        <f>'FR Schedule'!D61</f>
        <v>3.7</v>
      </c>
      <c r="F79" s="67">
        <f>'FR Schedule'!E61</f>
        <v>0.2</v>
      </c>
      <c r="G79" s="68">
        <f>'FR Schedule'!F61</f>
        <v>1</v>
      </c>
      <c r="H79" s="146">
        <f>'FR Schedule'!G61</f>
        <v>4.7</v>
      </c>
      <c r="I79" s="147">
        <f>'FR Schedule'!H61</f>
        <v>10.3</v>
      </c>
    </row>
    <row r="80" spans="2:9" ht="18" customHeight="1" x14ac:dyDescent="0.25">
      <c r="B80" s="64" t="s">
        <v>3918</v>
      </c>
      <c r="C80" s="71" t="s">
        <v>5077</v>
      </c>
      <c r="D80" s="88">
        <f>SUMPRODUCT(('Detailed Requirements'!C$2:C$5000="FR-050")*(LEN('Detailed Requirements'!F$2:F$5000)&gt;0))</f>
        <v>10</v>
      </c>
      <c r="E80" s="66">
        <f>'FR Schedule'!D62</f>
        <v>1.5</v>
      </c>
      <c r="F80" s="67">
        <f>'FR Schedule'!E62</f>
        <v>0.6</v>
      </c>
      <c r="G80" s="68">
        <f>'FR Schedule'!F62</f>
        <v>1</v>
      </c>
      <c r="H80" s="146">
        <f>'FR Schedule'!G62</f>
        <v>2.5</v>
      </c>
      <c r="I80" s="147">
        <f>'FR Schedule'!H62</f>
        <v>6.9</v>
      </c>
    </row>
    <row r="81" spans="2:9" ht="18" customHeight="1" x14ac:dyDescent="0.25">
      <c r="B81" s="64" t="s">
        <v>3994</v>
      </c>
      <c r="C81" s="76" t="s">
        <v>5077</v>
      </c>
      <c r="D81" s="85">
        <f>SUMPRODUCT(('Detailed Requirements'!C$2:C$5000="FR-051")*(LEN('Detailed Requirements'!F$2:F$5000)&gt;0))</f>
        <v>10</v>
      </c>
      <c r="E81" s="66">
        <f>'FR Schedule'!D63</f>
        <v>2.8</v>
      </c>
      <c r="F81" s="67">
        <f>'FR Schedule'!E63</f>
        <v>0.7</v>
      </c>
      <c r="G81" s="68">
        <f>'FR Schedule'!F63</f>
        <v>0.6</v>
      </c>
      <c r="H81" s="146">
        <f>'FR Schedule'!G63</f>
        <v>3.4</v>
      </c>
      <c r="I81" s="147">
        <f>'FR Schedule'!H63</f>
        <v>8.8000000000000007</v>
      </c>
    </row>
    <row r="82" spans="2:9" ht="18" customHeight="1" x14ac:dyDescent="0.25">
      <c r="B82" s="64" t="s">
        <v>4074</v>
      </c>
      <c r="C82" s="71" t="s">
        <v>5077</v>
      </c>
      <c r="D82" s="88">
        <f>SUMPRODUCT(('Detailed Requirements'!C$2:C$5000="FR-052")*(LEN('Detailed Requirements'!F$2:F$5000)&gt;0))</f>
        <v>8</v>
      </c>
      <c r="E82" s="66">
        <f>'FR Schedule'!D64</f>
        <v>2.4</v>
      </c>
      <c r="F82" s="67">
        <f>'FR Schedule'!E64</f>
        <v>0.4</v>
      </c>
      <c r="G82" s="68">
        <f>'FR Schedule'!F64</f>
        <v>0.5</v>
      </c>
      <c r="H82" s="146">
        <f>'FR Schedule'!G64</f>
        <v>2.9</v>
      </c>
      <c r="I82" s="147">
        <f>'FR Schedule'!H64</f>
        <v>7</v>
      </c>
    </row>
    <row r="83" spans="2:9" ht="18" customHeight="1" x14ac:dyDescent="0.25">
      <c r="B83" s="64" t="s">
        <v>4142</v>
      </c>
      <c r="C83" s="76" t="s">
        <v>5078</v>
      </c>
      <c r="D83" s="85">
        <f>SUMPRODUCT(('Detailed Requirements'!C$2:C$5000="FR-053")*(LEN('Detailed Requirements'!F$2:F$5000)&gt;0))</f>
        <v>9</v>
      </c>
      <c r="E83" s="66">
        <f>'FR Schedule'!D65</f>
        <v>1.9</v>
      </c>
      <c r="F83" s="67">
        <f>'FR Schedule'!E65</f>
        <v>0.6</v>
      </c>
      <c r="G83" s="68">
        <f>'FR Schedule'!F65</f>
        <v>0.4</v>
      </c>
      <c r="H83" s="146">
        <f>'FR Schedule'!G65</f>
        <v>2.2999999999999998</v>
      </c>
      <c r="I83" s="147">
        <f>'FR Schedule'!H65</f>
        <v>8.1999999999999993</v>
      </c>
    </row>
    <row r="84" spans="2:9" ht="18" customHeight="1" x14ac:dyDescent="0.25">
      <c r="B84" s="64" t="s">
        <v>4235</v>
      </c>
      <c r="C84" s="71" t="s">
        <v>5079</v>
      </c>
      <c r="D84" s="88">
        <f>SUMPRODUCT(('Detailed Requirements'!C$2:C$5000="FR-054")*(LEN('Detailed Requirements'!F$2:F$5000)&gt;0))</f>
        <v>7</v>
      </c>
      <c r="E84" s="66">
        <f>'FR Schedule'!D67</f>
        <v>2.2000000000000002</v>
      </c>
      <c r="F84" s="67">
        <f>'FR Schedule'!E67</f>
        <v>0.4</v>
      </c>
      <c r="G84" s="68">
        <f>'FR Schedule'!F67</f>
        <v>0.6</v>
      </c>
      <c r="H84" s="146">
        <f>'FR Schedule'!G67</f>
        <v>2.8000000000000003</v>
      </c>
      <c r="I84" s="147">
        <f>'FR Schedule'!H67</f>
        <v>8.1999999999999993</v>
      </c>
    </row>
    <row r="85" spans="2:9" ht="24" customHeight="1" x14ac:dyDescent="0.25">
      <c r="B85" s="150" t="s">
        <v>5083</v>
      </c>
      <c r="C85" s="160" t="s">
        <v>1833</v>
      </c>
      <c r="D85" s="94">
        <f>SUM(D31:D84)</f>
        <v>595</v>
      </c>
      <c r="E85" s="161">
        <f>ROUND(SUM(E31:E84),1)</f>
        <v>72.099999999999994</v>
      </c>
      <c r="F85" s="162">
        <f>ROUND(SUM(F31:F84),1)</f>
        <v>36.799999999999997</v>
      </c>
      <c r="G85" s="163">
        <f>ROUND(SUM(G31:G84),1)</f>
        <v>26.3</v>
      </c>
      <c r="H85" s="164">
        <f>ROUND(SUM(H31:H84),1)</f>
        <v>104.6</v>
      </c>
      <c r="I85" s="154">
        <f>ROUND(SUM(I31:I84),1)</f>
        <v>318.2</v>
      </c>
    </row>
  </sheetData>
  <mergeCells count="6">
    <mergeCell ref="B29:I29"/>
    <mergeCell ref="B1:I1"/>
    <mergeCell ref="B2:I2"/>
    <mergeCell ref="B4:I4"/>
    <mergeCell ref="B8:I8"/>
    <mergeCell ref="B22:I2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topLeftCell="A14" zoomScaleNormal="100" workbookViewId="0">
      <selection activeCell="B6" sqref="B6"/>
    </sheetView>
  </sheetViews>
  <sheetFormatPr defaultColWidth="8.7109375" defaultRowHeight="15" x14ac:dyDescent="0.25"/>
  <cols>
    <col min="1" max="1" width="3" style="17" customWidth="1"/>
    <col min="2" max="2" width="61.5703125" style="17" customWidth="1"/>
    <col min="3" max="3" width="121.85546875" style="17" customWidth="1"/>
    <col min="4" max="4" width="20.28515625" style="17" customWidth="1"/>
  </cols>
  <sheetData>
    <row r="1" spans="2:3" ht="17.25" customHeight="1" x14ac:dyDescent="0.25">
      <c r="B1" s="237" t="s">
        <v>5084</v>
      </c>
      <c r="C1" s="237"/>
    </row>
    <row r="2" spans="2:3" ht="15" customHeight="1" x14ac:dyDescent="0.25">
      <c r="B2" s="238" t="s">
        <v>5085</v>
      </c>
      <c r="C2" s="238"/>
    </row>
    <row r="3" spans="2:3" ht="15" customHeight="1" x14ac:dyDescent="0.25">
      <c r="B3" s="165" t="s">
        <v>5086</v>
      </c>
      <c r="C3" s="166" t="s">
        <v>5087</v>
      </c>
    </row>
    <row r="4" spans="2:3" ht="264" customHeight="1" x14ac:dyDescent="0.25">
      <c r="B4" s="167" t="s">
        <v>5088</v>
      </c>
      <c r="C4" s="168" t="s">
        <v>5089</v>
      </c>
    </row>
    <row r="5" spans="2:3" ht="15" customHeight="1" x14ac:dyDescent="0.25">
      <c r="B5" s="169" t="s">
        <v>5090</v>
      </c>
      <c r="C5" s="170" t="s">
        <v>5087</v>
      </c>
    </row>
    <row r="6" spans="2:3" ht="288" customHeight="1" x14ac:dyDescent="0.25">
      <c r="B6" s="171" t="s">
        <v>5091</v>
      </c>
      <c r="C6" s="172" t="s">
        <v>5092</v>
      </c>
    </row>
    <row r="8" spans="2:3" ht="15" customHeight="1" x14ac:dyDescent="0.25">
      <c r="B8" s="173" t="s">
        <v>5093</v>
      </c>
      <c r="C8" s="174" t="s">
        <v>5087</v>
      </c>
    </row>
    <row r="9" spans="2:3" ht="216" customHeight="1" x14ac:dyDescent="0.25">
      <c r="B9" s="175" t="s">
        <v>5088</v>
      </c>
      <c r="C9" s="176" t="s">
        <v>5094</v>
      </c>
    </row>
    <row r="11" spans="2:3" ht="15" customHeight="1" x14ac:dyDescent="0.25">
      <c r="B11" s="177" t="s">
        <v>5095</v>
      </c>
      <c r="C11" s="178" t="s">
        <v>5087</v>
      </c>
    </row>
    <row r="12" spans="2:3" ht="204" customHeight="1" x14ac:dyDescent="0.25">
      <c r="B12" s="179" t="s">
        <v>5088</v>
      </c>
      <c r="C12" s="180" t="s">
        <v>5096</v>
      </c>
    </row>
  </sheetData>
  <mergeCells count="2">
    <mergeCell ref="B1:C1"/>
    <mergeCell ref="B2:C2"/>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zoomScaleNormal="100" workbookViewId="0">
      <selection activeCell="D11" sqref="D11"/>
    </sheetView>
  </sheetViews>
  <sheetFormatPr defaultColWidth="8.7109375" defaultRowHeight="15" x14ac:dyDescent="0.25"/>
  <cols>
    <col min="1" max="1" width="4" style="17" customWidth="1"/>
    <col min="2" max="2" width="18" style="17" customWidth="1"/>
    <col min="3" max="3" width="42" style="17" customWidth="1"/>
    <col min="4" max="4" width="56.28515625" style="17" customWidth="1"/>
    <col min="5" max="5" width="28.28515625" style="17" customWidth="1"/>
  </cols>
  <sheetData>
    <row r="1" spans="1:5" ht="17.25" customHeight="1" x14ac:dyDescent="0.25">
      <c r="A1" s="239" t="s">
        <v>5097</v>
      </c>
      <c r="B1" s="239"/>
      <c r="C1" s="239"/>
      <c r="D1" s="239"/>
      <c r="E1" s="239"/>
    </row>
    <row r="2" spans="1:5" ht="15" customHeight="1" x14ac:dyDescent="0.25">
      <c r="A2" s="238" t="s">
        <v>5098</v>
      </c>
      <c r="B2" s="238"/>
      <c r="C2" s="238"/>
      <c r="D2" s="238"/>
      <c r="E2" s="238"/>
    </row>
    <row r="3" spans="1:5" ht="15" customHeight="1" x14ac:dyDescent="0.25">
      <c r="A3" s="181" t="s">
        <v>5099</v>
      </c>
      <c r="B3" s="181" t="s">
        <v>5100</v>
      </c>
      <c r="C3" s="181" t="s">
        <v>5101</v>
      </c>
      <c r="D3" s="181" t="s">
        <v>5102</v>
      </c>
      <c r="E3" s="181" t="s">
        <v>5103</v>
      </c>
    </row>
    <row r="4" spans="1:5" ht="51" customHeight="1" x14ac:dyDescent="0.25">
      <c r="A4" s="182" t="s">
        <v>5104</v>
      </c>
      <c r="B4" s="183" t="s">
        <v>5105</v>
      </c>
      <c r="C4" s="184" t="s">
        <v>5106</v>
      </c>
      <c r="D4" s="185" t="s">
        <v>5107</v>
      </c>
      <c r="E4" s="186" t="s">
        <v>5108</v>
      </c>
    </row>
    <row r="5" spans="1:5" ht="51" customHeight="1" x14ac:dyDescent="0.25">
      <c r="A5" s="182" t="s">
        <v>5109</v>
      </c>
      <c r="B5" s="183" t="s">
        <v>5110</v>
      </c>
      <c r="C5" s="184" t="s">
        <v>5111</v>
      </c>
      <c r="D5" s="185" t="s">
        <v>5112</v>
      </c>
      <c r="E5" s="186" t="s">
        <v>5108</v>
      </c>
    </row>
    <row r="6" spans="1:5" ht="51" customHeight="1" x14ac:dyDescent="0.25">
      <c r="A6" s="187" t="s">
        <v>5113</v>
      </c>
      <c r="B6" s="188" t="s">
        <v>5114</v>
      </c>
      <c r="C6" s="189" t="s">
        <v>5115</v>
      </c>
      <c r="D6" s="185" t="s">
        <v>5116</v>
      </c>
      <c r="E6" s="190" t="s">
        <v>5117</v>
      </c>
    </row>
    <row r="7" spans="1:5" ht="15" customHeight="1" x14ac:dyDescent="0.25">
      <c r="A7" s="187" t="s">
        <v>1833</v>
      </c>
      <c r="B7" s="188" t="s">
        <v>5118</v>
      </c>
      <c r="C7" s="189" t="s">
        <v>5119</v>
      </c>
      <c r="D7" s="185"/>
      <c r="E7" s="190" t="s">
        <v>5120</v>
      </c>
    </row>
    <row r="8" spans="1:5" ht="63.75" customHeight="1" x14ac:dyDescent="0.25">
      <c r="A8" s="191" t="s">
        <v>5121</v>
      </c>
      <c r="B8" s="192" t="s">
        <v>5122</v>
      </c>
      <c r="C8" s="193" t="s">
        <v>5123</v>
      </c>
      <c r="D8" s="185" t="s">
        <v>5124</v>
      </c>
      <c r="E8" s="194" t="s">
        <v>5108</v>
      </c>
    </row>
    <row r="9" spans="1:5" ht="51" customHeight="1" x14ac:dyDescent="0.25">
      <c r="A9" s="195" t="s">
        <v>5125</v>
      </c>
      <c r="B9" s="196" t="s">
        <v>5126</v>
      </c>
      <c r="C9" s="197" t="s">
        <v>5127</v>
      </c>
      <c r="D9" s="185" t="s">
        <v>5128</v>
      </c>
      <c r="E9" s="198" t="s">
        <v>5129</v>
      </c>
    </row>
    <row r="10" spans="1:5" ht="51" customHeight="1" x14ac:dyDescent="0.25">
      <c r="A10" s="199" t="s">
        <v>5130</v>
      </c>
      <c r="B10" s="200" t="s">
        <v>5131</v>
      </c>
      <c r="C10" s="201" t="s">
        <v>5132</v>
      </c>
      <c r="D10" s="185" t="s">
        <v>5133</v>
      </c>
      <c r="E10" s="202" t="s">
        <v>5134</v>
      </c>
    </row>
    <row r="11" spans="1:5" ht="89.25" customHeight="1" x14ac:dyDescent="0.25">
      <c r="A11" s="203" t="s">
        <v>5135</v>
      </c>
      <c r="B11" s="204" t="s">
        <v>5136</v>
      </c>
      <c r="C11" s="205" t="s">
        <v>5137</v>
      </c>
      <c r="D11" s="185" t="s">
        <v>5138</v>
      </c>
      <c r="E11" s="206" t="s">
        <v>5108</v>
      </c>
    </row>
  </sheetData>
  <mergeCells count="2">
    <mergeCell ref="A1:E1"/>
    <mergeCell ref="A2:E2"/>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topLeftCell="A37" zoomScaleNormal="100" workbookViewId="0">
      <selection activeCell="H42" sqref="H42"/>
    </sheetView>
  </sheetViews>
  <sheetFormatPr defaultColWidth="8.7109375" defaultRowHeight="15" x14ac:dyDescent="0.25"/>
  <cols>
    <col min="1" max="1" width="7.42578125" style="17" customWidth="1"/>
    <col min="2" max="2" width="22" style="17" customWidth="1"/>
    <col min="3" max="3" width="36" style="17" customWidth="1"/>
    <col min="4" max="4" width="36.28515625" style="17" customWidth="1"/>
    <col min="5" max="5" width="18" style="17" customWidth="1"/>
  </cols>
  <sheetData>
    <row r="1" spans="1:5" ht="17.25" customHeight="1" x14ac:dyDescent="0.25">
      <c r="A1" s="237" t="s">
        <v>5139</v>
      </c>
      <c r="B1" s="237"/>
      <c r="C1" s="237"/>
      <c r="D1" s="237"/>
      <c r="E1" s="237"/>
    </row>
    <row r="2" spans="1:5" ht="15" customHeight="1" x14ac:dyDescent="0.25">
      <c r="A2" s="238" t="s">
        <v>5140</v>
      </c>
      <c r="B2" s="238"/>
      <c r="C2" s="238"/>
      <c r="D2" s="238"/>
      <c r="E2" s="238"/>
    </row>
    <row r="3" spans="1:5" ht="15" customHeight="1" x14ac:dyDescent="0.25">
      <c r="A3" s="181" t="s">
        <v>5099</v>
      </c>
      <c r="B3" s="181" t="s">
        <v>5141</v>
      </c>
      <c r="C3" s="181" t="s">
        <v>5142</v>
      </c>
      <c r="D3" s="181" t="s">
        <v>5143</v>
      </c>
      <c r="E3" s="181" t="s">
        <v>4446</v>
      </c>
    </row>
    <row r="4" spans="1:5" ht="15" customHeight="1" x14ac:dyDescent="0.25">
      <c r="A4" s="240" t="s">
        <v>5144</v>
      </c>
      <c r="B4" s="240"/>
      <c r="C4" s="240"/>
      <c r="D4" s="240"/>
      <c r="E4" s="240"/>
    </row>
    <row r="5" spans="1:5" ht="36" customHeight="1" x14ac:dyDescent="0.25">
      <c r="A5" s="207" t="s">
        <v>5145</v>
      </c>
      <c r="B5" s="184" t="s">
        <v>5146</v>
      </c>
      <c r="C5" s="208" t="s">
        <v>5147</v>
      </c>
      <c r="D5" s="209" t="s">
        <v>5148</v>
      </c>
      <c r="E5" s="210" t="s">
        <v>5149</v>
      </c>
    </row>
    <row r="6" spans="1:5" ht="38.25" customHeight="1" x14ac:dyDescent="0.25">
      <c r="A6" s="207" t="s">
        <v>5150</v>
      </c>
      <c r="B6" s="184" t="s">
        <v>5151</v>
      </c>
      <c r="C6" s="208" t="s">
        <v>5152</v>
      </c>
      <c r="D6" s="209" t="s">
        <v>5153</v>
      </c>
      <c r="E6" s="210" t="s">
        <v>5149</v>
      </c>
    </row>
    <row r="7" spans="1:5" ht="102" customHeight="1" x14ac:dyDescent="0.25">
      <c r="A7" s="207" t="s">
        <v>5154</v>
      </c>
      <c r="B7" s="184" t="s">
        <v>5155</v>
      </c>
      <c r="C7" s="208" t="s">
        <v>5156</v>
      </c>
      <c r="D7" s="209" t="s">
        <v>5157</v>
      </c>
      <c r="E7" s="210" t="s">
        <v>5149</v>
      </c>
    </row>
    <row r="8" spans="1:5" ht="63.75" customHeight="1" x14ac:dyDescent="0.25">
      <c r="A8" s="207" t="s">
        <v>5158</v>
      </c>
      <c r="B8" s="184" t="s">
        <v>5159</v>
      </c>
      <c r="C8" s="208" t="s">
        <v>5160</v>
      </c>
      <c r="D8" s="209" t="s">
        <v>5161</v>
      </c>
      <c r="E8" s="210" t="s">
        <v>5149</v>
      </c>
    </row>
    <row r="9" spans="1:5" ht="15" customHeight="1" x14ac:dyDescent="0.25">
      <c r="A9" s="211"/>
      <c r="B9" s="211"/>
      <c r="C9" s="211"/>
      <c r="D9" s="211"/>
      <c r="E9" s="211"/>
    </row>
    <row r="10" spans="1:5" ht="15" customHeight="1" x14ac:dyDescent="0.25">
      <c r="A10" s="241" t="s">
        <v>5162</v>
      </c>
      <c r="B10" s="241"/>
      <c r="C10" s="241"/>
      <c r="D10" s="241"/>
      <c r="E10" s="241"/>
    </row>
    <row r="11" spans="1:5" ht="38.25" customHeight="1" x14ac:dyDescent="0.25">
      <c r="A11" s="212" t="s">
        <v>5163</v>
      </c>
      <c r="B11" s="189" t="s">
        <v>5164</v>
      </c>
      <c r="C11" s="213" t="s">
        <v>5165</v>
      </c>
      <c r="D11" s="209" t="s">
        <v>5166</v>
      </c>
      <c r="E11" s="210" t="s">
        <v>5149</v>
      </c>
    </row>
    <row r="12" spans="1:5" ht="76.5" customHeight="1" x14ac:dyDescent="0.25">
      <c r="A12" s="212" t="s">
        <v>5167</v>
      </c>
      <c r="B12" s="189" t="s">
        <v>5168</v>
      </c>
      <c r="C12" s="213" t="s">
        <v>5169</v>
      </c>
      <c r="D12" s="209" t="s">
        <v>5170</v>
      </c>
      <c r="E12" s="210" t="s">
        <v>5149</v>
      </c>
    </row>
    <row r="13" spans="1:5" ht="51" customHeight="1" x14ac:dyDescent="0.25">
      <c r="A13" s="212" t="s">
        <v>5171</v>
      </c>
      <c r="B13" s="189" t="s">
        <v>5172</v>
      </c>
      <c r="C13" s="213" t="s">
        <v>5173</v>
      </c>
      <c r="D13" s="209" t="s">
        <v>5174</v>
      </c>
      <c r="E13" s="210" t="s">
        <v>5149</v>
      </c>
    </row>
    <row r="14" spans="1:5" ht="51" customHeight="1" x14ac:dyDescent="0.25">
      <c r="A14" s="212" t="s">
        <v>5175</v>
      </c>
      <c r="B14" s="189" t="s">
        <v>5176</v>
      </c>
      <c r="C14" s="213" t="s">
        <v>5177</v>
      </c>
      <c r="D14" s="209" t="s">
        <v>5178</v>
      </c>
      <c r="E14" s="210" t="s">
        <v>5149</v>
      </c>
    </row>
    <row r="15" spans="1:5" ht="15" customHeight="1" x14ac:dyDescent="0.25">
      <c r="A15" s="211"/>
      <c r="B15" s="211"/>
      <c r="C15" s="211"/>
      <c r="D15" s="211"/>
      <c r="E15" s="211"/>
    </row>
    <row r="16" spans="1:5" ht="15" customHeight="1" x14ac:dyDescent="0.25">
      <c r="A16" s="242" t="s">
        <v>5179</v>
      </c>
      <c r="B16" s="242"/>
      <c r="C16" s="242"/>
      <c r="D16" s="242"/>
      <c r="E16" s="242"/>
    </row>
    <row r="17" spans="1:5" ht="60" customHeight="1" x14ac:dyDescent="0.25">
      <c r="A17" s="214" t="s">
        <v>5180</v>
      </c>
      <c r="B17" s="193" t="s">
        <v>5181</v>
      </c>
      <c r="C17" s="215" t="s">
        <v>5182</v>
      </c>
      <c r="D17" s="209" t="s">
        <v>5183</v>
      </c>
      <c r="E17" s="210" t="s">
        <v>5149</v>
      </c>
    </row>
    <row r="18" spans="1:5" ht="76.5" customHeight="1" x14ac:dyDescent="0.25">
      <c r="A18" s="214" t="s">
        <v>5184</v>
      </c>
      <c r="B18" s="193" t="s">
        <v>5185</v>
      </c>
      <c r="C18" s="215" t="s">
        <v>5186</v>
      </c>
      <c r="D18" s="209" t="s">
        <v>5187</v>
      </c>
      <c r="E18" s="210" t="s">
        <v>5149</v>
      </c>
    </row>
    <row r="19" spans="1:5" ht="63.75" customHeight="1" x14ac:dyDescent="0.25">
      <c r="A19" s="214" t="s">
        <v>5188</v>
      </c>
      <c r="B19" s="193" t="s">
        <v>5189</v>
      </c>
      <c r="C19" s="215" t="s">
        <v>5190</v>
      </c>
      <c r="D19" s="209" t="s">
        <v>5191</v>
      </c>
      <c r="E19" s="210" t="s">
        <v>5149</v>
      </c>
    </row>
    <row r="20" spans="1:5" ht="63.75" customHeight="1" x14ac:dyDescent="0.25">
      <c r="A20" s="214" t="s">
        <v>5192</v>
      </c>
      <c r="B20" s="193" t="s">
        <v>5193</v>
      </c>
      <c r="C20" s="215" t="s">
        <v>5194</v>
      </c>
      <c r="D20" s="209" t="s">
        <v>5195</v>
      </c>
      <c r="E20" s="210" t="s">
        <v>5149</v>
      </c>
    </row>
    <row r="21" spans="1:5" ht="15" customHeight="1" x14ac:dyDescent="0.25">
      <c r="A21" s="211"/>
      <c r="B21" s="211"/>
      <c r="C21" s="211"/>
      <c r="D21" s="211"/>
      <c r="E21" s="211"/>
    </row>
    <row r="22" spans="1:5" ht="15" customHeight="1" x14ac:dyDescent="0.25">
      <c r="A22" s="243" t="s">
        <v>5196</v>
      </c>
      <c r="B22" s="243"/>
      <c r="C22" s="243"/>
      <c r="D22" s="243"/>
      <c r="E22" s="243"/>
    </row>
    <row r="23" spans="1:5" ht="102" customHeight="1" x14ac:dyDescent="0.25">
      <c r="A23" s="216" t="s">
        <v>5197</v>
      </c>
      <c r="B23" s="197" t="s">
        <v>5198</v>
      </c>
      <c r="C23" s="217" t="s">
        <v>5199</v>
      </c>
      <c r="D23" s="209" t="s">
        <v>5200</v>
      </c>
      <c r="E23" s="210" t="s">
        <v>5149</v>
      </c>
    </row>
    <row r="24" spans="1:5" ht="72" customHeight="1" x14ac:dyDescent="0.25">
      <c r="A24" s="216" t="s">
        <v>5201</v>
      </c>
      <c r="B24" s="197" t="s">
        <v>5202</v>
      </c>
      <c r="C24" s="217" t="s">
        <v>5203</v>
      </c>
      <c r="D24" s="209" t="s">
        <v>5204</v>
      </c>
      <c r="E24" s="210" t="s">
        <v>5149</v>
      </c>
    </row>
    <row r="25" spans="1:5" ht="15" customHeight="1" x14ac:dyDescent="0.25">
      <c r="A25" s="211"/>
      <c r="B25" s="211"/>
      <c r="C25" s="211"/>
      <c r="D25" s="211"/>
      <c r="E25" s="211"/>
    </row>
    <row r="26" spans="1:5" ht="15" customHeight="1" x14ac:dyDescent="0.25">
      <c r="A26" s="244" t="s">
        <v>5205</v>
      </c>
      <c r="B26" s="244"/>
      <c r="C26" s="244"/>
      <c r="D26" s="244"/>
      <c r="E26" s="244"/>
    </row>
    <row r="27" spans="1:5" ht="63.75" customHeight="1" x14ac:dyDescent="0.25">
      <c r="A27" s="218" t="s">
        <v>5206</v>
      </c>
      <c r="B27" s="201" t="s">
        <v>5207</v>
      </c>
      <c r="C27" s="219" t="s">
        <v>5208</v>
      </c>
      <c r="D27" s="209" t="s">
        <v>5209</v>
      </c>
      <c r="E27" s="210" t="s">
        <v>5149</v>
      </c>
    </row>
    <row r="28" spans="1:5" ht="114.75" customHeight="1" x14ac:dyDescent="0.25">
      <c r="A28" s="218" t="s">
        <v>5210</v>
      </c>
      <c r="B28" s="201" t="s">
        <v>5211</v>
      </c>
      <c r="C28" s="219" t="s">
        <v>5212</v>
      </c>
      <c r="D28" s="209" t="s">
        <v>5213</v>
      </c>
      <c r="E28" s="210" t="s">
        <v>5149</v>
      </c>
    </row>
    <row r="29" spans="1:5" ht="60" customHeight="1" x14ac:dyDescent="0.25">
      <c r="A29" s="218" t="s">
        <v>5214</v>
      </c>
      <c r="B29" s="201" t="s">
        <v>5215</v>
      </c>
      <c r="C29" s="219" t="s">
        <v>5216</v>
      </c>
      <c r="D29" s="209" t="s">
        <v>5217</v>
      </c>
      <c r="E29" s="210" t="s">
        <v>5149</v>
      </c>
    </row>
    <row r="30" spans="1:5" ht="76.5" customHeight="1" x14ac:dyDescent="0.25">
      <c r="A30" s="218" t="s">
        <v>5218</v>
      </c>
      <c r="B30" s="201" t="s">
        <v>5219</v>
      </c>
      <c r="C30" s="219" t="s">
        <v>5220</v>
      </c>
      <c r="D30" s="209" t="s">
        <v>5221</v>
      </c>
      <c r="E30" s="210" t="s">
        <v>5149</v>
      </c>
    </row>
    <row r="31" spans="1:5" ht="51" customHeight="1" x14ac:dyDescent="0.25">
      <c r="A31" s="218" t="s">
        <v>5222</v>
      </c>
      <c r="B31" s="201" t="s">
        <v>5223</v>
      </c>
      <c r="C31" s="219" t="s">
        <v>5224</v>
      </c>
      <c r="D31" s="209" t="s">
        <v>5225</v>
      </c>
      <c r="E31" s="210" t="s">
        <v>5149</v>
      </c>
    </row>
    <row r="32" spans="1:5" ht="72" customHeight="1" x14ac:dyDescent="0.25">
      <c r="A32" s="218" t="s">
        <v>5226</v>
      </c>
      <c r="B32" s="201" t="s">
        <v>5227</v>
      </c>
      <c r="C32" s="219" t="s">
        <v>5228</v>
      </c>
      <c r="D32" s="209" t="s">
        <v>5229</v>
      </c>
      <c r="E32" s="210" t="s">
        <v>5149</v>
      </c>
    </row>
    <row r="33" spans="1:5" ht="15" customHeight="1" x14ac:dyDescent="0.25">
      <c r="A33" s="211"/>
      <c r="B33" s="211"/>
      <c r="C33" s="211"/>
      <c r="D33" s="211"/>
      <c r="E33" s="211"/>
    </row>
    <row r="34" spans="1:5" ht="15" customHeight="1" x14ac:dyDescent="0.25">
      <c r="A34" s="245" t="s">
        <v>5230</v>
      </c>
      <c r="B34" s="245"/>
      <c r="C34" s="245"/>
      <c r="D34" s="245"/>
      <c r="E34" s="245"/>
    </row>
    <row r="35" spans="1:5" ht="76.5" customHeight="1" x14ac:dyDescent="0.25">
      <c r="A35" s="220" t="s">
        <v>5231</v>
      </c>
      <c r="B35" s="205" t="s">
        <v>5232</v>
      </c>
      <c r="C35" s="221" t="s">
        <v>5233</v>
      </c>
      <c r="D35" s="209" t="s">
        <v>5234</v>
      </c>
      <c r="E35" s="210" t="s">
        <v>5149</v>
      </c>
    </row>
    <row r="36" spans="1:5" ht="114.75" customHeight="1" x14ac:dyDescent="0.25">
      <c r="A36" s="220" t="s">
        <v>5235</v>
      </c>
      <c r="B36" s="205" t="s">
        <v>5236</v>
      </c>
      <c r="C36" s="221" t="s">
        <v>5237</v>
      </c>
      <c r="D36" s="209" t="s">
        <v>5238</v>
      </c>
      <c r="E36" s="210" t="s">
        <v>5149</v>
      </c>
    </row>
    <row r="37" spans="1:5" ht="63.75" customHeight="1" x14ac:dyDescent="0.25">
      <c r="A37" s="220" t="s">
        <v>5239</v>
      </c>
      <c r="B37" s="205" t="s">
        <v>5240</v>
      </c>
      <c r="C37" s="221" t="s">
        <v>5241</v>
      </c>
      <c r="D37" s="209" t="s">
        <v>5242</v>
      </c>
      <c r="E37" s="210" t="s">
        <v>5149</v>
      </c>
    </row>
    <row r="38" spans="1:5" ht="102" customHeight="1" x14ac:dyDescent="0.25">
      <c r="A38" s="220" t="s">
        <v>5243</v>
      </c>
      <c r="B38" s="205" t="s">
        <v>5244</v>
      </c>
      <c r="C38" s="221" t="s">
        <v>5245</v>
      </c>
      <c r="D38" s="209" t="s">
        <v>5246</v>
      </c>
      <c r="E38" s="210" t="s">
        <v>5149</v>
      </c>
    </row>
    <row r="39" spans="1:5" ht="15" customHeight="1" x14ac:dyDescent="0.25">
      <c r="A39" s="211"/>
      <c r="B39" s="211"/>
      <c r="C39" s="211"/>
      <c r="D39" s="211"/>
      <c r="E39" s="211"/>
    </row>
    <row r="40" spans="1:5" ht="15" customHeight="1" x14ac:dyDescent="0.25">
      <c r="A40" s="246" t="s">
        <v>5247</v>
      </c>
      <c r="B40" s="246"/>
      <c r="C40" s="246"/>
      <c r="D40" s="246"/>
      <c r="E40" s="246"/>
    </row>
    <row r="41" spans="1:5" ht="36" customHeight="1" x14ac:dyDescent="0.25">
      <c r="A41" s="222" t="s">
        <v>5248</v>
      </c>
      <c r="B41" s="223" t="s">
        <v>5249</v>
      </c>
      <c r="C41" s="224" t="s">
        <v>5250</v>
      </c>
      <c r="D41" s="209" t="s">
        <v>5251</v>
      </c>
      <c r="E41" s="225"/>
    </row>
    <row r="42" spans="1:5" ht="36" customHeight="1" x14ac:dyDescent="0.25">
      <c r="A42" s="222" t="s">
        <v>5252</v>
      </c>
      <c r="B42" s="223" t="s">
        <v>5253</v>
      </c>
      <c r="C42" s="224" t="s">
        <v>5254</v>
      </c>
      <c r="D42" s="209" t="s">
        <v>5255</v>
      </c>
      <c r="E42" s="225"/>
    </row>
    <row r="43" spans="1:5" ht="48" customHeight="1" x14ac:dyDescent="0.25">
      <c r="A43" s="222" t="s">
        <v>5256</v>
      </c>
      <c r="B43" s="223" t="s">
        <v>5257</v>
      </c>
      <c r="C43" s="224" t="s">
        <v>5258</v>
      </c>
      <c r="D43" s="209" t="s">
        <v>5259</v>
      </c>
      <c r="E43" s="225"/>
    </row>
    <row r="44" spans="1:5" ht="48" customHeight="1" x14ac:dyDescent="0.25">
      <c r="A44" s="222" t="s">
        <v>5260</v>
      </c>
      <c r="B44" s="223" t="s">
        <v>5261</v>
      </c>
      <c r="C44" s="224"/>
      <c r="D44" s="209" t="s">
        <v>5262</v>
      </c>
      <c r="E44" s="225"/>
    </row>
    <row r="45" spans="1:5" ht="15" customHeight="1" x14ac:dyDescent="0.25">
      <c r="A45" s="211"/>
      <c r="B45" s="211"/>
      <c r="C45" s="211"/>
      <c r="D45" s="211"/>
      <c r="E45" s="211"/>
    </row>
  </sheetData>
  <mergeCells count="9">
    <mergeCell ref="A22:E22"/>
    <mergeCell ref="A26:E26"/>
    <mergeCell ref="A34:E34"/>
    <mergeCell ref="A40:E40"/>
    <mergeCell ref="A1:E1"/>
    <mergeCell ref="A2:E2"/>
    <mergeCell ref="A4:E4"/>
    <mergeCell ref="A10:E10"/>
    <mergeCell ref="A16:E16"/>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zoomScaleNormal="100" workbookViewId="0">
      <selection activeCell="G12" sqref="G12"/>
    </sheetView>
  </sheetViews>
  <sheetFormatPr defaultColWidth="8.7109375" defaultRowHeight="15" x14ac:dyDescent="0.25"/>
  <cols>
    <col min="1" max="1" width="3" style="17" customWidth="1"/>
    <col min="2" max="2" width="28.5703125" style="17" customWidth="1"/>
    <col min="3" max="3" width="70.7109375" style="17" customWidth="1"/>
    <col min="4" max="4" width="25.42578125" style="17" customWidth="1"/>
  </cols>
  <sheetData>
    <row r="1" spans="2:3" ht="17.25" customHeight="1" x14ac:dyDescent="0.25">
      <c r="B1" s="237" t="s">
        <v>5263</v>
      </c>
      <c r="C1" s="237"/>
    </row>
    <row r="2" spans="2:3" ht="22.5" customHeight="1" x14ac:dyDescent="0.25">
      <c r="B2" s="247" t="s">
        <v>5264</v>
      </c>
      <c r="C2" s="247"/>
    </row>
    <row r="3" spans="2:3" ht="25.5" customHeight="1" x14ac:dyDescent="0.25">
      <c r="B3" s="226" t="s">
        <v>5265</v>
      </c>
      <c r="C3" s="227" t="s">
        <v>5266</v>
      </c>
    </row>
    <row r="4" spans="2:3" ht="25.5" customHeight="1" x14ac:dyDescent="0.25">
      <c r="B4" s="226" t="s">
        <v>5267</v>
      </c>
      <c r="C4" s="227" t="s">
        <v>5268</v>
      </c>
    </row>
    <row r="5" spans="2:3" ht="38.25" customHeight="1" x14ac:dyDescent="0.25">
      <c r="B5" s="226" t="s">
        <v>5269</v>
      </c>
      <c r="C5" s="227" t="s">
        <v>5270</v>
      </c>
    </row>
    <row r="7" spans="2:3" ht="15" customHeight="1" x14ac:dyDescent="0.25">
      <c r="B7" s="248" t="s">
        <v>5271</v>
      </c>
      <c r="C7" s="248"/>
    </row>
    <row r="8" spans="2:3" ht="25.5" customHeight="1" x14ac:dyDescent="0.25">
      <c r="B8" s="226" t="s">
        <v>5272</v>
      </c>
      <c r="C8" s="227" t="s">
        <v>5273</v>
      </c>
    </row>
    <row r="9" spans="2:3" ht="25.5" customHeight="1" x14ac:dyDescent="0.25">
      <c r="B9" s="226" t="s">
        <v>5274</v>
      </c>
      <c r="C9" s="227" t="s">
        <v>5275</v>
      </c>
    </row>
    <row r="10" spans="2:3" ht="25.5" customHeight="1" x14ac:dyDescent="0.25">
      <c r="B10" s="226" t="s">
        <v>5276</v>
      </c>
      <c r="C10" s="227" t="s">
        <v>5277</v>
      </c>
    </row>
    <row r="11" spans="2:3" ht="25.5" customHeight="1" x14ac:dyDescent="0.25">
      <c r="B11" s="226" t="s">
        <v>5278</v>
      </c>
      <c r="C11" s="227" t="s">
        <v>5279</v>
      </c>
    </row>
    <row r="12" spans="2:3" ht="25.5" customHeight="1" x14ac:dyDescent="0.25">
      <c r="B12" s="226" t="s">
        <v>5280</v>
      </c>
      <c r="C12" s="227" t="s">
        <v>5281</v>
      </c>
    </row>
    <row r="14" spans="2:3" ht="15" customHeight="1" x14ac:dyDescent="0.25">
      <c r="B14" s="249" t="s">
        <v>5282</v>
      </c>
      <c r="C14" s="249"/>
    </row>
    <row r="15" spans="2:3" ht="25.5" customHeight="1" x14ac:dyDescent="0.25">
      <c r="B15" s="226" t="s">
        <v>5283</v>
      </c>
      <c r="C15" s="227" t="s">
        <v>5284</v>
      </c>
    </row>
    <row r="16" spans="2:3" ht="25.5" customHeight="1" x14ac:dyDescent="0.25">
      <c r="B16" s="226" t="s">
        <v>5285</v>
      </c>
      <c r="C16" s="227" t="s">
        <v>5286</v>
      </c>
    </row>
    <row r="17" spans="2:3" ht="25.5" customHeight="1" x14ac:dyDescent="0.25">
      <c r="B17" s="226" t="s">
        <v>5287</v>
      </c>
      <c r="C17" s="227" t="s">
        <v>5288</v>
      </c>
    </row>
    <row r="18" spans="2:3" ht="25.5" customHeight="1" x14ac:dyDescent="0.25">
      <c r="B18" s="226" t="s">
        <v>5289</v>
      </c>
      <c r="C18" s="227" t="s">
        <v>5290</v>
      </c>
    </row>
    <row r="19" spans="2:3" ht="25.5" customHeight="1" x14ac:dyDescent="0.25">
      <c r="B19" s="226" t="s">
        <v>5291</v>
      </c>
      <c r="C19" s="227" t="s">
        <v>5292</v>
      </c>
    </row>
    <row r="20" spans="2:3" ht="25.5" customHeight="1" x14ac:dyDescent="0.25">
      <c r="B20" s="226" t="s">
        <v>5293</v>
      </c>
      <c r="C20" s="227" t="s">
        <v>5294</v>
      </c>
    </row>
    <row r="22" spans="2:3" ht="15" customHeight="1" x14ac:dyDescent="0.25">
      <c r="B22" s="250" t="s">
        <v>5295</v>
      </c>
      <c r="C22" s="250"/>
    </row>
    <row r="23" spans="2:3" ht="51" customHeight="1" x14ac:dyDescent="0.25">
      <c r="B23" s="226" t="s">
        <v>5296</v>
      </c>
      <c r="C23" s="227" t="s">
        <v>5297</v>
      </c>
    </row>
    <row r="24" spans="2:3" ht="38.25" customHeight="1" x14ac:dyDescent="0.25">
      <c r="B24" s="226" t="s">
        <v>5298</v>
      </c>
      <c r="C24" s="227" t="s">
        <v>5299</v>
      </c>
    </row>
    <row r="25" spans="2:3" ht="38.25" customHeight="1" x14ac:dyDescent="0.25">
      <c r="B25" s="226" t="s">
        <v>5300</v>
      </c>
      <c r="C25" s="227" t="s">
        <v>5301</v>
      </c>
    </row>
    <row r="26" spans="2:3" ht="38.25" customHeight="1" x14ac:dyDescent="0.25">
      <c r="B26" s="226" t="s">
        <v>5302</v>
      </c>
      <c r="C26" s="227" t="s">
        <v>5303</v>
      </c>
    </row>
    <row r="28" spans="2:3" ht="15" customHeight="1" x14ac:dyDescent="0.25">
      <c r="B28" s="251" t="s">
        <v>5304</v>
      </c>
      <c r="C28" s="251"/>
    </row>
    <row r="29" spans="2:3" ht="38.25" customHeight="1" x14ac:dyDescent="0.25">
      <c r="B29" s="226" t="s">
        <v>5305</v>
      </c>
      <c r="C29" s="227" t="s">
        <v>5306</v>
      </c>
    </row>
    <row r="30" spans="2:3" ht="25.5" customHeight="1" x14ac:dyDescent="0.25">
      <c r="B30" s="226" t="s">
        <v>5307</v>
      </c>
      <c r="C30" s="227" t="s">
        <v>5308</v>
      </c>
    </row>
    <row r="31" spans="2:3" ht="25.5" customHeight="1" x14ac:dyDescent="0.25">
      <c r="B31" s="226" t="s">
        <v>5309</v>
      </c>
      <c r="C31" s="227" t="s">
        <v>5310</v>
      </c>
    </row>
    <row r="32" spans="2:3" ht="25.5" customHeight="1" x14ac:dyDescent="0.25">
      <c r="B32" s="226" t="s">
        <v>5311</v>
      </c>
      <c r="C32" s="227" t="s">
        <v>5312</v>
      </c>
    </row>
  </sheetData>
  <mergeCells count="6">
    <mergeCell ref="B28:C28"/>
    <mergeCell ref="B1:C1"/>
    <mergeCell ref="B2:C2"/>
    <mergeCell ref="B7:C7"/>
    <mergeCell ref="B14:C14"/>
    <mergeCell ref="B22:C22"/>
  </mergeCell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zoomScale="130" zoomScaleNormal="130" workbookViewId="0">
      <selection activeCell="D5" sqref="D5"/>
    </sheetView>
  </sheetViews>
  <sheetFormatPr defaultColWidth="8.7109375" defaultRowHeight="15" x14ac:dyDescent="0.25"/>
  <cols>
    <col min="1" max="1" width="30.7109375" style="17" customWidth="1"/>
    <col min="2" max="2" width="27.85546875" style="17" customWidth="1"/>
    <col min="3" max="3" width="29.28515625" style="17" customWidth="1"/>
    <col min="4" max="4" width="25.140625" style="17" customWidth="1"/>
    <col min="5" max="5" width="30.140625" style="17" customWidth="1"/>
    <col min="6" max="6" width="15" style="17" customWidth="1"/>
  </cols>
  <sheetData>
    <row r="1" spans="1:6" ht="15" customHeight="1" x14ac:dyDescent="0.25">
      <c r="A1" s="252" t="s">
        <v>5313</v>
      </c>
      <c r="B1" s="252"/>
      <c r="C1" s="252"/>
      <c r="D1" s="252"/>
      <c r="E1" s="252"/>
    </row>
    <row r="2" spans="1:6" ht="15" customHeight="1" x14ac:dyDescent="0.25">
      <c r="A2" s="228" t="s">
        <v>5314</v>
      </c>
      <c r="B2" s="228" t="s">
        <v>5315</v>
      </c>
      <c r="C2" s="228" t="s">
        <v>5316</v>
      </c>
      <c r="D2" s="228" t="s">
        <v>5317</v>
      </c>
      <c r="E2" s="228" t="s">
        <v>5318</v>
      </c>
    </row>
    <row r="3" spans="1:6" ht="15" customHeight="1" x14ac:dyDescent="0.25">
      <c r="A3" s="229" t="s">
        <v>5319</v>
      </c>
      <c r="B3" s="230" t="s">
        <v>5320</v>
      </c>
      <c r="C3" s="230">
        <v>100</v>
      </c>
      <c r="D3" s="230">
        <v>1</v>
      </c>
      <c r="E3" s="230">
        <f>D3*C3</f>
        <v>100</v>
      </c>
    </row>
    <row r="4" spans="1:6" ht="15" customHeight="1" x14ac:dyDescent="0.25">
      <c r="A4" s="229" t="s">
        <v>5321</v>
      </c>
      <c r="B4" s="230" t="s">
        <v>5320</v>
      </c>
      <c r="C4" s="230">
        <v>100</v>
      </c>
      <c r="D4" s="230">
        <f>'Timeline Summary'!C7</f>
        <v>5</v>
      </c>
      <c r="E4" s="230">
        <f>D4*C4</f>
        <v>500</v>
      </c>
    </row>
    <row r="5" spans="1:6" ht="15" customHeight="1" x14ac:dyDescent="0.25">
      <c r="A5" s="229" t="s">
        <v>5322</v>
      </c>
      <c r="B5" s="230" t="s">
        <v>5320</v>
      </c>
      <c r="C5" s="230">
        <v>100</v>
      </c>
      <c r="D5" s="230">
        <f>'Timeline Summary'!C8</f>
        <v>5</v>
      </c>
      <c r="E5" s="230">
        <f>D5*C5</f>
        <v>500</v>
      </c>
    </row>
    <row r="6" spans="1:6" ht="15" customHeight="1" x14ac:dyDescent="0.25">
      <c r="A6" s="229" t="s">
        <v>5323</v>
      </c>
      <c r="B6" s="230" t="s">
        <v>5324</v>
      </c>
      <c r="C6" s="230">
        <v>20</v>
      </c>
      <c r="D6" s="230">
        <v>5</v>
      </c>
      <c r="E6" s="230">
        <f>D6*C6</f>
        <v>100</v>
      </c>
    </row>
    <row r="7" spans="1:6" ht="15" customHeight="1" x14ac:dyDescent="0.25">
      <c r="A7" s="253" t="s">
        <v>5325</v>
      </c>
      <c r="B7" s="253"/>
      <c r="C7" s="253"/>
      <c r="D7" s="231">
        <f>SUM(D3:D6)</f>
        <v>16</v>
      </c>
      <c r="E7" s="231">
        <f>SUM(E3:E6)</f>
        <v>1200</v>
      </c>
    </row>
    <row r="8" spans="1:6" ht="15" customHeight="1" x14ac:dyDescent="0.25">
      <c r="E8" s="230">
        <f>E7*94</f>
        <v>112800</v>
      </c>
      <c r="F8" s="17" t="s">
        <v>5326</v>
      </c>
    </row>
    <row r="9" spans="1:6" ht="15" customHeight="1" x14ac:dyDescent="0.25">
      <c r="E9" s="15">
        <f>E8*4</f>
        <v>451200</v>
      </c>
      <c r="F9" s="17" t="s">
        <v>5327</v>
      </c>
    </row>
  </sheetData>
  <mergeCells count="2">
    <mergeCell ref="A1:E1"/>
    <mergeCell ref="A7:C7"/>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Detailed Requirements</vt:lpstr>
      <vt:lpstr>Timeline Summary</vt:lpstr>
      <vt:lpstr>FR Schedule</vt:lpstr>
      <vt:lpstr>Sprint Plan</vt:lpstr>
      <vt:lpstr>Detailed Sprint Plan</vt:lpstr>
      <vt:lpstr>Effort Summary</vt:lpstr>
      <vt:lpstr>Project Instructions</vt:lpstr>
      <vt:lpstr>Team Training Agenda</vt:lpstr>
      <vt:lpstr>Setup Guide</vt:lpstr>
      <vt:lpstr>Quick Reference Card</vt:lpstr>
      <vt:lpstr>Cost Summary</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Senthil Rudrappa</cp:lastModifiedBy>
  <cp:revision>0</cp:revision>
  <dcterms:created xsi:type="dcterms:W3CDTF">2026-04-15T10:42:33Z</dcterms:created>
  <dcterms:modified xsi:type="dcterms:W3CDTF">2026-04-26T11:10:53Z</dcterms:modified>
  <dc:language>en-US</dc:language>
</cp:coreProperties>
</file>